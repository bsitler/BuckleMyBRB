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ropbox\Git\BRBBuckling\"/>
    </mc:Choice>
  </mc:AlternateContent>
  <bookViews>
    <workbookView xWindow="0" yWindow="0" windowWidth="23895" windowHeight="7095" activeTab="1"/>
  </bookViews>
  <sheets>
    <sheet name="CodeEquations" sheetId="15" r:id="rId1"/>
    <sheet name="Sheet2" sheetId="19" r:id="rId2"/>
    <sheet name="Val-Restrainer End" sheetId="18" r:id="rId3"/>
    <sheet name="ElasticBuckling" sheetId="16" r:id="rId4"/>
    <sheet name="Summary" sheetId="1" r:id="rId5"/>
    <sheet name="Summary (2)" sheetId="11" r:id="rId6"/>
    <sheet name="Sheet1" sheetId="14" r:id="rId7"/>
    <sheet name="Framing" sheetId="10" r:id="rId8"/>
    <sheet name="Drift&amp;Imperfection" sheetId="13" r:id="rId9"/>
    <sheet name="Restrainer End" sheetId="5" r:id="rId10"/>
    <sheet name="Core Demand" sheetId="12" r:id="rId11"/>
    <sheet name="Gusset" sheetId="7" r:id="rId12"/>
    <sheet name="Equiv Connection" sheetId="9" r:id="rId13"/>
    <sheet name="Validation" sheetId="8" r:id="rId14"/>
  </sheets>
  <functionGroups builtInGroupCount="18"/>
  <definedNames>
    <definedName name="_xlnm.Print_Titles" localSheetId="4">Summary!$C:$C</definedName>
    <definedName name="_xlnm.Print_Titles" localSheetId="5">'Summary (2)'!#REF!</definedName>
  </definedNames>
  <calcPr calcId="152511"/>
</workbook>
</file>

<file path=xl/calcChain.xml><?xml version="1.0" encoding="utf-8"?>
<calcChain xmlns="http://schemas.openxmlformats.org/spreadsheetml/2006/main">
  <c r="L3" i="19" l="1"/>
  <c r="K3" i="19"/>
  <c r="J3" i="19"/>
  <c r="Q3" i="19"/>
  <c r="P3" i="19"/>
  <c r="O3" i="19"/>
  <c r="U3" i="19"/>
  <c r="T3" i="19"/>
  <c r="S3" i="19"/>
  <c r="R3" i="19" l="1"/>
  <c r="L12" i="18" a="1"/>
  <c r="AB10" i="18" a="1"/>
  <c r="L10" i="18" a="1"/>
  <c r="X10" i="18" a="1"/>
  <c r="P10" i="18" a="1"/>
  <c r="L9" i="18" a="1"/>
  <c r="P13" i="18" a="1"/>
  <c r="X13" i="18" a="1"/>
  <c r="P11" i="18" a="1"/>
  <c r="X11" i="18" a="1"/>
  <c r="X12" i="18" a="1"/>
  <c r="AB9" i="18" a="1"/>
  <c r="AB12" i="18" a="1"/>
  <c r="L11" i="18" a="1"/>
  <c r="L13" i="18" a="1"/>
  <c r="P9" i="18" a="1"/>
  <c r="X9" i="18" a="1"/>
  <c r="P12" i="18" a="1"/>
  <c r="AB11" i="18" a="1"/>
  <c r="AB13" i="18" a="1"/>
  <c r="M12" i="18" l="1"/>
  <c r="N12" i="18"/>
  <c r="O12" i="18"/>
  <c r="L12" i="18"/>
  <c r="T10" i="18"/>
  <c r="S10" i="18"/>
  <c r="R10" i="18"/>
  <c r="Q10" i="18"/>
  <c r="P10" i="18"/>
  <c r="U10" i="18" s="1"/>
  <c r="AA10" i="18"/>
  <c r="Z10" i="18"/>
  <c r="Y10" i="18"/>
  <c r="X10" i="18"/>
  <c r="N10" i="18"/>
  <c r="M10" i="18"/>
  <c r="L10" i="18"/>
  <c r="W10" i="18" s="1"/>
  <c r="O10" i="18"/>
  <c r="AB10" i="18"/>
  <c r="AG10" i="18" s="1"/>
  <c r="AF10" i="18"/>
  <c r="AE10" i="18"/>
  <c r="AD10" i="18"/>
  <c r="AC10" i="18"/>
  <c r="AC13" i="18"/>
  <c r="AD13" i="18"/>
  <c r="AE13" i="18"/>
  <c r="AF13" i="18"/>
  <c r="AB13" i="18"/>
  <c r="AG13" i="18" s="1"/>
  <c r="AC11" i="18"/>
  <c r="AD11" i="18"/>
  <c r="AE11" i="18"/>
  <c r="AF11" i="18"/>
  <c r="AB11" i="18"/>
  <c r="AG11" i="18" s="1"/>
  <c r="R12" i="18"/>
  <c r="S12" i="18"/>
  <c r="T12" i="18"/>
  <c r="P12" i="18"/>
  <c r="U12" i="18" s="1"/>
  <c r="Q12" i="18"/>
  <c r="Z9" i="18"/>
  <c r="AA9" i="18"/>
  <c r="X9" i="18"/>
  <c r="Y9" i="18"/>
  <c r="R9" i="18"/>
  <c r="S9" i="18"/>
  <c r="T9" i="18"/>
  <c r="P9" i="18"/>
  <c r="U9" i="18" s="1"/>
  <c r="Q9" i="18"/>
  <c r="O13" i="18"/>
  <c r="L13" i="18"/>
  <c r="W13" i="18" s="1"/>
  <c r="M13" i="18"/>
  <c r="N13" i="18"/>
  <c r="O11" i="18"/>
  <c r="L11" i="18"/>
  <c r="W11" i="18" s="1"/>
  <c r="M11" i="18"/>
  <c r="N11" i="18"/>
  <c r="AD12" i="18"/>
  <c r="AF12" i="18"/>
  <c r="AB12" i="18"/>
  <c r="AG12" i="18" s="1"/>
  <c r="AC12" i="18"/>
  <c r="AE12" i="18"/>
  <c r="AB9" i="18"/>
  <c r="AG9" i="18" s="1"/>
  <c r="AC9" i="18"/>
  <c r="AD9" i="18"/>
  <c r="AE9" i="18"/>
  <c r="AF9" i="18"/>
  <c r="Z12" i="18"/>
  <c r="AA12" i="18"/>
  <c r="X12" i="18"/>
  <c r="Y12" i="18"/>
  <c r="X11" i="18"/>
  <c r="Y11" i="18"/>
  <c r="Z11" i="18"/>
  <c r="AA11" i="18"/>
  <c r="T11" i="18"/>
  <c r="P11" i="18"/>
  <c r="U11" i="18" s="1"/>
  <c r="Q11" i="18"/>
  <c r="R11" i="18"/>
  <c r="S11" i="18"/>
  <c r="AA13" i="18"/>
  <c r="X13" i="18"/>
  <c r="Y13" i="18"/>
  <c r="Z13" i="18"/>
  <c r="P13" i="18"/>
  <c r="U13" i="18" s="1"/>
  <c r="Q13" i="18"/>
  <c r="R13" i="18"/>
  <c r="S13" i="18"/>
  <c r="T13" i="18"/>
  <c r="W12" i="18"/>
  <c r="L9" i="18"/>
  <c r="W9" i="18" s="1"/>
  <c r="M9" i="18"/>
  <c r="N9" i="18"/>
  <c r="O9" i="18"/>
  <c r="AA4" i="16"/>
  <c r="L7" i="16"/>
  <c r="L11" i="16"/>
  <c r="L15" i="16"/>
  <c r="L19" i="16"/>
  <c r="L23" i="16"/>
  <c r="L8" i="16"/>
  <c r="L12" i="16"/>
  <c r="L16" i="16"/>
  <c r="L20" i="16"/>
  <c r="L5" i="16"/>
  <c r="L9" i="16"/>
  <c r="L13" i="16"/>
  <c r="L17" i="16"/>
  <c r="L21" i="16"/>
  <c r="L6" i="16"/>
  <c r="L10" i="16"/>
  <c r="L14" i="16"/>
  <c r="L18" i="16"/>
  <c r="L22" i="16"/>
  <c r="L4" i="16"/>
  <c r="K5" i="16"/>
  <c r="K4" i="16"/>
  <c r="K9" i="16"/>
  <c r="K13" i="16"/>
  <c r="K17" i="16"/>
  <c r="K21" i="16"/>
  <c r="K11" i="16"/>
  <c r="K19" i="16"/>
  <c r="K8" i="16"/>
  <c r="K16" i="16"/>
  <c r="K6" i="16"/>
  <c r="K10" i="16"/>
  <c r="K14" i="16"/>
  <c r="K18" i="16"/>
  <c r="K22" i="16"/>
  <c r="K7" i="16"/>
  <c r="K15" i="16"/>
  <c r="K23" i="16"/>
  <c r="K12" i="16"/>
  <c r="K20" i="16"/>
  <c r="J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I4" i="16"/>
  <c r="X8" i="18" a="1"/>
  <c r="AB8" i="18" a="1"/>
  <c r="BP10" i="5" a="1"/>
  <c r="BL29" i="5" a="1"/>
  <c r="BL28" i="5" a="1"/>
  <c r="BL27" i="5" a="1"/>
  <c r="BL26" i="5" a="1"/>
  <c r="BL25" i="5" a="1"/>
  <c r="BL24" i="5" a="1"/>
  <c r="BL23" i="5" a="1"/>
  <c r="BL22" i="5" a="1"/>
  <c r="BL21" i="5" a="1"/>
  <c r="BL20" i="5" a="1"/>
  <c r="BL19" i="5" a="1"/>
  <c r="BL18" i="5" a="1"/>
  <c r="BL17" i="5" a="1"/>
  <c r="BL16" i="5" a="1"/>
  <c r="BL15" i="5" a="1"/>
  <c r="BL14" i="5" a="1"/>
  <c r="BL13" i="5" a="1"/>
  <c r="BL12" i="5" a="1"/>
  <c r="BL11" i="5" a="1"/>
  <c r="BL10" i="5" a="1"/>
  <c r="P8" i="18" a="1"/>
  <c r="L8" i="18" a="1"/>
  <c r="AJ10" i="18" l="1" a="1"/>
  <c r="AJ10" i="18" s="1"/>
  <c r="AI10" i="18"/>
  <c r="AJ11" i="18" a="1"/>
  <c r="AJ11" i="18" s="1"/>
  <c r="AI11" i="18"/>
  <c r="AI12" i="18"/>
  <c r="AJ12" i="18" a="1"/>
  <c r="AJ12" i="18" s="1"/>
  <c r="AI9" i="18"/>
  <c r="AJ9" i="18" a="1"/>
  <c r="AJ9" i="18" s="1"/>
  <c r="AI13" i="18"/>
  <c r="AJ13" i="18" a="1"/>
  <c r="AJ13" i="18" s="1"/>
  <c r="AD8" i="18"/>
  <c r="AC8" i="18"/>
  <c r="AB8" i="18"/>
  <c r="AG8" i="18" s="1"/>
  <c r="AF8" i="18"/>
  <c r="AE8" i="18"/>
  <c r="AA8" i="18"/>
  <c r="Z8" i="18"/>
  <c r="Y8" i="18"/>
  <c r="X8" i="18"/>
  <c r="BR10" i="5"/>
  <c r="BP10" i="5"/>
  <c r="BQ10" i="5"/>
  <c r="BS10" i="5"/>
  <c r="BT10" i="5"/>
  <c r="BO29" i="5"/>
  <c r="BN29" i="5"/>
  <c r="BM29" i="5"/>
  <c r="BL29" i="5"/>
  <c r="BO28" i="5"/>
  <c r="BN28" i="5"/>
  <c r="BM28" i="5"/>
  <c r="BL28" i="5"/>
  <c r="BN27" i="5"/>
  <c r="BM27" i="5"/>
  <c r="BO27" i="5"/>
  <c r="BL27" i="5"/>
  <c r="BO26" i="5"/>
  <c r="BN26" i="5"/>
  <c r="BM26" i="5"/>
  <c r="BL26" i="5"/>
  <c r="BO25" i="5"/>
  <c r="BN25" i="5"/>
  <c r="BM25" i="5"/>
  <c r="BL25" i="5"/>
  <c r="BO24" i="5"/>
  <c r="BN24" i="5"/>
  <c r="BM24" i="5"/>
  <c r="BL24" i="5"/>
  <c r="BO23" i="5"/>
  <c r="BN23" i="5"/>
  <c r="BM23" i="5"/>
  <c r="BL23" i="5"/>
  <c r="BO22" i="5"/>
  <c r="BN22" i="5"/>
  <c r="BM22" i="5"/>
  <c r="BL22" i="5"/>
  <c r="BO21" i="5"/>
  <c r="BN21" i="5"/>
  <c r="BM21" i="5"/>
  <c r="BL21" i="5"/>
  <c r="BM20" i="5"/>
  <c r="BL20" i="5"/>
  <c r="BO20" i="5"/>
  <c r="BN20" i="5"/>
  <c r="BM19" i="5"/>
  <c r="BL19" i="5"/>
  <c r="BO19" i="5"/>
  <c r="BN19" i="5"/>
  <c r="BO18" i="5"/>
  <c r="BN18" i="5"/>
  <c r="BM18" i="5"/>
  <c r="BL18" i="5"/>
  <c r="BN17" i="5"/>
  <c r="BM17" i="5"/>
  <c r="BL17" i="5"/>
  <c r="BO17" i="5"/>
  <c r="BM16" i="5"/>
  <c r="BL16" i="5"/>
  <c r="BO16" i="5"/>
  <c r="BN16" i="5"/>
  <c r="BO15" i="5"/>
  <c r="BN15" i="5"/>
  <c r="BM15" i="5"/>
  <c r="BL15" i="5"/>
  <c r="BO14" i="5"/>
  <c r="BM14" i="5"/>
  <c r="BL14" i="5"/>
  <c r="BN14" i="5"/>
  <c r="BM13" i="5"/>
  <c r="BO13" i="5"/>
  <c r="BN13" i="5"/>
  <c r="BL13" i="5"/>
  <c r="BO12" i="5"/>
  <c r="BN12" i="5"/>
  <c r="BM12" i="5"/>
  <c r="BL12" i="5"/>
  <c r="BO11" i="5"/>
  <c r="BM11" i="5"/>
  <c r="BN11" i="5"/>
  <c r="BL11" i="5"/>
  <c r="BL10" i="5"/>
  <c r="BM10" i="5"/>
  <c r="BN10" i="5"/>
  <c r="BO10" i="5"/>
  <c r="P8" i="18"/>
  <c r="U8" i="18" s="1"/>
  <c r="Q8" i="18"/>
  <c r="R8" i="18"/>
  <c r="S8" i="18"/>
  <c r="T8" i="18"/>
  <c r="M8" i="18"/>
  <c r="L8" i="18"/>
  <c r="N8" i="18"/>
  <c r="O8" i="18"/>
  <c r="W8" i="18"/>
  <c r="M6" i="16"/>
  <c r="M12" i="16"/>
  <c r="M18" i="16"/>
  <c r="M20" i="16"/>
  <c r="M22" i="16"/>
  <c r="M8" i="16"/>
  <c r="M14" i="16"/>
  <c r="M5" i="16"/>
  <c r="M9" i="16"/>
  <c r="M13" i="16"/>
  <c r="M17" i="16"/>
  <c r="M19" i="16"/>
  <c r="M23" i="16"/>
  <c r="M4" i="16"/>
  <c r="M10" i="16"/>
  <c r="M16" i="16"/>
  <c r="M7" i="16"/>
  <c r="M11" i="16"/>
  <c r="M15" i="16"/>
  <c r="M21" i="16"/>
  <c r="E5" i="16"/>
  <c r="E7" i="16"/>
  <c r="E9" i="16"/>
  <c r="E11" i="16"/>
  <c r="E13" i="16"/>
  <c r="E15" i="16"/>
  <c r="E17" i="16"/>
  <c r="E19" i="16"/>
  <c r="E21" i="16"/>
  <c r="E23" i="16"/>
  <c r="H8" i="16"/>
  <c r="H12" i="16"/>
  <c r="H14" i="16"/>
  <c r="H18" i="16"/>
  <c r="H22" i="16"/>
  <c r="H5" i="16"/>
  <c r="H7" i="16"/>
  <c r="H9" i="16"/>
  <c r="H11" i="16"/>
  <c r="H13" i="16"/>
  <c r="H15" i="16"/>
  <c r="H17" i="16"/>
  <c r="H19" i="16"/>
  <c r="H21" i="16"/>
  <c r="H23" i="16"/>
  <c r="H10" i="16"/>
  <c r="E6" i="16"/>
  <c r="E8" i="16"/>
  <c r="E10" i="16"/>
  <c r="E12" i="16"/>
  <c r="E14" i="16"/>
  <c r="E16" i="16"/>
  <c r="E18" i="16"/>
  <c r="E20" i="16"/>
  <c r="E22" i="16"/>
  <c r="H6" i="16"/>
  <c r="H16" i="16"/>
  <c r="H20" i="16"/>
  <c r="H4" i="16"/>
  <c r="E4" i="16"/>
  <c r="W5" i="16"/>
  <c r="W21" i="16"/>
  <c r="W14" i="16"/>
  <c r="W7" i="16"/>
  <c r="W23" i="16"/>
  <c r="W17" i="16"/>
  <c r="W12" i="16"/>
  <c r="W9" i="16"/>
  <c r="W16" i="16"/>
  <c r="W18" i="16"/>
  <c r="W11" i="16"/>
  <c r="W8" i="16"/>
  <c r="W13" i="16"/>
  <c r="W6" i="16"/>
  <c r="W22" i="16"/>
  <c r="W15" i="16"/>
  <c r="W20" i="16"/>
  <c r="W10" i="16"/>
  <c r="W19" i="16"/>
  <c r="W4" i="16"/>
  <c r="F7" i="16"/>
  <c r="F11" i="16"/>
  <c r="F15" i="16"/>
  <c r="F19" i="16"/>
  <c r="F23" i="16"/>
  <c r="F8" i="16"/>
  <c r="F12" i="16"/>
  <c r="F16" i="16"/>
  <c r="F20" i="16"/>
  <c r="F5" i="16"/>
  <c r="F9" i="16"/>
  <c r="F13" i="16"/>
  <c r="F17" i="16"/>
  <c r="F21" i="16"/>
  <c r="F6" i="16"/>
  <c r="F10" i="16"/>
  <c r="F14" i="16"/>
  <c r="F18" i="16"/>
  <c r="F22" i="16"/>
  <c r="F4" i="16"/>
  <c r="I5" i="16"/>
  <c r="I9" i="16"/>
  <c r="I13" i="16"/>
  <c r="I17" i="16"/>
  <c r="I21" i="16"/>
  <c r="I12" i="16"/>
  <c r="I6" i="16"/>
  <c r="I10" i="16"/>
  <c r="I14" i="16"/>
  <c r="I18" i="16"/>
  <c r="I22" i="16"/>
  <c r="I16" i="16"/>
  <c r="I7" i="16"/>
  <c r="I11" i="16"/>
  <c r="I15" i="16"/>
  <c r="I19" i="16"/>
  <c r="I23" i="16"/>
  <c r="I8" i="16"/>
  <c r="I20" i="16"/>
  <c r="P5" i="16"/>
  <c r="N16" i="16"/>
  <c r="P21" i="16"/>
  <c r="X12" i="16"/>
  <c r="X9" i="16"/>
  <c r="X19" i="16"/>
  <c r="O9" i="16"/>
  <c r="O17" i="16"/>
  <c r="N6" i="16"/>
  <c r="P11" i="16"/>
  <c r="N22" i="16"/>
  <c r="N13" i="16"/>
  <c r="O6" i="16"/>
  <c r="O14" i="16"/>
  <c r="O22" i="16"/>
  <c r="N21" i="16"/>
  <c r="X20" i="16"/>
  <c r="X14" i="16"/>
  <c r="X8" i="16"/>
  <c r="N12" i="16"/>
  <c r="P17" i="16"/>
  <c r="P14" i="16"/>
  <c r="P22" i="16"/>
  <c r="X16" i="16"/>
  <c r="O10" i="16"/>
  <c r="N4" i="16"/>
  <c r="X22" i="16"/>
  <c r="X21" i="16"/>
  <c r="P9" i="16"/>
  <c r="N7" i="16"/>
  <c r="P20" i="16"/>
  <c r="X15" i="16"/>
  <c r="O7" i="16"/>
  <c r="O23" i="16"/>
  <c r="N10" i="16"/>
  <c r="P8" i="16"/>
  <c r="O12" i="16"/>
  <c r="X23" i="16"/>
  <c r="X11" i="16"/>
  <c r="O11" i="16"/>
  <c r="O19" i="16"/>
  <c r="N15" i="16"/>
  <c r="P7" i="16"/>
  <c r="N18" i="16"/>
  <c r="P23" i="16"/>
  <c r="N17" i="16"/>
  <c r="O8" i="16"/>
  <c r="O16" i="16"/>
  <c r="N9" i="16"/>
  <c r="P4" i="16"/>
  <c r="X5" i="16"/>
  <c r="P16" i="16"/>
  <c r="N8" i="16"/>
  <c r="P13" i="16"/>
  <c r="N5" i="16"/>
  <c r="P18" i="16"/>
  <c r="P10" i="16"/>
  <c r="O4" i="16"/>
  <c r="X17" i="16"/>
  <c r="X13" i="16"/>
  <c r="O5" i="16"/>
  <c r="O13" i="16"/>
  <c r="O21" i="16"/>
  <c r="N14" i="16"/>
  <c r="P19" i="16"/>
  <c r="P6" i="16"/>
  <c r="N19" i="16"/>
  <c r="O18" i="16"/>
  <c r="N11" i="16"/>
  <c r="X7" i="16"/>
  <c r="X6" i="16"/>
  <c r="N20" i="16"/>
  <c r="P12" i="16"/>
  <c r="X10" i="16"/>
  <c r="X4" i="16"/>
  <c r="O15" i="16"/>
  <c r="P15" i="16"/>
  <c r="N23" i="16"/>
  <c r="O20" i="16"/>
  <c r="X18" i="16"/>
  <c r="AI8" i="18" l="1"/>
  <c r="AJ8" i="18" a="1"/>
  <c r="AJ8" i="18" s="1"/>
  <c r="Y4" i="16"/>
  <c r="Q21" i="16"/>
  <c r="Q11" i="16"/>
  <c r="Q9" i="16"/>
  <c r="Y22" i="16"/>
  <c r="Y20" i="16"/>
  <c r="Y18" i="16"/>
  <c r="Y16" i="16"/>
  <c r="Y14" i="16"/>
  <c r="Y12" i="16"/>
  <c r="Y10" i="16"/>
  <c r="Y8" i="16"/>
  <c r="Y6" i="16"/>
  <c r="Q23" i="16"/>
  <c r="Q19" i="16"/>
  <c r="Q17" i="16"/>
  <c r="Q13" i="16"/>
  <c r="Q7" i="16"/>
  <c r="Q5" i="16"/>
  <c r="Q22" i="16"/>
  <c r="Q20" i="16"/>
  <c r="Q18" i="16"/>
  <c r="Q16" i="16"/>
  <c r="Q14" i="16"/>
  <c r="Q12" i="16"/>
  <c r="Q10" i="16"/>
  <c r="Q8" i="16"/>
  <c r="Q6" i="16"/>
  <c r="Q15" i="16"/>
  <c r="Y23" i="16"/>
  <c r="Y21" i="16"/>
  <c r="Y19" i="16"/>
  <c r="Y17" i="16"/>
  <c r="Y15" i="16"/>
  <c r="Y13" i="16"/>
  <c r="Y11" i="16"/>
  <c r="Y9" i="16"/>
  <c r="Y7" i="16"/>
  <c r="Y5" i="16"/>
  <c r="Q4" i="16"/>
  <c r="B22" i="15"/>
  <c r="B21" i="15"/>
  <c r="B20" i="15"/>
  <c r="B19" i="15"/>
  <c r="C18" i="15"/>
  <c r="D18" i="15" s="1"/>
  <c r="B18" i="15"/>
  <c r="D17" i="15"/>
  <c r="B17" i="15"/>
  <c r="C7" i="15"/>
  <c r="C8" i="15" s="1"/>
  <c r="C6" i="15"/>
  <c r="D6" i="15" s="1"/>
  <c r="B12" i="15"/>
  <c r="B13" i="15"/>
  <c r="B14" i="15"/>
  <c r="B15" i="15"/>
  <c r="B16" i="15"/>
  <c r="B11" i="15"/>
  <c r="D5" i="15"/>
  <c r="H9" i="15"/>
  <c r="I18" i="15"/>
  <c r="H15" i="15"/>
  <c r="G7" i="15"/>
  <c r="I5" i="15"/>
  <c r="I8" i="15"/>
  <c r="H6" i="15"/>
  <c r="G17" i="15"/>
  <c r="H20" i="15"/>
  <c r="J5" i="15"/>
  <c r="G6" i="15"/>
  <c r="H21" i="15"/>
  <c r="H12" i="15"/>
  <c r="H22" i="15"/>
  <c r="G5" i="15"/>
  <c r="H11" i="15"/>
  <c r="I6" i="15"/>
  <c r="H8" i="15"/>
  <c r="H17" i="15"/>
  <c r="J18" i="15"/>
  <c r="H10" i="15"/>
  <c r="H7" i="15"/>
  <c r="J6" i="15"/>
  <c r="H19" i="15"/>
  <c r="H18" i="15"/>
  <c r="H5" i="15"/>
  <c r="J17" i="15"/>
  <c r="G18" i="15"/>
  <c r="G8" i="15"/>
  <c r="H13" i="15"/>
  <c r="I7" i="15"/>
  <c r="H14" i="15"/>
  <c r="H16" i="15"/>
  <c r="I17" i="15"/>
  <c r="C19" i="15" l="1"/>
  <c r="D8" i="15"/>
  <c r="C9" i="15"/>
  <c r="D7" i="15"/>
  <c r="AI13" i="14"/>
  <c r="AH13" i="14"/>
  <c r="AG13" i="14"/>
  <c r="AF13" i="14"/>
  <c r="AB13" i="14"/>
  <c r="I19" i="15"/>
  <c r="G19" i="15"/>
  <c r="J7" i="15"/>
  <c r="J8" i="15"/>
  <c r="G9" i="15"/>
  <c r="I9" i="15"/>
  <c r="AR13" i="14"/>
  <c r="AS13" i="14"/>
  <c r="AP13" i="14"/>
  <c r="C20" i="15" l="1"/>
  <c r="D19" i="15"/>
  <c r="D9" i="15"/>
  <c r="C10" i="15"/>
  <c r="AQ13" i="14"/>
  <c r="AE13" i="14"/>
  <c r="AC13" i="14"/>
  <c r="AD13" i="14"/>
  <c r="V12" i="14"/>
  <c r="AK12" i="14" s="1"/>
  <c r="W12" i="14"/>
  <c r="G17" i="14"/>
  <c r="G15" i="14"/>
  <c r="W10" i="14"/>
  <c r="V10" i="14"/>
  <c r="W11" i="14"/>
  <c r="V11" i="14"/>
  <c r="J19" i="15"/>
  <c r="I10" i="15"/>
  <c r="G10" i="15"/>
  <c r="I20" i="15"/>
  <c r="G20" i="15"/>
  <c r="J9" i="15"/>
  <c r="AV13" i="14"/>
  <c r="AU13" i="14"/>
  <c r="BA13" i="14"/>
  <c r="AW13" i="14"/>
  <c r="C21" i="15" l="1"/>
  <c r="D20" i="15"/>
  <c r="D10" i="15"/>
  <c r="AT13" i="14"/>
  <c r="AX13" i="14"/>
  <c r="BB13" i="14"/>
  <c r="I11" i="15"/>
  <c r="J10" i="15"/>
  <c r="G21" i="15"/>
  <c r="I21" i="15"/>
  <c r="G11" i="15"/>
  <c r="J20" i="15"/>
  <c r="AY13" i="14"/>
  <c r="AZ13" i="14"/>
  <c r="C22" i="15" l="1"/>
  <c r="D21" i="15"/>
  <c r="C12" i="15"/>
  <c r="D11" i="15"/>
  <c r="AJ33" i="11"/>
  <c r="AI33" i="11"/>
  <c r="AJ32" i="11"/>
  <c r="AI32" i="11"/>
  <c r="AJ31" i="11"/>
  <c r="AI31" i="11"/>
  <c r="AJ30" i="11"/>
  <c r="AI30" i="11"/>
  <c r="AJ29" i="11"/>
  <c r="AI29" i="11"/>
  <c r="AJ28" i="11"/>
  <c r="AI28" i="11"/>
  <c r="E30" i="13"/>
  <c r="E31" i="13"/>
  <c r="L43" i="11" s="1"/>
  <c r="E32" i="13"/>
  <c r="L44" i="11" s="1"/>
  <c r="E33" i="13"/>
  <c r="E34" i="13"/>
  <c r="L46" i="11" s="1"/>
  <c r="E35" i="13"/>
  <c r="M47" i="11"/>
  <c r="L47" i="11"/>
  <c r="L45" i="11"/>
  <c r="L42" i="11"/>
  <c r="F30" i="13"/>
  <c r="M42" i="11" s="1"/>
  <c r="F31" i="13"/>
  <c r="M43" i="11" s="1"/>
  <c r="F32" i="13"/>
  <c r="M44" i="11" s="1"/>
  <c r="F33" i="13"/>
  <c r="M45" i="11" s="1"/>
  <c r="F34" i="13"/>
  <c r="M46" i="11" s="1"/>
  <c r="F35" i="13"/>
  <c r="AH21" i="11"/>
  <c r="AG21" i="11"/>
  <c r="AF21" i="11"/>
  <c r="AH20" i="11"/>
  <c r="AG20" i="11"/>
  <c r="AF20" i="11"/>
  <c r="AH19" i="11"/>
  <c r="AG19" i="11"/>
  <c r="AF19" i="11"/>
  <c r="AH18" i="11"/>
  <c r="AG18" i="11"/>
  <c r="AF18" i="11"/>
  <c r="AH17" i="11"/>
  <c r="AG17" i="11"/>
  <c r="AF17" i="11"/>
  <c r="AH16" i="11"/>
  <c r="AG16" i="11"/>
  <c r="AF16" i="11"/>
  <c r="CA21" i="11"/>
  <c r="BN21" i="11"/>
  <c r="CA20" i="11"/>
  <c r="BN20" i="11"/>
  <c r="CA19" i="11"/>
  <c r="BN19" i="11"/>
  <c r="CA18" i="11"/>
  <c r="BN18" i="11"/>
  <c r="CA17" i="11"/>
  <c r="BN17" i="11"/>
  <c r="CA16" i="11"/>
  <c r="BN16" i="11"/>
  <c r="AE21" i="11"/>
  <c r="AD21" i="11"/>
  <c r="AI21" i="11" s="1"/>
  <c r="AC21" i="11"/>
  <c r="AB21" i="11"/>
  <c r="AE20" i="11"/>
  <c r="AD20" i="11"/>
  <c r="AJ20" i="11" s="1"/>
  <c r="AC20" i="11"/>
  <c r="AB20" i="11"/>
  <c r="AE19" i="11"/>
  <c r="AD19" i="11"/>
  <c r="AI19" i="11" s="1"/>
  <c r="AC19" i="11"/>
  <c r="AB19" i="11"/>
  <c r="AE18" i="11"/>
  <c r="AD18" i="11"/>
  <c r="AJ18" i="11" s="1"/>
  <c r="AC18" i="11"/>
  <c r="AB18" i="11"/>
  <c r="AE17" i="11"/>
  <c r="AD17" i="11"/>
  <c r="AI17" i="11" s="1"/>
  <c r="AC17" i="11"/>
  <c r="AB17" i="11"/>
  <c r="AE16" i="11"/>
  <c r="AD16" i="11"/>
  <c r="AJ16" i="11" s="1"/>
  <c r="AC16" i="11"/>
  <c r="AB16" i="11"/>
  <c r="G22" i="15"/>
  <c r="G12" i="15"/>
  <c r="J11" i="15"/>
  <c r="I12" i="15"/>
  <c r="J21" i="15"/>
  <c r="I22" i="15"/>
  <c r="BK17" i="11"/>
  <c r="BG20" i="11"/>
  <c r="BE18" i="11"/>
  <c r="BR31" i="11"/>
  <c r="BR29" i="11"/>
  <c r="BG18" i="11"/>
  <c r="BC21" i="11"/>
  <c r="BT30" i="11"/>
  <c r="BK18" i="11"/>
  <c r="BG19" i="11"/>
  <c r="BB20" i="11"/>
  <c r="BT32" i="11"/>
  <c r="BT33" i="11"/>
  <c r="BB19" i="11"/>
  <c r="BF20" i="11"/>
  <c r="BB21" i="11"/>
  <c r="BR32" i="11"/>
  <c r="BK19" i="11"/>
  <c r="BB16" i="11"/>
  <c r="BB17" i="11"/>
  <c r="BG16" i="11"/>
  <c r="BC18" i="11"/>
  <c r="BC16" i="11"/>
  <c r="BT31" i="11"/>
  <c r="BT28" i="11"/>
  <c r="BR28" i="11"/>
  <c r="BC20" i="11"/>
  <c r="BR33" i="11"/>
  <c r="BB18" i="11"/>
  <c r="BC17" i="11"/>
  <c r="BC19" i="11"/>
  <c r="BT29" i="11"/>
  <c r="BK16" i="11"/>
  <c r="BR30" i="11"/>
  <c r="BK21" i="11"/>
  <c r="BK20" i="11"/>
  <c r="BG21" i="11"/>
  <c r="BG17" i="11"/>
  <c r="D22" i="15" l="1"/>
  <c r="D12" i="15"/>
  <c r="C13" i="15"/>
  <c r="AI16" i="11"/>
  <c r="AI18" i="11"/>
  <c r="AI20" i="11"/>
  <c r="AJ19" i="11"/>
  <c r="AJ17" i="11"/>
  <c r="AJ21" i="11"/>
  <c r="BD18" i="11"/>
  <c r="BL18" i="11"/>
  <c r="BH18" i="11"/>
  <c r="BH17" i="11"/>
  <c r="BD17" i="11"/>
  <c r="BL17" i="11"/>
  <c r="BL20" i="11"/>
  <c r="BD20" i="11"/>
  <c r="BH20" i="11"/>
  <c r="BL21" i="11"/>
  <c r="BD21" i="11"/>
  <c r="BH21" i="11"/>
  <c r="BL16" i="11"/>
  <c r="BH16" i="11"/>
  <c r="BD16" i="11"/>
  <c r="BH19" i="11"/>
  <c r="BL19" i="11"/>
  <c r="BD19" i="11"/>
  <c r="BY10" i="5"/>
  <c r="BY11" i="5"/>
  <c r="BY12" i="5"/>
  <c r="BY13" i="5"/>
  <c r="BY14" i="5"/>
  <c r="BY15" i="5"/>
  <c r="R21" i="12"/>
  <c r="R20" i="12"/>
  <c r="R19" i="12"/>
  <c r="R18" i="12"/>
  <c r="R17" i="12"/>
  <c r="R15" i="12"/>
  <c r="R14" i="12"/>
  <c r="R13" i="12"/>
  <c r="R12" i="12"/>
  <c r="R11" i="12"/>
  <c r="R10" i="12"/>
  <c r="R16" i="12"/>
  <c r="I13" i="15"/>
  <c r="J12" i="15"/>
  <c r="J22" i="15"/>
  <c r="G13" i="15"/>
  <c r="BF18" i="11"/>
  <c r="BJ17" i="11"/>
  <c r="BJ21" i="11"/>
  <c r="BE19" i="11"/>
  <c r="BJ19" i="11"/>
  <c r="BR16" i="11"/>
  <c r="BT18" i="11"/>
  <c r="BF19" i="11"/>
  <c r="BJ18" i="11"/>
  <c r="BR21" i="11"/>
  <c r="BI21" i="11"/>
  <c r="BF21" i="11"/>
  <c r="BI16" i="11"/>
  <c r="BT17" i="11"/>
  <c r="BI18" i="11"/>
  <c r="BR18" i="11"/>
  <c r="BT16" i="11"/>
  <c r="BJ20" i="11"/>
  <c r="BR17" i="11"/>
  <c r="BE16" i="11"/>
  <c r="BT21" i="11"/>
  <c r="BE20" i="11"/>
  <c r="BF17" i="11"/>
  <c r="BE17" i="11"/>
  <c r="BR19" i="11"/>
  <c r="BF16" i="11"/>
  <c r="BI20" i="11"/>
  <c r="BE21" i="11"/>
  <c r="BI17" i="11"/>
  <c r="BI19" i="11"/>
  <c r="BT19" i="11"/>
  <c r="BR20" i="11"/>
  <c r="BJ16" i="11"/>
  <c r="C14" i="15" l="1"/>
  <c r="D13" i="15"/>
  <c r="BS21" i="11"/>
  <c r="BU18" i="11"/>
  <c r="BU16" i="11"/>
  <c r="BS18" i="11"/>
  <c r="BU19" i="11"/>
  <c r="BU21" i="11"/>
  <c r="BU17" i="11"/>
  <c r="BP16" i="11"/>
  <c r="BO16" i="11"/>
  <c r="BS16" i="11"/>
  <c r="BP17" i="11"/>
  <c r="BO17" i="11"/>
  <c r="BS17" i="11"/>
  <c r="BP21" i="11"/>
  <c r="BO21" i="11"/>
  <c r="BP20" i="11"/>
  <c r="BO20" i="11"/>
  <c r="BP19" i="11"/>
  <c r="BO19" i="11"/>
  <c r="BS19" i="11"/>
  <c r="BS20" i="11"/>
  <c r="BP18" i="11"/>
  <c r="BO18" i="11"/>
  <c r="AK26" i="10"/>
  <c r="AD26" i="10"/>
  <c r="AK27" i="10"/>
  <c r="AD27" i="10"/>
  <c r="G14" i="15"/>
  <c r="J13" i="15"/>
  <c r="I14" i="15"/>
  <c r="AA3" i="10"/>
  <c r="Z4" i="10"/>
  <c r="Z3" i="10"/>
  <c r="AA4" i="10"/>
  <c r="BT20" i="11"/>
  <c r="C15" i="15" l="1"/>
  <c r="D14" i="15"/>
  <c r="BU20" i="11"/>
  <c r="AU23" i="7"/>
  <c r="AU22" i="7"/>
  <c r="AU21" i="7"/>
  <c r="AU20" i="7"/>
  <c r="AU19" i="7"/>
  <c r="AU18" i="7"/>
  <c r="AU15" i="7"/>
  <c r="AU14" i="7"/>
  <c r="AU13" i="7"/>
  <c r="AU12" i="7"/>
  <c r="AU11" i="7"/>
  <c r="AN12" i="7"/>
  <c r="AN13" i="7" s="1"/>
  <c r="AN14" i="7" s="1"/>
  <c r="AN15" i="7" s="1"/>
  <c r="AO12" i="7"/>
  <c r="AO13" i="7" s="1"/>
  <c r="AO14" i="7" s="1"/>
  <c r="AO15" i="7" s="1"/>
  <c r="AP12" i="7"/>
  <c r="AP13" i="7" s="1"/>
  <c r="AP14" i="7" s="1"/>
  <c r="AP15" i="7" s="1"/>
  <c r="AP17" i="7"/>
  <c r="AP19" i="7"/>
  <c r="AP20" i="7" s="1"/>
  <c r="AP21" i="7" s="1"/>
  <c r="AP26" i="7"/>
  <c r="AP27" i="7" s="1"/>
  <c r="AP28" i="7" s="1"/>
  <c r="AP29" i="7" s="1"/>
  <c r="AQ26" i="7"/>
  <c r="AQ27" i="7" s="1"/>
  <c r="AQ28" i="7" s="1"/>
  <c r="AQ29" i="7" s="1"/>
  <c r="I15" i="15"/>
  <c r="G15" i="15"/>
  <c r="J14" i="15"/>
  <c r="C16" i="15" l="1"/>
  <c r="D15" i="15"/>
  <c r="I10" i="7"/>
  <c r="AV47" i="11"/>
  <c r="AU47" i="11"/>
  <c r="AT47" i="11"/>
  <c r="AV46" i="11"/>
  <c r="AU46" i="11"/>
  <c r="AT46" i="11"/>
  <c r="AV45" i="11"/>
  <c r="AU45" i="11"/>
  <c r="AT45" i="11"/>
  <c r="AV44" i="11"/>
  <c r="AU44" i="11"/>
  <c r="AT44" i="11"/>
  <c r="AV43" i="11"/>
  <c r="AU43" i="11"/>
  <c r="AT43" i="11"/>
  <c r="AV42" i="11"/>
  <c r="AU42" i="11"/>
  <c r="AT42" i="11"/>
  <c r="AV41" i="11"/>
  <c r="AU41" i="11"/>
  <c r="AT41" i="11"/>
  <c r="AV40" i="11"/>
  <c r="AU40" i="11"/>
  <c r="AT40" i="11"/>
  <c r="AV39" i="11"/>
  <c r="AU39" i="11"/>
  <c r="AT39" i="11"/>
  <c r="AV38" i="11"/>
  <c r="AU38" i="11"/>
  <c r="AT38" i="11"/>
  <c r="AV37" i="11"/>
  <c r="AU37" i="11"/>
  <c r="AT37" i="11"/>
  <c r="AV36" i="11"/>
  <c r="AU36" i="11"/>
  <c r="AT36" i="11"/>
  <c r="AV35" i="11"/>
  <c r="AU35" i="11"/>
  <c r="AT35" i="11"/>
  <c r="AV34" i="11"/>
  <c r="AU34" i="11"/>
  <c r="AT34" i="11"/>
  <c r="AV27" i="11"/>
  <c r="AU27" i="11"/>
  <c r="AT27" i="11"/>
  <c r="AV26" i="11"/>
  <c r="AU26" i="11"/>
  <c r="AT26" i="11"/>
  <c r="AV25" i="11"/>
  <c r="AU25" i="11"/>
  <c r="AT25" i="11"/>
  <c r="AV24" i="11"/>
  <c r="AU24" i="11"/>
  <c r="AT24" i="11"/>
  <c r="AV23" i="11"/>
  <c r="AU23" i="11"/>
  <c r="AT23" i="11"/>
  <c r="AV22" i="11"/>
  <c r="AU22" i="11"/>
  <c r="AT22" i="11"/>
  <c r="AV15" i="11"/>
  <c r="AU15" i="11"/>
  <c r="AT15" i="11"/>
  <c r="AV14" i="11"/>
  <c r="AU14" i="11"/>
  <c r="AT14" i="11"/>
  <c r="AV13" i="11"/>
  <c r="AU13" i="11"/>
  <c r="AT13" i="11"/>
  <c r="AV12" i="11"/>
  <c r="AU12" i="11"/>
  <c r="AT12" i="11"/>
  <c r="AV11" i="11"/>
  <c r="AU11" i="11"/>
  <c r="AT11" i="11"/>
  <c r="AV10" i="11"/>
  <c r="AU10" i="11"/>
  <c r="AT10" i="11"/>
  <c r="J35" i="5"/>
  <c r="I35" i="5"/>
  <c r="J34" i="5"/>
  <c r="I34" i="5"/>
  <c r="AX46" i="11" s="1"/>
  <c r="J33" i="5"/>
  <c r="I33" i="5"/>
  <c r="J32" i="5"/>
  <c r="I32" i="5"/>
  <c r="AX44" i="11" s="1"/>
  <c r="J31" i="5"/>
  <c r="I31" i="5"/>
  <c r="J30" i="5"/>
  <c r="I30" i="5"/>
  <c r="AX42" i="11" s="1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AY47" i="11"/>
  <c r="AY46" i="11"/>
  <c r="AY45" i="11"/>
  <c r="AY44" i="11"/>
  <c r="AY43" i="11"/>
  <c r="AY42" i="11"/>
  <c r="AY41" i="11"/>
  <c r="AY40" i="11"/>
  <c r="AY39" i="11"/>
  <c r="AY38" i="11"/>
  <c r="AY37" i="11"/>
  <c r="AY36" i="11"/>
  <c r="AY35" i="11"/>
  <c r="AY34" i="11"/>
  <c r="AY27" i="11"/>
  <c r="AY26" i="11"/>
  <c r="AY25" i="11"/>
  <c r="AY24" i="11"/>
  <c r="AY23" i="11"/>
  <c r="AY22" i="11"/>
  <c r="AY15" i="11"/>
  <c r="AY21" i="11" s="1"/>
  <c r="AY14" i="11"/>
  <c r="AY20" i="11" s="1"/>
  <c r="AY13" i="11"/>
  <c r="AY19" i="11" s="1"/>
  <c r="AY12" i="11"/>
  <c r="AY18" i="11" s="1"/>
  <c r="AY11" i="11"/>
  <c r="AY17" i="11" s="1"/>
  <c r="AY10" i="11"/>
  <c r="AY16" i="11" s="1"/>
  <c r="AX43" i="11"/>
  <c r="AX45" i="11"/>
  <c r="AX47" i="11"/>
  <c r="H35" i="5"/>
  <c r="H34" i="5"/>
  <c r="H33" i="5"/>
  <c r="H32" i="5"/>
  <c r="H31" i="5"/>
  <c r="H30" i="5"/>
  <c r="AW44" i="11"/>
  <c r="AW43" i="11"/>
  <c r="AW47" i="11"/>
  <c r="AW46" i="11"/>
  <c r="AW45" i="11"/>
  <c r="AW42" i="11"/>
  <c r="G35" i="5"/>
  <c r="G34" i="5"/>
  <c r="G33" i="5"/>
  <c r="G32" i="5"/>
  <c r="G31" i="5"/>
  <c r="G30" i="5"/>
  <c r="J15" i="15"/>
  <c r="G16" i="15"/>
  <c r="I16" i="15"/>
  <c r="AJ24" i="7"/>
  <c r="AJ10" i="7"/>
  <c r="AL18" i="7"/>
  <c r="AJ11" i="7"/>
  <c r="AJ25" i="7"/>
  <c r="AK16" i="7"/>
  <c r="AL25" i="7"/>
  <c r="AL11" i="7"/>
  <c r="AK25" i="7"/>
  <c r="AI16" i="7"/>
  <c r="AI24" i="7"/>
  <c r="AK18" i="7"/>
  <c r="AI18" i="7"/>
  <c r="AI25" i="7"/>
  <c r="AJ18" i="7"/>
  <c r="AI10" i="7"/>
  <c r="AL24" i="7"/>
  <c r="AI11" i="7"/>
  <c r="AL16" i="7"/>
  <c r="AK11" i="7"/>
  <c r="AL10" i="7"/>
  <c r="AK24" i="7"/>
  <c r="AK10" i="7"/>
  <c r="AL22" i="7"/>
  <c r="AL23" i="7"/>
  <c r="AJ16" i="7"/>
  <c r="AC10" i="7"/>
  <c r="D16" i="15" l="1"/>
  <c r="C53" i="8"/>
  <c r="J16" i="15"/>
  <c r="B54" i="8" l="1"/>
  <c r="A53" i="8"/>
  <c r="N53" i="8" s="1"/>
  <c r="E53" i="8"/>
  <c r="I54" i="8"/>
  <c r="G53" i="8"/>
  <c r="I53" i="8"/>
  <c r="H53" i="8"/>
  <c r="F53" i="8"/>
  <c r="F54" i="8"/>
  <c r="G54" i="8"/>
  <c r="E54" i="8"/>
  <c r="H54" i="8"/>
  <c r="A54" i="8" l="1"/>
  <c r="C54" i="8"/>
  <c r="Q53" i="8"/>
  <c r="P53" i="8"/>
  <c r="R53" i="8"/>
  <c r="S53" i="8"/>
  <c r="T53" i="8"/>
  <c r="K53" i="8"/>
  <c r="L53" i="8"/>
  <c r="M53" i="8"/>
  <c r="B55" i="8"/>
  <c r="C55" i="8" s="1"/>
  <c r="AC35" i="9"/>
  <c r="AD35" i="9" s="1"/>
  <c r="AE35" i="9" s="1"/>
  <c r="AA35" i="9"/>
  <c r="Z35" i="9"/>
  <c r="AQ35" i="9" s="1"/>
  <c r="AR35" i="9" s="1"/>
  <c r="Y35" i="9"/>
  <c r="X35" i="9"/>
  <c r="AJ35" i="9" s="1"/>
  <c r="W35" i="9"/>
  <c r="V35" i="9"/>
  <c r="AC34" i="9"/>
  <c r="AD34" i="9" s="1"/>
  <c r="AE34" i="9" s="1"/>
  <c r="AA34" i="9"/>
  <c r="Z34" i="9"/>
  <c r="AQ34" i="9" s="1"/>
  <c r="AR34" i="9" s="1"/>
  <c r="Y34" i="9"/>
  <c r="X34" i="9"/>
  <c r="W34" i="9"/>
  <c r="V34" i="9"/>
  <c r="AC33" i="9"/>
  <c r="AD33" i="9" s="1"/>
  <c r="AE33" i="9" s="1"/>
  <c r="AA33" i="9"/>
  <c r="Z33" i="9"/>
  <c r="AQ33" i="9" s="1"/>
  <c r="AR33" i="9" s="1"/>
  <c r="Y33" i="9"/>
  <c r="X33" i="9"/>
  <c r="AJ33" i="9" s="1"/>
  <c r="AK33" i="9" s="1"/>
  <c r="W33" i="9"/>
  <c r="V33" i="9"/>
  <c r="AC32" i="9"/>
  <c r="AD32" i="9" s="1"/>
  <c r="AE32" i="9" s="1"/>
  <c r="AA32" i="9"/>
  <c r="Z32" i="9"/>
  <c r="AQ32" i="9" s="1"/>
  <c r="AR32" i="9" s="1"/>
  <c r="Y32" i="9"/>
  <c r="X32" i="9"/>
  <c r="AJ32" i="9" s="1"/>
  <c r="AK32" i="9" s="1"/>
  <c r="W32" i="9"/>
  <c r="V32" i="9"/>
  <c r="AC31" i="9"/>
  <c r="AD31" i="9" s="1"/>
  <c r="AE31" i="9" s="1"/>
  <c r="AA31" i="9"/>
  <c r="Z31" i="9"/>
  <c r="AQ31" i="9" s="1"/>
  <c r="AR31" i="9" s="1"/>
  <c r="Y31" i="9"/>
  <c r="X31" i="9"/>
  <c r="AJ31" i="9" s="1"/>
  <c r="W31" i="9"/>
  <c r="V31" i="9"/>
  <c r="AC30" i="9"/>
  <c r="AD30" i="9" s="1"/>
  <c r="AE30" i="9" s="1"/>
  <c r="AA30" i="9"/>
  <c r="Z30" i="9"/>
  <c r="AQ30" i="9" s="1"/>
  <c r="AR30" i="9" s="1"/>
  <c r="Y30" i="9"/>
  <c r="X30" i="9"/>
  <c r="W30" i="9"/>
  <c r="V30" i="9"/>
  <c r="F21" i="5"/>
  <c r="BZ29" i="5"/>
  <c r="BY29" i="5"/>
  <c r="BZ28" i="5"/>
  <c r="BY28" i="5"/>
  <c r="BZ27" i="5"/>
  <c r="BY27" i="5"/>
  <c r="BZ26" i="5"/>
  <c r="BY26" i="5"/>
  <c r="BZ25" i="5"/>
  <c r="BY25" i="5"/>
  <c r="BZ24" i="5"/>
  <c r="BY24" i="5"/>
  <c r="BY23" i="5"/>
  <c r="BY22" i="5"/>
  <c r="BZ21" i="5"/>
  <c r="BY21" i="5"/>
  <c r="BZ20" i="5"/>
  <c r="BY20" i="5"/>
  <c r="BZ19" i="5"/>
  <c r="BY19" i="5"/>
  <c r="BZ18" i="5"/>
  <c r="BY18" i="5"/>
  <c r="BZ17" i="5"/>
  <c r="BY17" i="5"/>
  <c r="BZ16" i="5"/>
  <c r="BY16" i="5"/>
  <c r="BZ15" i="5"/>
  <c r="BZ14" i="5"/>
  <c r="BZ13" i="5"/>
  <c r="BZ12" i="5"/>
  <c r="BZ11" i="5"/>
  <c r="BZ1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W41" i="11"/>
  <c r="V41" i="11"/>
  <c r="W40" i="11"/>
  <c r="V40" i="11"/>
  <c r="W39" i="11"/>
  <c r="V39" i="11"/>
  <c r="W38" i="11"/>
  <c r="V38" i="11"/>
  <c r="W37" i="11"/>
  <c r="V37" i="11"/>
  <c r="W36" i="11"/>
  <c r="V36" i="11"/>
  <c r="W35" i="11"/>
  <c r="V35" i="11"/>
  <c r="W34" i="11"/>
  <c r="V34" i="11"/>
  <c r="W27" i="11"/>
  <c r="V27" i="11"/>
  <c r="W26" i="11"/>
  <c r="V26" i="11"/>
  <c r="W25" i="11"/>
  <c r="V25" i="11"/>
  <c r="W24" i="11"/>
  <c r="V24" i="11"/>
  <c r="W23" i="11"/>
  <c r="V23" i="11"/>
  <c r="W22" i="11"/>
  <c r="V22" i="11"/>
  <c r="W15" i="11"/>
  <c r="V15" i="11"/>
  <c r="W14" i="11"/>
  <c r="V14" i="11"/>
  <c r="W13" i="11"/>
  <c r="V13" i="11"/>
  <c r="W12" i="11"/>
  <c r="V12" i="11"/>
  <c r="W11" i="11"/>
  <c r="V11" i="11"/>
  <c r="I35" i="7"/>
  <c r="W47" i="11" s="1"/>
  <c r="D35" i="7"/>
  <c r="V47" i="11" s="1"/>
  <c r="I34" i="7"/>
  <c r="W46" i="11" s="1"/>
  <c r="D34" i="7"/>
  <c r="V46" i="11" s="1"/>
  <c r="I33" i="7"/>
  <c r="W45" i="11" s="1"/>
  <c r="D33" i="7"/>
  <c r="V45" i="11" s="1"/>
  <c r="I32" i="7"/>
  <c r="W44" i="11" s="1"/>
  <c r="D32" i="7"/>
  <c r="V44" i="11" s="1"/>
  <c r="I31" i="7"/>
  <c r="W43" i="11" s="1"/>
  <c r="D31" i="7"/>
  <c r="V43" i="11" s="1"/>
  <c r="I30" i="7"/>
  <c r="W42" i="11" s="1"/>
  <c r="D30" i="7"/>
  <c r="V42" i="11" s="1"/>
  <c r="C29" i="12"/>
  <c r="E41" i="11" s="1"/>
  <c r="R29" i="13"/>
  <c r="AD23" i="5"/>
  <c r="BZ23" i="5" s="1"/>
  <c r="AD22" i="5"/>
  <c r="BZ22" i="5" s="1"/>
  <c r="K54" i="8"/>
  <c r="AK31" i="9" l="1"/>
  <c r="AK35" i="9"/>
  <c r="AJ30" i="9"/>
  <c r="AK30" i="9" s="1"/>
  <c r="AJ34" i="9"/>
  <c r="AK34" i="9" s="1"/>
  <c r="B56" i="8"/>
  <c r="C56" i="8" s="1"/>
  <c r="A55" i="8"/>
  <c r="C35" i="12"/>
  <c r="E47" i="11" s="1"/>
  <c r="CA47" i="11" s="1"/>
  <c r="AL31" i="9"/>
  <c r="AL32" i="9"/>
  <c r="AL35" i="9"/>
  <c r="AL33" i="9"/>
  <c r="AL34" i="9"/>
  <c r="AL30" i="9"/>
  <c r="N55" i="8"/>
  <c r="M55" i="8"/>
  <c r="S54" i="8"/>
  <c r="S55" i="8"/>
  <c r="H55" i="8"/>
  <c r="I55" i="8"/>
  <c r="G55" i="8"/>
  <c r="T54" i="8"/>
  <c r="T55" i="8"/>
  <c r="R54" i="8"/>
  <c r="L55" i="8"/>
  <c r="P54" i="8"/>
  <c r="M54" i="8"/>
  <c r="E55" i="8"/>
  <c r="F55" i="8"/>
  <c r="Q54" i="8"/>
  <c r="N54" i="8"/>
  <c r="L54" i="8"/>
  <c r="A56" i="8" l="1"/>
  <c r="B57" i="8"/>
  <c r="C57" i="8" s="1"/>
  <c r="BN47" i="11"/>
  <c r="EL34" i="10"/>
  <c r="EL35" i="10"/>
  <c r="EL36" i="10"/>
  <c r="EL37" i="10"/>
  <c r="EL38" i="10"/>
  <c r="EL39" i="10"/>
  <c r="FM45" i="10"/>
  <c r="FI45" i="10"/>
  <c r="FB45" i="10"/>
  <c r="EU45" i="10"/>
  <c r="EL45" i="10"/>
  <c r="DV45" i="10"/>
  <c r="DO45" i="10"/>
  <c r="DH45" i="10"/>
  <c r="DA45" i="10"/>
  <c r="CR45" i="10"/>
  <c r="CJ45" i="10"/>
  <c r="CF45" i="10"/>
  <c r="BY45" i="10"/>
  <c r="BR45" i="10"/>
  <c r="BI45" i="10"/>
  <c r="AS45" i="10"/>
  <c r="AL45" i="10"/>
  <c r="AE45" i="10"/>
  <c r="X45" i="10"/>
  <c r="O45" i="10"/>
  <c r="FM44" i="10"/>
  <c r="FI44" i="10"/>
  <c r="FB44" i="10"/>
  <c r="EU44" i="10"/>
  <c r="EL44" i="10"/>
  <c r="DV44" i="10"/>
  <c r="DO44" i="10"/>
  <c r="DH44" i="10"/>
  <c r="DA44" i="10"/>
  <c r="CR44" i="10"/>
  <c r="CJ44" i="10"/>
  <c r="CF44" i="10"/>
  <c r="BY44" i="10"/>
  <c r="BR44" i="10"/>
  <c r="BI44" i="10"/>
  <c r="AS44" i="10"/>
  <c r="AL44" i="10"/>
  <c r="AE44" i="10"/>
  <c r="X44" i="10"/>
  <c r="O44" i="10"/>
  <c r="FM43" i="10"/>
  <c r="FI43" i="10"/>
  <c r="FB43" i="10"/>
  <c r="EU43" i="10"/>
  <c r="EL43" i="10"/>
  <c r="DV43" i="10"/>
  <c r="DO43" i="10"/>
  <c r="DH43" i="10"/>
  <c r="DA43" i="10"/>
  <c r="CR43" i="10"/>
  <c r="CJ43" i="10"/>
  <c r="CF43" i="10"/>
  <c r="BY43" i="10"/>
  <c r="BR43" i="10"/>
  <c r="BI43" i="10"/>
  <c r="AS43" i="10"/>
  <c r="AL43" i="10"/>
  <c r="AE43" i="10"/>
  <c r="X43" i="10"/>
  <c r="O43" i="10"/>
  <c r="FM42" i="10"/>
  <c r="FI42" i="10"/>
  <c r="FB42" i="10"/>
  <c r="EU42" i="10"/>
  <c r="EL42" i="10"/>
  <c r="DV42" i="10"/>
  <c r="DO42" i="10"/>
  <c r="DH42" i="10"/>
  <c r="DA42" i="10"/>
  <c r="CR42" i="10"/>
  <c r="CJ42" i="10"/>
  <c r="CF42" i="10"/>
  <c r="BY42" i="10"/>
  <c r="BR42" i="10"/>
  <c r="BI42" i="10"/>
  <c r="AS42" i="10"/>
  <c r="AL42" i="10"/>
  <c r="AE42" i="10"/>
  <c r="X42" i="10"/>
  <c r="O42" i="10"/>
  <c r="FM41" i="10"/>
  <c r="FI41" i="10"/>
  <c r="FB41" i="10"/>
  <c r="EU41" i="10"/>
  <c r="EL41" i="10"/>
  <c r="DV41" i="10"/>
  <c r="DO41" i="10"/>
  <c r="DH41" i="10"/>
  <c r="DA41" i="10"/>
  <c r="CR41" i="10"/>
  <c r="CJ41" i="10"/>
  <c r="CF41" i="10"/>
  <c r="BY41" i="10"/>
  <c r="BR41" i="10"/>
  <c r="BI41" i="10"/>
  <c r="AS41" i="10"/>
  <c r="AL41" i="10"/>
  <c r="AE41" i="10"/>
  <c r="X41" i="10"/>
  <c r="O41" i="10"/>
  <c r="FM40" i="10"/>
  <c r="FI40" i="10"/>
  <c r="FB40" i="10"/>
  <c r="EU40" i="10"/>
  <c r="EL40" i="10"/>
  <c r="DV40" i="10"/>
  <c r="DO40" i="10"/>
  <c r="DH40" i="10"/>
  <c r="DA40" i="10"/>
  <c r="CR40" i="10"/>
  <c r="CJ40" i="10"/>
  <c r="CF40" i="10"/>
  <c r="BY40" i="10"/>
  <c r="BR40" i="10"/>
  <c r="BI40" i="10"/>
  <c r="AS40" i="10"/>
  <c r="AL40" i="10"/>
  <c r="AE40" i="10"/>
  <c r="X40" i="10"/>
  <c r="O40" i="10"/>
  <c r="N56" i="8"/>
  <c r="H56" i="8"/>
  <c r="Q56" i="8"/>
  <c r="L56" i="8"/>
  <c r="Q55" i="8"/>
  <c r="P56" i="8"/>
  <c r="G56" i="8"/>
  <c r="K56" i="8"/>
  <c r="P55" i="8"/>
  <c r="M56" i="8"/>
  <c r="K55" i="8"/>
  <c r="R55" i="8"/>
  <c r="R56" i="8"/>
  <c r="I56" i="8"/>
  <c r="F56" i="8"/>
  <c r="E56" i="8"/>
  <c r="T56" i="8"/>
  <c r="S56" i="8"/>
  <c r="Q41" i="10"/>
  <c r="BK40" i="10"/>
  <c r="CT44" i="10"/>
  <c r="Q40" i="10"/>
  <c r="EN42" i="10"/>
  <c r="CT43" i="10"/>
  <c r="Q44" i="10"/>
  <c r="BK44" i="10"/>
  <c r="BK42" i="10"/>
  <c r="BK41" i="10"/>
  <c r="Q45" i="10"/>
  <c r="Q43" i="10"/>
  <c r="EN43" i="10"/>
  <c r="EN45" i="10"/>
  <c r="EN40" i="10"/>
  <c r="EN44" i="10"/>
  <c r="BK45" i="10"/>
  <c r="EN41" i="10"/>
  <c r="CT42" i="10"/>
  <c r="CT45" i="10"/>
  <c r="Q42" i="10"/>
  <c r="CT40" i="10"/>
  <c r="CT41" i="10"/>
  <c r="BK43" i="10"/>
  <c r="B58" i="8" l="1"/>
  <c r="C58" i="8" s="1"/>
  <c r="A57" i="8"/>
  <c r="CG43" i="10"/>
  <c r="CI43" i="10" s="1"/>
  <c r="CG44" i="10"/>
  <c r="CI44" i="10" s="1"/>
  <c r="CG45" i="10"/>
  <c r="CI45" i="10" s="1"/>
  <c r="CG41" i="10"/>
  <c r="CI41" i="10" s="1"/>
  <c r="CG42" i="10"/>
  <c r="CI42" i="10" s="1"/>
  <c r="CG40" i="10"/>
  <c r="CI40" i="10" s="1"/>
  <c r="FJ40" i="10"/>
  <c r="FL40" i="10" s="1"/>
  <c r="FJ41" i="10"/>
  <c r="FL41" i="10" s="1"/>
  <c r="FJ42" i="10"/>
  <c r="FL42" i="10" s="1"/>
  <c r="FJ43" i="10"/>
  <c r="FL43" i="10" s="1"/>
  <c r="FJ44" i="10"/>
  <c r="FL44" i="10" s="1"/>
  <c r="FJ45" i="10"/>
  <c r="FL45" i="10" s="1"/>
  <c r="R15" i="13"/>
  <c r="R14" i="13"/>
  <c r="R13" i="13"/>
  <c r="R12" i="13"/>
  <c r="R11" i="13"/>
  <c r="R10" i="13"/>
  <c r="W11" i="13"/>
  <c r="F11" i="13" s="1"/>
  <c r="W12" i="13"/>
  <c r="F12" i="13" s="1"/>
  <c r="M12" i="11" s="1"/>
  <c r="W13" i="13"/>
  <c r="F13" i="13" s="1"/>
  <c r="M13" i="11" s="1"/>
  <c r="W14" i="13"/>
  <c r="F14" i="13" s="1"/>
  <c r="M14" i="11" s="1"/>
  <c r="W15" i="13"/>
  <c r="F15" i="13" s="1"/>
  <c r="M15" i="11" s="1"/>
  <c r="W16" i="13"/>
  <c r="F16" i="13" s="1"/>
  <c r="M22" i="11" s="1"/>
  <c r="W17" i="13"/>
  <c r="F17" i="13" s="1"/>
  <c r="M23" i="11" s="1"/>
  <c r="W18" i="13"/>
  <c r="F18" i="13" s="1"/>
  <c r="M24" i="11" s="1"/>
  <c r="W19" i="13"/>
  <c r="F19" i="13" s="1"/>
  <c r="M25" i="11" s="1"/>
  <c r="W20" i="13"/>
  <c r="F20" i="13" s="1"/>
  <c r="M26" i="11" s="1"/>
  <c r="W21" i="13"/>
  <c r="F21" i="13" s="1"/>
  <c r="M27" i="11" s="1"/>
  <c r="W22" i="13"/>
  <c r="F22" i="13" s="1"/>
  <c r="M34" i="11" s="1"/>
  <c r="W23" i="13"/>
  <c r="F23" i="13" s="1"/>
  <c r="M35" i="11" s="1"/>
  <c r="W24" i="13"/>
  <c r="F24" i="13" s="1"/>
  <c r="M36" i="11" s="1"/>
  <c r="W25" i="13"/>
  <c r="F25" i="13" s="1"/>
  <c r="M37" i="11" s="1"/>
  <c r="W26" i="13"/>
  <c r="F26" i="13" s="1"/>
  <c r="M38" i="11" s="1"/>
  <c r="W27" i="13"/>
  <c r="F27" i="13" s="1"/>
  <c r="M39" i="11" s="1"/>
  <c r="W28" i="13"/>
  <c r="F28" i="13" s="1"/>
  <c r="M40" i="11" s="1"/>
  <c r="W29" i="13"/>
  <c r="F29" i="13" s="1"/>
  <c r="M41" i="11" s="1"/>
  <c r="W10" i="13"/>
  <c r="F10" i="13" s="1"/>
  <c r="M10" i="11" s="1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BN41" i="11"/>
  <c r="C28" i="12"/>
  <c r="C27" i="12"/>
  <c r="C26" i="12"/>
  <c r="C25" i="12"/>
  <c r="C24" i="12"/>
  <c r="C23" i="12"/>
  <c r="E35" i="11" s="1"/>
  <c r="C22" i="12"/>
  <c r="C21" i="12"/>
  <c r="E27" i="11" s="1"/>
  <c r="C20" i="12"/>
  <c r="C19" i="12"/>
  <c r="E25" i="11" s="1"/>
  <c r="C18" i="12"/>
  <c r="E24" i="11" s="1"/>
  <c r="C17" i="12"/>
  <c r="C16" i="12"/>
  <c r="C15" i="12"/>
  <c r="E15" i="11" s="1"/>
  <c r="C14" i="12"/>
  <c r="E14" i="11" s="1"/>
  <c r="C13" i="12"/>
  <c r="E13" i="11" s="1"/>
  <c r="C12" i="12"/>
  <c r="E12" i="11" s="1"/>
  <c r="C11" i="12"/>
  <c r="E11" i="11" s="1"/>
  <c r="C10" i="12"/>
  <c r="E10" i="11" s="1"/>
  <c r="R23" i="12"/>
  <c r="R22" i="12"/>
  <c r="FM39" i="10"/>
  <c r="FI39" i="10"/>
  <c r="FB39" i="10"/>
  <c r="EU39" i="10"/>
  <c r="DV39" i="10"/>
  <c r="DO39" i="10"/>
  <c r="DH39" i="10"/>
  <c r="DA39" i="10"/>
  <c r="CR39" i="10"/>
  <c r="FM38" i="10"/>
  <c r="FI38" i="10"/>
  <c r="FB38" i="10"/>
  <c r="EU38" i="10"/>
  <c r="DV38" i="10"/>
  <c r="DO38" i="10"/>
  <c r="DH38" i="10"/>
  <c r="DA38" i="10"/>
  <c r="CR38" i="10"/>
  <c r="FM37" i="10"/>
  <c r="FI37" i="10"/>
  <c r="FB37" i="10"/>
  <c r="EU37" i="10"/>
  <c r="DV37" i="10"/>
  <c r="DO37" i="10"/>
  <c r="DH37" i="10"/>
  <c r="DA37" i="10"/>
  <c r="CR37" i="10"/>
  <c r="FM36" i="10"/>
  <c r="FI36" i="10"/>
  <c r="FB36" i="10"/>
  <c r="EU36" i="10"/>
  <c r="DV36" i="10"/>
  <c r="DO36" i="10"/>
  <c r="DH36" i="10"/>
  <c r="DA36" i="10"/>
  <c r="CR36" i="10"/>
  <c r="FM35" i="10"/>
  <c r="FI35" i="10"/>
  <c r="FB35" i="10"/>
  <c r="EU35" i="10"/>
  <c r="DV35" i="10"/>
  <c r="DO35" i="10"/>
  <c r="DH35" i="10"/>
  <c r="DA35" i="10"/>
  <c r="CR35" i="10"/>
  <c r="FM34" i="10"/>
  <c r="FI34" i="10"/>
  <c r="FB34" i="10"/>
  <c r="EU34" i="10"/>
  <c r="DV34" i="10"/>
  <c r="DO34" i="10"/>
  <c r="DH34" i="10"/>
  <c r="DA34" i="10"/>
  <c r="CR34" i="10"/>
  <c r="FI33" i="10"/>
  <c r="FB33" i="10"/>
  <c r="DO33" i="10"/>
  <c r="DH33" i="10"/>
  <c r="DA33" i="10"/>
  <c r="CT33" i="10"/>
  <c r="FI32" i="10"/>
  <c r="FB32" i="10"/>
  <c r="DO32" i="10"/>
  <c r="DH32" i="10"/>
  <c r="DA32" i="10"/>
  <c r="CT32" i="10"/>
  <c r="FM31" i="10"/>
  <c r="FI31" i="10"/>
  <c r="FB31" i="10"/>
  <c r="DV31" i="10"/>
  <c r="DO31" i="10"/>
  <c r="DH31" i="10"/>
  <c r="DA31" i="10"/>
  <c r="CT31" i="10"/>
  <c r="FM30" i="10"/>
  <c r="FI30" i="10"/>
  <c r="FB30" i="10"/>
  <c r="DV30" i="10"/>
  <c r="DO30" i="10"/>
  <c r="DH30" i="10"/>
  <c r="DA30" i="10"/>
  <c r="CT30" i="10"/>
  <c r="FM29" i="10"/>
  <c r="FI29" i="10"/>
  <c r="FB29" i="10"/>
  <c r="DV29" i="10"/>
  <c r="DO29" i="10"/>
  <c r="DH29" i="10"/>
  <c r="DA29" i="10"/>
  <c r="CT29" i="10"/>
  <c r="FM28" i="10"/>
  <c r="FI28" i="10"/>
  <c r="FB28" i="10"/>
  <c r="DV28" i="10"/>
  <c r="DO28" i="10"/>
  <c r="DH28" i="10"/>
  <c r="DA28" i="10"/>
  <c r="CT28" i="10"/>
  <c r="FM27" i="10"/>
  <c r="FI27" i="10"/>
  <c r="FB27" i="10"/>
  <c r="DV27" i="10"/>
  <c r="DA27" i="10"/>
  <c r="CT27" i="10"/>
  <c r="FM26" i="10"/>
  <c r="FI26" i="10"/>
  <c r="FB26" i="10"/>
  <c r="DV26" i="10"/>
  <c r="DA26" i="10"/>
  <c r="CT26" i="10"/>
  <c r="FM25" i="10"/>
  <c r="FJ25" i="10"/>
  <c r="FL25" i="10" s="1"/>
  <c r="FI25" i="10"/>
  <c r="FB25" i="10"/>
  <c r="EU25" i="10"/>
  <c r="EN25" i="10"/>
  <c r="EF25" i="10"/>
  <c r="FK25" i="10" s="1"/>
  <c r="DV25" i="10"/>
  <c r="DO25" i="10"/>
  <c r="DH25" i="10"/>
  <c r="DA25" i="10"/>
  <c r="CT25" i="10"/>
  <c r="FM24" i="10"/>
  <c r="FJ24" i="10"/>
  <c r="FL24" i="10" s="1"/>
  <c r="FI24" i="10"/>
  <c r="FB24" i="10"/>
  <c r="EU24" i="10"/>
  <c r="EN24" i="10"/>
  <c r="EF24" i="10"/>
  <c r="FK24" i="10" s="1"/>
  <c r="DV24" i="10"/>
  <c r="DO24" i="10"/>
  <c r="DH24" i="10"/>
  <c r="DA24" i="10"/>
  <c r="CT24" i="10"/>
  <c r="FM23" i="10"/>
  <c r="FJ23" i="10"/>
  <c r="FL23" i="10" s="1"/>
  <c r="FI23" i="10"/>
  <c r="FB23" i="10"/>
  <c r="EU23" i="10"/>
  <c r="EN23" i="10"/>
  <c r="EF23" i="10"/>
  <c r="FK23" i="10" s="1"/>
  <c r="DV23" i="10"/>
  <c r="DO23" i="10"/>
  <c r="DH23" i="10"/>
  <c r="DA23" i="10"/>
  <c r="CT23" i="10"/>
  <c r="FM22" i="10"/>
  <c r="FJ22" i="10"/>
  <c r="FL22" i="10" s="1"/>
  <c r="FI22" i="10"/>
  <c r="FB22" i="10"/>
  <c r="EU22" i="10"/>
  <c r="EN22" i="10"/>
  <c r="EF22" i="10"/>
  <c r="FK22" i="10" s="1"/>
  <c r="DV22" i="10"/>
  <c r="DO22" i="10"/>
  <c r="DH22" i="10"/>
  <c r="DA22" i="10"/>
  <c r="CT22" i="10"/>
  <c r="FM21" i="10"/>
  <c r="FJ21" i="10"/>
  <c r="FL21" i="10" s="1"/>
  <c r="FI21" i="10"/>
  <c r="FB21" i="10"/>
  <c r="EU21" i="10"/>
  <c r="EN21" i="10"/>
  <c r="EF21" i="10"/>
  <c r="FK21" i="10" s="1"/>
  <c r="DV21" i="10"/>
  <c r="DO21" i="10"/>
  <c r="DH21" i="10"/>
  <c r="DA21" i="10"/>
  <c r="CT21" i="10"/>
  <c r="FM20" i="10"/>
  <c r="FJ20" i="10"/>
  <c r="FL20" i="10" s="1"/>
  <c r="FI20" i="10"/>
  <c r="FB20" i="10"/>
  <c r="EU20" i="10"/>
  <c r="EN20" i="10"/>
  <c r="EF20" i="10"/>
  <c r="FK20" i="10" s="1"/>
  <c r="DV20" i="10"/>
  <c r="DO20" i="10"/>
  <c r="DH20" i="10"/>
  <c r="DA20" i="10"/>
  <c r="CT20" i="10"/>
  <c r="BP33" i="10"/>
  <c r="BP32" i="10"/>
  <c r="BI33" i="10"/>
  <c r="BI32" i="10"/>
  <c r="AX32" i="10"/>
  <c r="AX33" i="10"/>
  <c r="CF39" i="10"/>
  <c r="CF38" i="10"/>
  <c r="CF37" i="10"/>
  <c r="CF36" i="10"/>
  <c r="CF35" i="10"/>
  <c r="CF34" i="10"/>
  <c r="CF33" i="10"/>
  <c r="CF32" i="10"/>
  <c r="CF31" i="10"/>
  <c r="CF30" i="10"/>
  <c r="CF29" i="10"/>
  <c r="CF28" i="10"/>
  <c r="CF27" i="10"/>
  <c r="CF26" i="10"/>
  <c r="CF25" i="10"/>
  <c r="CF24" i="10"/>
  <c r="CF23" i="10"/>
  <c r="CF22" i="10"/>
  <c r="CF21" i="10"/>
  <c r="CF20" i="10"/>
  <c r="BY39" i="10"/>
  <c r="BY38" i="10"/>
  <c r="BY37" i="10"/>
  <c r="BY36" i="10"/>
  <c r="BY35" i="10"/>
  <c r="BY34" i="10"/>
  <c r="BY33" i="10"/>
  <c r="BY32" i="10"/>
  <c r="BY31" i="10"/>
  <c r="BY30" i="10"/>
  <c r="BY29" i="10"/>
  <c r="BY28" i="10"/>
  <c r="BY27" i="10"/>
  <c r="BY26" i="10"/>
  <c r="BY25" i="10"/>
  <c r="BY24" i="10"/>
  <c r="BY23" i="10"/>
  <c r="BY22" i="10"/>
  <c r="BY21" i="10"/>
  <c r="BY20" i="10"/>
  <c r="BR39" i="10"/>
  <c r="BR38" i="10"/>
  <c r="BR37" i="10"/>
  <c r="BR36" i="10"/>
  <c r="BR35" i="10"/>
  <c r="BR34" i="10"/>
  <c r="BR25" i="10"/>
  <c r="BR24" i="10"/>
  <c r="BR23" i="10"/>
  <c r="BR22" i="10"/>
  <c r="BR21" i="10"/>
  <c r="BR20" i="10"/>
  <c r="BK25" i="10"/>
  <c r="BK24" i="10"/>
  <c r="BK23" i="10"/>
  <c r="BK22" i="10"/>
  <c r="BK21" i="10"/>
  <c r="BK20" i="10"/>
  <c r="AS39" i="10"/>
  <c r="AS38" i="10"/>
  <c r="AS37" i="10"/>
  <c r="AS36" i="10"/>
  <c r="AS35" i="10"/>
  <c r="AS34" i="10"/>
  <c r="EN28" i="10"/>
  <c r="DV32" i="10"/>
  <c r="EN32" i="10"/>
  <c r="DO27" i="10"/>
  <c r="EU33" i="10"/>
  <c r="DV33" i="10"/>
  <c r="EN33" i="10"/>
  <c r="EU32" i="10"/>
  <c r="EN30" i="10"/>
  <c r="EU28" i="10"/>
  <c r="EN26" i="10"/>
  <c r="EU30" i="10"/>
  <c r="DH26" i="10"/>
  <c r="EN29" i="10"/>
  <c r="DH27" i="10"/>
  <c r="DO26" i="10"/>
  <c r="EU27" i="10"/>
  <c r="EU31" i="10"/>
  <c r="EN31" i="10"/>
  <c r="EU29" i="10"/>
  <c r="EU26" i="10"/>
  <c r="EN27" i="10"/>
  <c r="R57" i="8"/>
  <c r="P57" i="8"/>
  <c r="Q57" i="8"/>
  <c r="I57" i="8"/>
  <c r="E57" i="8"/>
  <c r="K57" i="8"/>
  <c r="M57" i="8"/>
  <c r="N57" i="8"/>
  <c r="T57" i="8"/>
  <c r="G57" i="8"/>
  <c r="F57" i="8"/>
  <c r="S57" i="8"/>
  <c r="H57" i="8"/>
  <c r="L57" i="8"/>
  <c r="EN36" i="10"/>
  <c r="BR33" i="10"/>
  <c r="BK33" i="10"/>
  <c r="BR32" i="10"/>
  <c r="BK32" i="10"/>
  <c r="CT34" i="10"/>
  <c r="EN37" i="10"/>
  <c r="CT38" i="10"/>
  <c r="AS32" i="10"/>
  <c r="EN35" i="10"/>
  <c r="CT39" i="10"/>
  <c r="CT36" i="10"/>
  <c r="AS33" i="10"/>
  <c r="CT37" i="10"/>
  <c r="EN38" i="10"/>
  <c r="EN39" i="10"/>
  <c r="EN34" i="10"/>
  <c r="CT35" i="10"/>
  <c r="M11" i="14" l="1"/>
  <c r="M10" i="14"/>
  <c r="M12" i="14"/>
  <c r="M11" i="11"/>
  <c r="BN10" i="11"/>
  <c r="CM10" i="11"/>
  <c r="B59" i="8"/>
  <c r="C59" i="8" s="1"/>
  <c r="A58" i="8"/>
  <c r="E34" i="11"/>
  <c r="BN34" i="11" s="1"/>
  <c r="E38" i="11"/>
  <c r="C32" i="12"/>
  <c r="E44" i="11" s="1"/>
  <c r="E39" i="11"/>
  <c r="C33" i="12"/>
  <c r="E45" i="11" s="1"/>
  <c r="E23" i="11"/>
  <c r="BN23" i="11" s="1"/>
  <c r="E37" i="11"/>
  <c r="C31" i="12"/>
  <c r="E43" i="11" s="1"/>
  <c r="E22" i="11"/>
  <c r="CA22" i="11" s="1"/>
  <c r="E26" i="11"/>
  <c r="BN26" i="11" s="1"/>
  <c r="E36" i="11"/>
  <c r="C30" i="12"/>
  <c r="E42" i="11" s="1"/>
  <c r="E40" i="11"/>
  <c r="C34" i="12"/>
  <c r="E46" i="11" s="1"/>
  <c r="CA41" i="11"/>
  <c r="CA10" i="11"/>
  <c r="BN25" i="11"/>
  <c r="CA25" i="11"/>
  <c r="FN20" i="10"/>
  <c r="FN24" i="10"/>
  <c r="FN21" i="10"/>
  <c r="FN23" i="10"/>
  <c r="FN25" i="10"/>
  <c r="FN22" i="10"/>
  <c r="FJ27" i="10"/>
  <c r="FL27" i="10" s="1"/>
  <c r="FJ31" i="10"/>
  <c r="FL31" i="10" s="1"/>
  <c r="FJ29" i="10"/>
  <c r="FL29" i="10" s="1"/>
  <c r="FJ26" i="10"/>
  <c r="FL26" i="10" s="1"/>
  <c r="FJ30" i="10"/>
  <c r="FL30" i="10" s="1"/>
  <c r="FJ36" i="10"/>
  <c r="FL36" i="10" s="1"/>
  <c r="FJ33" i="10"/>
  <c r="FL33" i="10" s="1"/>
  <c r="FJ37" i="10"/>
  <c r="FL37" i="10" s="1"/>
  <c r="FJ32" i="10"/>
  <c r="FL32" i="10" s="1"/>
  <c r="FJ35" i="10"/>
  <c r="FL35" i="10" s="1"/>
  <c r="FJ39" i="10"/>
  <c r="FL39" i="10" s="1"/>
  <c r="FJ28" i="10"/>
  <c r="FL28" i="10" s="1"/>
  <c r="FJ34" i="10"/>
  <c r="FL34" i="10" s="1"/>
  <c r="FJ38" i="10"/>
  <c r="FL38" i="10" s="1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L39" i="10"/>
  <c r="AL38" i="10"/>
  <c r="AL37" i="10"/>
  <c r="AL36" i="10"/>
  <c r="AL35" i="10"/>
  <c r="AL34" i="10"/>
  <c r="AL33" i="10"/>
  <c r="AL32" i="10"/>
  <c r="AL31" i="10"/>
  <c r="AL30" i="10"/>
  <c r="AL29" i="10"/>
  <c r="AL28" i="10"/>
  <c r="AL25" i="10"/>
  <c r="AL24" i="10"/>
  <c r="AL23" i="10"/>
  <c r="AL22" i="10"/>
  <c r="AL21" i="10"/>
  <c r="AL2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5" i="10"/>
  <c r="AE24" i="10"/>
  <c r="AE23" i="10"/>
  <c r="AE22" i="10"/>
  <c r="AE21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10" i="12"/>
  <c r="AQ16" i="9"/>
  <c r="AR16" i="9" s="1"/>
  <c r="AQ17" i="9"/>
  <c r="AR17" i="9" s="1"/>
  <c r="AQ18" i="9"/>
  <c r="AR18" i="9" s="1"/>
  <c r="AQ19" i="9"/>
  <c r="AR19" i="9" s="1"/>
  <c r="AQ20" i="9"/>
  <c r="AR20" i="9" s="1"/>
  <c r="AQ21" i="9"/>
  <c r="AR21" i="9" s="1"/>
  <c r="AQ22" i="9"/>
  <c r="AQ23" i="9"/>
  <c r="AJ16" i="9"/>
  <c r="AK16" i="9" s="1"/>
  <c r="AL16" i="9" s="1"/>
  <c r="AJ17" i="9"/>
  <c r="AK17" i="9" s="1"/>
  <c r="AL17" i="9" s="1"/>
  <c r="AJ18" i="9"/>
  <c r="AK18" i="9" s="1"/>
  <c r="AL18" i="9" s="1"/>
  <c r="AJ19" i="9"/>
  <c r="AK19" i="9" s="1"/>
  <c r="AL19" i="9" s="1"/>
  <c r="AJ20" i="9"/>
  <c r="AK20" i="9" s="1"/>
  <c r="AL20" i="9" s="1"/>
  <c r="AJ21" i="9"/>
  <c r="AK21" i="9"/>
  <c r="AL21" i="9" s="1"/>
  <c r="AJ22" i="9"/>
  <c r="AK22" i="9" s="1"/>
  <c r="AL22" i="9" s="1"/>
  <c r="AJ23" i="9"/>
  <c r="AK23" i="9"/>
  <c r="AL23" i="9" s="1"/>
  <c r="AC11" i="9"/>
  <c r="AD11" i="9" s="1"/>
  <c r="AC12" i="9"/>
  <c r="AD12" i="9" s="1"/>
  <c r="AC13" i="9"/>
  <c r="AD13" i="9" s="1"/>
  <c r="AC14" i="9"/>
  <c r="AD14" i="9" s="1"/>
  <c r="AC15" i="9"/>
  <c r="AD15" i="9" s="1"/>
  <c r="AC16" i="9"/>
  <c r="AD16" i="9" s="1"/>
  <c r="AC17" i="9"/>
  <c r="AD17" i="9" s="1"/>
  <c r="AC18" i="9"/>
  <c r="AD18" i="9" s="1"/>
  <c r="AC19" i="9"/>
  <c r="AD19" i="9" s="1"/>
  <c r="AC20" i="9"/>
  <c r="AD20" i="9"/>
  <c r="AC21" i="9"/>
  <c r="AD21" i="9" s="1"/>
  <c r="AC22" i="9"/>
  <c r="AD22" i="9"/>
  <c r="AC23" i="9"/>
  <c r="AD23" i="9" s="1"/>
  <c r="AC24" i="9"/>
  <c r="AD24" i="9" s="1"/>
  <c r="AC25" i="9"/>
  <c r="AD25" i="9"/>
  <c r="AC26" i="9"/>
  <c r="AD26" i="9" s="1"/>
  <c r="AC27" i="9"/>
  <c r="AD27" i="9" s="1"/>
  <c r="AC28" i="9"/>
  <c r="AD28" i="9"/>
  <c r="AC29" i="9"/>
  <c r="AD29" i="9" s="1"/>
  <c r="AC10" i="9"/>
  <c r="AD10" i="9" s="1"/>
  <c r="AA29" i="9"/>
  <c r="Z29" i="9"/>
  <c r="AQ29" i="9" s="1"/>
  <c r="AR29" i="9" s="1"/>
  <c r="Y29" i="9"/>
  <c r="X29" i="9"/>
  <c r="W29" i="9"/>
  <c r="V29" i="9"/>
  <c r="AA28" i="9"/>
  <c r="Z28" i="9"/>
  <c r="AQ28" i="9" s="1"/>
  <c r="AR28" i="9" s="1"/>
  <c r="Y28" i="9"/>
  <c r="X28" i="9"/>
  <c r="W28" i="9"/>
  <c r="V28" i="9"/>
  <c r="AA27" i="9"/>
  <c r="Z27" i="9"/>
  <c r="AQ27" i="9" s="1"/>
  <c r="AR27" i="9" s="1"/>
  <c r="Y27" i="9"/>
  <c r="X27" i="9"/>
  <c r="W27" i="9"/>
  <c r="V27" i="9"/>
  <c r="AA26" i="9"/>
  <c r="Z26" i="9"/>
  <c r="AQ26" i="9" s="1"/>
  <c r="AR26" i="9" s="1"/>
  <c r="Y26" i="9"/>
  <c r="X26" i="9"/>
  <c r="W26" i="9"/>
  <c r="V26" i="9"/>
  <c r="AA25" i="9"/>
  <c r="Z25" i="9"/>
  <c r="AQ25" i="9" s="1"/>
  <c r="AR25" i="9" s="1"/>
  <c r="Y25" i="9"/>
  <c r="X25" i="9"/>
  <c r="AJ25" i="9" s="1"/>
  <c r="W25" i="9"/>
  <c r="V25" i="9"/>
  <c r="AA24" i="9"/>
  <c r="Z24" i="9"/>
  <c r="AQ24" i="9" s="1"/>
  <c r="AR24" i="9" s="1"/>
  <c r="Y24" i="9"/>
  <c r="X24" i="9"/>
  <c r="W24" i="9"/>
  <c r="V24" i="9"/>
  <c r="AA15" i="9"/>
  <c r="Z15" i="9"/>
  <c r="Y15" i="9"/>
  <c r="X15" i="9"/>
  <c r="AJ15" i="9" s="1"/>
  <c r="W15" i="9"/>
  <c r="V15" i="9"/>
  <c r="AA14" i="9"/>
  <c r="Z14" i="9"/>
  <c r="AQ14" i="9" s="1"/>
  <c r="Y14" i="9"/>
  <c r="X14" i="9"/>
  <c r="W14" i="9"/>
  <c r="V14" i="9"/>
  <c r="AA13" i="9"/>
  <c r="Z13" i="9"/>
  <c r="AQ13" i="9" s="1"/>
  <c r="Y13" i="9"/>
  <c r="X13" i="9"/>
  <c r="AJ13" i="9" s="1"/>
  <c r="W13" i="9"/>
  <c r="V13" i="9"/>
  <c r="AA12" i="9"/>
  <c r="Z12" i="9"/>
  <c r="AQ12" i="9" s="1"/>
  <c r="AR12" i="9" s="1"/>
  <c r="Y12" i="9"/>
  <c r="X12" i="9"/>
  <c r="W12" i="9"/>
  <c r="V12" i="9"/>
  <c r="AA11" i="9"/>
  <c r="Z11" i="9"/>
  <c r="AQ11" i="9" s="1"/>
  <c r="Y11" i="9"/>
  <c r="X11" i="9"/>
  <c r="AJ11" i="9" s="1"/>
  <c r="W11" i="9"/>
  <c r="V11" i="9"/>
  <c r="AA10" i="9"/>
  <c r="Z10" i="9"/>
  <c r="AQ10" i="9" s="1"/>
  <c r="Y10" i="9"/>
  <c r="X10" i="9"/>
  <c r="W10" i="9"/>
  <c r="V10" i="9"/>
  <c r="N21" i="9"/>
  <c r="N20" i="9"/>
  <c r="N19" i="9"/>
  <c r="N18" i="9"/>
  <c r="N17" i="9"/>
  <c r="N16" i="9"/>
  <c r="K23" i="9"/>
  <c r="AR23" i="9" s="1"/>
  <c r="K22" i="9"/>
  <c r="AR22" i="9" s="1"/>
  <c r="K15" i="9"/>
  <c r="K14" i="9"/>
  <c r="K13" i="9"/>
  <c r="AR13" i="9" s="1"/>
  <c r="K12" i="9"/>
  <c r="K11" i="9"/>
  <c r="K10" i="9"/>
  <c r="W10" i="11"/>
  <c r="L58" i="8"/>
  <c r="H58" i="8"/>
  <c r="Q58" i="8"/>
  <c r="T58" i="8"/>
  <c r="F58" i="8"/>
  <c r="AP3" i="10"/>
  <c r="G58" i="8"/>
  <c r="S58" i="8"/>
  <c r="R6" i="10"/>
  <c r="K58" i="8"/>
  <c r="N58" i="8"/>
  <c r="P58" i="8"/>
  <c r="R8" i="10"/>
  <c r="E58" i="8"/>
  <c r="R58" i="8"/>
  <c r="R7" i="10"/>
  <c r="I58" i="8"/>
  <c r="S6" i="10"/>
  <c r="F41" i="8"/>
  <c r="U18" i="12"/>
  <c r="U22" i="12"/>
  <c r="U11" i="12"/>
  <c r="U21" i="12"/>
  <c r="F40" i="8"/>
  <c r="P7" i="10"/>
  <c r="U13" i="12"/>
  <c r="P6" i="10"/>
  <c r="U23" i="12"/>
  <c r="F43" i="8"/>
  <c r="U19" i="12"/>
  <c r="F39" i="8"/>
  <c r="U17" i="12"/>
  <c r="Q7" i="10"/>
  <c r="AN3" i="10"/>
  <c r="S3" i="10"/>
  <c r="S8" i="10"/>
  <c r="U15" i="12"/>
  <c r="Q6" i="10"/>
  <c r="Q8" i="10"/>
  <c r="F44" i="8"/>
  <c r="U28" i="12"/>
  <c r="U26" i="12"/>
  <c r="U10" i="12"/>
  <c r="F42" i="8"/>
  <c r="AE20" i="10"/>
  <c r="U27" i="12"/>
  <c r="U29" i="12"/>
  <c r="U12" i="12"/>
  <c r="P8" i="10"/>
  <c r="U20" i="12"/>
  <c r="U25" i="12"/>
  <c r="S7" i="10"/>
  <c r="U14" i="12"/>
  <c r="U16" i="12"/>
  <c r="AO3" i="10"/>
  <c r="U24" i="12"/>
  <c r="AK11" i="9" l="1"/>
  <c r="AK13" i="9"/>
  <c r="AK25" i="9"/>
  <c r="AJ27" i="9"/>
  <c r="AK27" i="9" s="1"/>
  <c r="AJ29" i="9"/>
  <c r="AK29" i="9" s="1"/>
  <c r="AR11" i="9"/>
  <c r="AQ15" i="9"/>
  <c r="CA23" i="11"/>
  <c r="B60" i="8"/>
  <c r="C60" i="8" s="1"/>
  <c r="A59" i="8"/>
  <c r="CA34" i="11"/>
  <c r="AR10" i="9"/>
  <c r="AR14" i="9"/>
  <c r="AK15" i="9"/>
  <c r="BN22" i="11"/>
  <c r="AJ10" i="9"/>
  <c r="AK10" i="9" s="1"/>
  <c r="AJ12" i="9"/>
  <c r="AK12" i="9" s="1"/>
  <c r="AJ14" i="9"/>
  <c r="AK14" i="9" s="1"/>
  <c r="AJ24" i="9"/>
  <c r="AK24" i="9" s="1"/>
  <c r="AL24" i="9" s="1"/>
  <c r="AJ26" i="9"/>
  <c r="AK26" i="9" s="1"/>
  <c r="AJ28" i="9"/>
  <c r="AK28" i="9" s="1"/>
  <c r="CA26" i="11"/>
  <c r="AR15" i="9"/>
  <c r="N43" i="8"/>
  <c r="V10" i="12"/>
  <c r="X10" i="12" s="1"/>
  <c r="D10" i="12" s="1"/>
  <c r="F10" i="11" s="1"/>
  <c r="V18" i="12"/>
  <c r="X18" i="12" s="1"/>
  <c r="D18" i="12" s="1"/>
  <c r="F24" i="11" s="1"/>
  <c r="V15" i="12"/>
  <c r="X15" i="12" s="1"/>
  <c r="D15" i="12" s="1"/>
  <c r="F15" i="11" s="1"/>
  <c r="V14" i="12"/>
  <c r="X14" i="12" s="1"/>
  <c r="D14" i="12" s="1"/>
  <c r="F14" i="11" s="1"/>
  <c r="V21" i="12"/>
  <c r="X21" i="12" s="1"/>
  <c r="D21" i="12" s="1"/>
  <c r="F27" i="11" s="1"/>
  <c r="V13" i="12"/>
  <c r="X13" i="12" s="1"/>
  <c r="D13" i="12" s="1"/>
  <c r="F13" i="11" s="1"/>
  <c r="V16" i="12"/>
  <c r="X16" i="12" s="1"/>
  <c r="D16" i="12" s="1"/>
  <c r="F22" i="11" s="1"/>
  <c r="V20" i="12"/>
  <c r="X20" i="12" s="1"/>
  <c r="D20" i="12" s="1"/>
  <c r="F26" i="11" s="1"/>
  <c r="V12" i="12"/>
  <c r="X12" i="12" s="1"/>
  <c r="D12" i="12" s="1"/>
  <c r="F12" i="11" s="1"/>
  <c r="V17" i="12"/>
  <c r="X17" i="12" s="1"/>
  <c r="D17" i="12" s="1"/>
  <c r="F23" i="11" s="1"/>
  <c r="V19" i="12"/>
  <c r="X19" i="12" s="1"/>
  <c r="D19" i="12" s="1"/>
  <c r="F25" i="11" s="1"/>
  <c r="V11" i="12"/>
  <c r="X11" i="12" s="1"/>
  <c r="D11" i="12" s="1"/>
  <c r="F11" i="11" s="1"/>
  <c r="V25" i="12"/>
  <c r="X25" i="12" s="1"/>
  <c r="D25" i="12" s="1"/>
  <c r="V29" i="12"/>
  <c r="X29" i="12" s="1"/>
  <c r="D29" i="12" s="1"/>
  <c r="V26" i="12"/>
  <c r="X26" i="12" s="1"/>
  <c r="D26" i="12" s="1"/>
  <c r="V28" i="12"/>
  <c r="X28" i="12" s="1"/>
  <c r="D28" i="12" s="1"/>
  <c r="V24" i="12"/>
  <c r="X24" i="12" s="1"/>
  <c r="D24" i="12" s="1"/>
  <c r="V27" i="12"/>
  <c r="X27" i="12" s="1"/>
  <c r="D27" i="12" s="1"/>
  <c r="V23" i="12"/>
  <c r="X23" i="12" s="1"/>
  <c r="D23" i="12" s="1"/>
  <c r="F35" i="11" s="1"/>
  <c r="V22" i="12"/>
  <c r="X22" i="12" s="1"/>
  <c r="D22" i="12" s="1"/>
  <c r="F34" i="11" s="1"/>
  <c r="N44" i="8"/>
  <c r="N42" i="8"/>
  <c r="N41" i="8"/>
  <c r="N40" i="8"/>
  <c r="N39" i="8"/>
  <c r="AL25" i="9"/>
  <c r="AL27" i="9"/>
  <c r="AL26" i="9"/>
  <c r="AL28" i="9"/>
  <c r="AL29" i="9"/>
  <c r="AW29" i="5"/>
  <c r="AV29" i="5"/>
  <c r="AU29" i="5"/>
  <c r="AT29" i="5"/>
  <c r="AW28" i="5"/>
  <c r="AV28" i="5"/>
  <c r="AU28" i="5"/>
  <c r="AT28" i="5"/>
  <c r="AW27" i="5"/>
  <c r="AV27" i="5"/>
  <c r="AU27" i="5"/>
  <c r="AT27" i="5"/>
  <c r="AW26" i="5"/>
  <c r="AV26" i="5"/>
  <c r="AU26" i="5"/>
  <c r="AT26" i="5"/>
  <c r="AW25" i="5"/>
  <c r="AV25" i="5"/>
  <c r="AU25" i="5"/>
  <c r="AT25" i="5"/>
  <c r="AW24" i="5"/>
  <c r="AV24" i="5"/>
  <c r="AU24" i="5"/>
  <c r="AT24" i="5"/>
  <c r="AW23" i="5"/>
  <c r="AV23" i="5"/>
  <c r="AU23" i="5"/>
  <c r="AT23" i="5"/>
  <c r="AW22" i="5"/>
  <c r="AV22" i="5"/>
  <c r="AU22" i="5"/>
  <c r="AT22" i="5"/>
  <c r="AW21" i="5"/>
  <c r="AV21" i="5"/>
  <c r="AU21" i="5"/>
  <c r="AT21" i="5"/>
  <c r="AW20" i="5"/>
  <c r="AV20" i="5"/>
  <c r="AU20" i="5"/>
  <c r="AT20" i="5"/>
  <c r="AW19" i="5"/>
  <c r="AV19" i="5"/>
  <c r="AU19" i="5"/>
  <c r="AT19" i="5"/>
  <c r="AW18" i="5"/>
  <c r="AV18" i="5"/>
  <c r="AU18" i="5"/>
  <c r="AT18" i="5"/>
  <c r="AW17" i="5"/>
  <c r="AV17" i="5"/>
  <c r="AU17" i="5"/>
  <c r="AT17" i="5"/>
  <c r="AW16" i="5"/>
  <c r="AV16" i="5"/>
  <c r="AU16" i="5"/>
  <c r="AT16" i="5"/>
  <c r="AW15" i="5"/>
  <c r="AV15" i="5"/>
  <c r="AU15" i="5"/>
  <c r="AT15" i="5"/>
  <c r="AW14" i="5"/>
  <c r="AV14" i="5"/>
  <c r="AU14" i="5"/>
  <c r="AT14" i="5"/>
  <c r="AW13" i="5"/>
  <c r="AV13" i="5"/>
  <c r="AU13" i="5"/>
  <c r="AT13" i="5"/>
  <c r="AW12" i="5"/>
  <c r="AV12" i="5"/>
  <c r="AU12" i="5"/>
  <c r="AT12" i="5"/>
  <c r="AW11" i="5"/>
  <c r="AV11" i="5"/>
  <c r="AU11" i="5"/>
  <c r="AT11" i="5"/>
  <c r="AW10" i="5"/>
  <c r="AV10" i="5"/>
  <c r="AU10" i="5"/>
  <c r="AT1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V10" i="11"/>
  <c r="P59" i="8"/>
  <c r="H59" i="8"/>
  <c r="Q59" i="8"/>
  <c r="G59" i="8"/>
  <c r="M58" i="8"/>
  <c r="R59" i="8"/>
  <c r="S59" i="8"/>
  <c r="AP6" i="10"/>
  <c r="AP4" i="10"/>
  <c r="F59" i="8"/>
  <c r="AP7" i="10"/>
  <c r="T59" i="8"/>
  <c r="R3" i="10"/>
  <c r="AP5" i="10"/>
  <c r="I59" i="8"/>
  <c r="E59" i="8"/>
  <c r="AX16" i="5"/>
  <c r="H43" i="8"/>
  <c r="AY16" i="5"/>
  <c r="AG6" i="10"/>
  <c r="AY19" i="5"/>
  <c r="AN4" i="10"/>
  <c r="AX13" i="5"/>
  <c r="H40" i="8"/>
  <c r="AX21" i="5"/>
  <c r="AX14" i="5"/>
  <c r="AY17" i="5"/>
  <c r="AF3" i="10"/>
  <c r="AY18" i="5"/>
  <c r="AX27" i="5"/>
  <c r="AG5" i="10"/>
  <c r="AY14" i="5"/>
  <c r="AX10" i="5"/>
  <c r="AY11" i="5"/>
  <c r="AF4" i="10"/>
  <c r="AO6" i="10"/>
  <c r="AY26" i="5"/>
  <c r="AX19" i="5"/>
  <c r="AX24" i="5"/>
  <c r="AY28" i="5"/>
  <c r="AO4" i="10"/>
  <c r="AX20" i="5"/>
  <c r="AY27" i="5"/>
  <c r="AF6" i="10"/>
  <c r="AN7" i="10"/>
  <c r="AY12" i="5"/>
  <c r="AY20" i="5"/>
  <c r="AG7" i="10"/>
  <c r="AY10" i="5"/>
  <c r="AX11" i="5"/>
  <c r="AX17" i="5"/>
  <c r="AG3" i="10"/>
  <c r="AN5" i="10"/>
  <c r="AX23" i="5"/>
  <c r="AX25" i="5"/>
  <c r="AF7" i="10"/>
  <c r="AY13" i="5"/>
  <c r="AX28" i="5"/>
  <c r="AY23" i="5"/>
  <c r="AX26" i="5"/>
  <c r="H41" i="8"/>
  <c r="AF5" i="10"/>
  <c r="AY29" i="5"/>
  <c r="AO7" i="10"/>
  <c r="Q3" i="10"/>
  <c r="AO5" i="10"/>
  <c r="AY21" i="5"/>
  <c r="AN6" i="10"/>
  <c r="AX18" i="5"/>
  <c r="P3" i="10"/>
  <c r="AY22" i="5"/>
  <c r="AY25" i="5"/>
  <c r="AY24" i="5"/>
  <c r="AX15" i="5"/>
  <c r="H42" i="8"/>
  <c r="AX22" i="5"/>
  <c r="AG4" i="10"/>
  <c r="AX12" i="5"/>
  <c r="AX29" i="5"/>
  <c r="AY15" i="5"/>
  <c r="I15" i="5" l="1"/>
  <c r="AX15" i="11" s="1"/>
  <c r="AX21" i="11" s="1"/>
  <c r="I19" i="5"/>
  <c r="AX25" i="11" s="1"/>
  <c r="I25" i="5"/>
  <c r="AX37" i="11" s="1"/>
  <c r="I29" i="5"/>
  <c r="AX41" i="11" s="1"/>
  <c r="I17" i="5"/>
  <c r="AX23" i="11" s="1"/>
  <c r="I23" i="5"/>
  <c r="AX35" i="11" s="1"/>
  <c r="I27" i="5"/>
  <c r="AX39" i="11" s="1"/>
  <c r="I22" i="5"/>
  <c r="AX34" i="11" s="1"/>
  <c r="I26" i="5"/>
  <c r="AX38" i="11" s="1"/>
  <c r="I11" i="5"/>
  <c r="AX11" i="11" s="1"/>
  <c r="AX17" i="11" s="1"/>
  <c r="I28" i="5"/>
  <c r="AX40" i="11" s="1"/>
  <c r="I21" i="5"/>
  <c r="AX27" i="11" s="1"/>
  <c r="I13" i="5"/>
  <c r="AX13" i="11" s="1"/>
  <c r="AX19" i="11" s="1"/>
  <c r="I12" i="5"/>
  <c r="AX12" i="11" s="1"/>
  <c r="AX18" i="11" s="1"/>
  <c r="I24" i="5"/>
  <c r="AX36" i="11" s="1"/>
  <c r="I14" i="5"/>
  <c r="AX14" i="11" s="1"/>
  <c r="AX20" i="11" s="1"/>
  <c r="I18" i="5"/>
  <c r="AX24" i="11" s="1"/>
  <c r="I10" i="5"/>
  <c r="AX10" i="11" s="1"/>
  <c r="AX16" i="11" s="1"/>
  <c r="I16" i="5"/>
  <c r="AX22" i="11" s="1"/>
  <c r="I20" i="5"/>
  <c r="AX26" i="11" s="1"/>
  <c r="H10" i="5"/>
  <c r="AW10" i="11" s="1"/>
  <c r="AW16" i="11" s="1"/>
  <c r="H11" i="5"/>
  <c r="AW11" i="11" s="1"/>
  <c r="AW17" i="11" s="1"/>
  <c r="H12" i="5"/>
  <c r="AW12" i="11" s="1"/>
  <c r="AW18" i="11" s="1"/>
  <c r="H13" i="5"/>
  <c r="AW13" i="11" s="1"/>
  <c r="AW19" i="11" s="1"/>
  <c r="H14" i="5"/>
  <c r="H15" i="5"/>
  <c r="AW15" i="11" s="1"/>
  <c r="AW21" i="11" s="1"/>
  <c r="H16" i="5"/>
  <c r="AW22" i="11" s="1"/>
  <c r="H17" i="5"/>
  <c r="AW23" i="11" s="1"/>
  <c r="H18" i="5"/>
  <c r="AW24" i="11" s="1"/>
  <c r="H19" i="5"/>
  <c r="AW25" i="11" s="1"/>
  <c r="H20" i="5"/>
  <c r="AW26" i="11" s="1"/>
  <c r="H21" i="5"/>
  <c r="AW27" i="11" s="1"/>
  <c r="H22" i="5"/>
  <c r="AW34" i="11" s="1"/>
  <c r="H23" i="5"/>
  <c r="AW35" i="11" s="1"/>
  <c r="H24" i="5"/>
  <c r="AW36" i="11" s="1"/>
  <c r="H25" i="5"/>
  <c r="AW37" i="11" s="1"/>
  <c r="H26" i="5"/>
  <c r="AW38" i="11" s="1"/>
  <c r="H27" i="5"/>
  <c r="AW39" i="11" s="1"/>
  <c r="H28" i="5"/>
  <c r="AW40" i="11" s="1"/>
  <c r="H29" i="5"/>
  <c r="AW41" i="11" s="1"/>
  <c r="AW14" i="11"/>
  <c r="AW20" i="11" s="1"/>
  <c r="A60" i="8"/>
  <c r="B61" i="8"/>
  <c r="C61" i="8" s="1"/>
  <c r="F39" i="11"/>
  <c r="D33" i="12"/>
  <c r="F45" i="11" s="1"/>
  <c r="F41" i="11"/>
  <c r="D35" i="12"/>
  <c r="F47" i="11" s="1"/>
  <c r="E29" i="12"/>
  <c r="E35" i="12" s="1"/>
  <c r="F36" i="11"/>
  <c r="D30" i="12"/>
  <c r="F42" i="11" s="1"/>
  <c r="F37" i="11"/>
  <c r="D31" i="12"/>
  <c r="F43" i="11" s="1"/>
  <c r="F38" i="11"/>
  <c r="D32" i="12"/>
  <c r="F44" i="11" s="1"/>
  <c r="F40" i="11"/>
  <c r="D34" i="12"/>
  <c r="F46" i="11" s="1"/>
  <c r="E14" i="12"/>
  <c r="M14" i="7" s="1"/>
  <c r="E18" i="12"/>
  <c r="M18" i="7" s="1"/>
  <c r="E10" i="12"/>
  <c r="M10" i="7" s="1"/>
  <c r="E27" i="12"/>
  <c r="E20" i="12"/>
  <c r="M20" i="7" s="1"/>
  <c r="E24" i="12"/>
  <c r="N24" i="5" s="1"/>
  <c r="CE24" i="5" s="1"/>
  <c r="E16" i="12"/>
  <c r="M16" i="7" s="1"/>
  <c r="E17" i="12"/>
  <c r="M17" i="7" s="1"/>
  <c r="E19" i="12"/>
  <c r="M19" i="7" s="1"/>
  <c r="E23" i="12"/>
  <c r="M23" i="7" s="1"/>
  <c r="E12" i="12"/>
  <c r="M12" i="7" s="1"/>
  <c r="E28" i="12"/>
  <c r="N28" i="5" s="1"/>
  <c r="CE28" i="5" s="1"/>
  <c r="E13" i="12"/>
  <c r="M13" i="7" s="1"/>
  <c r="E21" i="12"/>
  <c r="M21" i="7" s="1"/>
  <c r="E11" i="12"/>
  <c r="M11" i="7" s="1"/>
  <c r="E25" i="12"/>
  <c r="E15" i="12"/>
  <c r="M15" i="7" s="1"/>
  <c r="E22" i="12"/>
  <c r="M22" i="7" s="1"/>
  <c r="E26" i="12"/>
  <c r="AZ10" i="5"/>
  <c r="C10" i="5" s="1"/>
  <c r="H10" i="11" s="1"/>
  <c r="AZ16" i="5"/>
  <c r="C16" i="5" s="1"/>
  <c r="H22" i="11" s="1"/>
  <c r="AZ20" i="5"/>
  <c r="C20" i="5" s="1"/>
  <c r="H26" i="11" s="1"/>
  <c r="AZ28" i="5"/>
  <c r="C28" i="5" s="1"/>
  <c r="AZ12" i="5"/>
  <c r="C12" i="5" s="1"/>
  <c r="H12" i="11" s="1"/>
  <c r="AZ24" i="5"/>
  <c r="C24" i="5" s="1"/>
  <c r="AZ14" i="5"/>
  <c r="C14" i="5" s="1"/>
  <c r="H14" i="11" s="1"/>
  <c r="AZ18" i="5"/>
  <c r="C18" i="5" s="1"/>
  <c r="H24" i="11" s="1"/>
  <c r="AZ22" i="5"/>
  <c r="C22" i="5" s="1"/>
  <c r="H34" i="11" s="1"/>
  <c r="AZ26" i="5"/>
  <c r="C26" i="5" s="1"/>
  <c r="AZ11" i="5"/>
  <c r="C11" i="5" s="1"/>
  <c r="AZ13" i="5"/>
  <c r="C13" i="5" s="1"/>
  <c r="H13" i="11" s="1"/>
  <c r="AZ15" i="5"/>
  <c r="C15" i="5" s="1"/>
  <c r="H15" i="11" s="1"/>
  <c r="AZ17" i="5"/>
  <c r="C17" i="5" s="1"/>
  <c r="H23" i="11" s="1"/>
  <c r="AZ19" i="5"/>
  <c r="C19" i="5" s="1"/>
  <c r="H25" i="11" s="1"/>
  <c r="AZ21" i="5"/>
  <c r="C21" i="5" s="1"/>
  <c r="H27" i="11" s="1"/>
  <c r="AZ23" i="5"/>
  <c r="C23" i="5" s="1"/>
  <c r="H35" i="11" s="1"/>
  <c r="AZ25" i="5"/>
  <c r="C25" i="5" s="1"/>
  <c r="AZ27" i="5"/>
  <c r="C27" i="5" s="1"/>
  <c r="AZ29" i="5"/>
  <c r="C29" i="5" s="1"/>
  <c r="P43" i="8"/>
  <c r="P42" i="8"/>
  <c r="P41" i="8"/>
  <c r="P40" i="8"/>
  <c r="G60" i="8"/>
  <c r="H60" i="8"/>
  <c r="L59" i="8"/>
  <c r="F60" i="8"/>
  <c r="T60" i="8"/>
  <c r="K59" i="8"/>
  <c r="N59" i="8"/>
  <c r="E60" i="8"/>
  <c r="M60" i="8"/>
  <c r="P60" i="8"/>
  <c r="Q60" i="8"/>
  <c r="S60" i="8"/>
  <c r="R60" i="8"/>
  <c r="I41" i="8"/>
  <c r="I40" i="8"/>
  <c r="H39" i="8"/>
  <c r="I42" i="8"/>
  <c r="I43" i="8"/>
  <c r="BV18" i="11"/>
  <c r="BV20" i="11"/>
  <c r="BV19" i="11"/>
  <c r="BV21" i="11"/>
  <c r="BV16" i="11"/>
  <c r="BV17" i="11"/>
  <c r="H11" i="11" l="1"/>
  <c r="H11" i="14"/>
  <c r="AB11" i="14" s="1"/>
  <c r="H12" i="14"/>
  <c r="AB12" i="14" s="1"/>
  <c r="H10" i="14"/>
  <c r="BZ18" i="11"/>
  <c r="CB18" i="11" s="1"/>
  <c r="BZ19" i="11"/>
  <c r="CB19" i="11" s="1"/>
  <c r="BZ20" i="11"/>
  <c r="CB20" i="11" s="1"/>
  <c r="BZ16" i="11"/>
  <c r="CB16" i="11" s="1"/>
  <c r="BZ17" i="11"/>
  <c r="CB17" i="11" s="1"/>
  <c r="BZ21" i="11"/>
  <c r="CB21" i="11" s="1"/>
  <c r="A61" i="8"/>
  <c r="B62" i="8"/>
  <c r="C62" i="8" s="1"/>
  <c r="N20" i="5"/>
  <c r="CE20" i="5" s="1"/>
  <c r="N12" i="5"/>
  <c r="CE12" i="5" s="1"/>
  <c r="M26" i="7"/>
  <c r="E32" i="12"/>
  <c r="M25" i="7"/>
  <c r="E31" i="12"/>
  <c r="M27" i="7"/>
  <c r="E33" i="12"/>
  <c r="N25" i="5"/>
  <c r="CE25" i="5" s="1"/>
  <c r="M28" i="7"/>
  <c r="E34" i="12"/>
  <c r="N23" i="5"/>
  <c r="CE23" i="5" s="1"/>
  <c r="N17" i="5"/>
  <c r="CE17" i="5" s="1"/>
  <c r="M24" i="7"/>
  <c r="E30" i="12"/>
  <c r="N10" i="5"/>
  <c r="CE10" i="5" s="1"/>
  <c r="N14" i="5"/>
  <c r="CE14" i="5" s="1"/>
  <c r="N15" i="5"/>
  <c r="CE15" i="5" s="1"/>
  <c r="N16" i="5"/>
  <c r="CE16" i="5" s="1"/>
  <c r="H37" i="11"/>
  <c r="C31" i="5"/>
  <c r="H43" i="11" s="1"/>
  <c r="H36" i="11"/>
  <c r="C30" i="5"/>
  <c r="H42" i="11" s="1"/>
  <c r="H41" i="11"/>
  <c r="C35" i="5"/>
  <c r="H47" i="11" s="1"/>
  <c r="H40" i="11"/>
  <c r="C34" i="5"/>
  <c r="H46" i="11" s="1"/>
  <c r="C32" i="5"/>
  <c r="H44" i="11" s="1"/>
  <c r="H38" i="11"/>
  <c r="H39" i="11"/>
  <c r="C33" i="5"/>
  <c r="H45" i="11" s="1"/>
  <c r="N22" i="5"/>
  <c r="CE22" i="5" s="1"/>
  <c r="N21" i="5"/>
  <c r="CE21" i="5" s="1"/>
  <c r="N29" i="5"/>
  <c r="CE29" i="5" s="1"/>
  <c r="M29" i="7"/>
  <c r="N11" i="5"/>
  <c r="CE11" i="5" s="1"/>
  <c r="N13" i="5"/>
  <c r="CE13" i="5" s="1"/>
  <c r="N19" i="5"/>
  <c r="CE19" i="5" s="1"/>
  <c r="N18" i="5"/>
  <c r="CE18" i="5" s="1"/>
  <c r="N26" i="5"/>
  <c r="CE26" i="5" s="1"/>
  <c r="N27" i="5"/>
  <c r="CE27" i="5" s="1"/>
  <c r="Q42" i="8"/>
  <c r="Q41" i="8"/>
  <c r="Q43" i="8"/>
  <c r="Q40" i="8"/>
  <c r="P39" i="8"/>
  <c r="G61" i="8"/>
  <c r="T61" i="8"/>
  <c r="L60" i="8"/>
  <c r="S61" i="8"/>
  <c r="F61" i="8"/>
  <c r="I61" i="8"/>
  <c r="R61" i="8"/>
  <c r="K60" i="8"/>
  <c r="P61" i="8"/>
  <c r="N60" i="8"/>
  <c r="M59" i="8"/>
  <c r="E61" i="8"/>
  <c r="H61" i="8"/>
  <c r="M61" i="8"/>
  <c r="L61" i="8"/>
  <c r="I60" i="8"/>
  <c r="Q61" i="8"/>
  <c r="N61" i="8"/>
  <c r="K61" i="8"/>
  <c r="G43" i="8"/>
  <c r="G40" i="8"/>
  <c r="G42" i="8"/>
  <c r="H44" i="8"/>
  <c r="G41" i="8"/>
  <c r="BW20" i="11"/>
  <c r="BW18" i="11"/>
  <c r="BW16" i="11"/>
  <c r="BW17" i="11"/>
  <c r="BW19" i="11"/>
  <c r="BW21" i="11"/>
  <c r="BX21" i="11" l="1"/>
  <c r="BX17" i="11"/>
  <c r="BX16" i="11"/>
  <c r="BX19" i="11"/>
  <c r="BX18" i="11"/>
  <c r="BX20" i="11"/>
  <c r="B63" i="8"/>
  <c r="C63" i="8" s="1"/>
  <c r="A62" i="8"/>
  <c r="O43" i="8"/>
  <c r="O42" i="8"/>
  <c r="O41" i="8"/>
  <c r="O40" i="8"/>
  <c r="P44" i="8"/>
  <c r="G62" i="8"/>
  <c r="I62" i="8"/>
  <c r="G39" i="8"/>
  <c r="G44" i="8"/>
  <c r="CD17" i="11"/>
  <c r="CD19" i="11"/>
  <c r="CD20" i="11"/>
  <c r="CD18" i="11"/>
  <c r="CD21" i="11"/>
  <c r="CD16" i="11"/>
  <c r="CE19" i="11" l="1"/>
  <c r="CE16" i="11"/>
  <c r="CE20" i="11"/>
  <c r="CE17" i="11"/>
  <c r="CE18" i="11"/>
  <c r="CE21" i="11"/>
  <c r="B64" i="8"/>
  <c r="C64" i="8" s="1"/>
  <c r="A63" i="8"/>
  <c r="O44" i="8"/>
  <c r="O39" i="8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BO23" i="7"/>
  <c r="BO22" i="7"/>
  <c r="R63" i="8"/>
  <c r="H62" i="8"/>
  <c r="K62" i="8"/>
  <c r="N62" i="8"/>
  <c r="G63" i="8"/>
  <c r="Q62" i="8"/>
  <c r="E62" i="8"/>
  <c r="R62" i="8"/>
  <c r="T63" i="8"/>
  <c r="P62" i="8"/>
  <c r="E63" i="8"/>
  <c r="H63" i="8"/>
  <c r="T62" i="8"/>
  <c r="F63" i="8"/>
  <c r="M62" i="8"/>
  <c r="L62" i="8"/>
  <c r="F62" i="8"/>
  <c r="S63" i="8"/>
  <c r="I63" i="8"/>
  <c r="S62" i="8"/>
  <c r="A64" i="8" l="1"/>
  <c r="B65" i="8"/>
  <c r="C65" i="8" s="1"/>
  <c r="AZ28" i="10"/>
  <c r="AZ31" i="10"/>
  <c r="AZ30" i="10"/>
  <c r="AZ29" i="10"/>
  <c r="AZ27" i="10"/>
  <c r="AZ26" i="10"/>
  <c r="P63" i="8"/>
  <c r="Q63" i="8"/>
  <c r="I64" i="8"/>
  <c r="F64" i="8"/>
  <c r="R64" i="8"/>
  <c r="N64" i="8"/>
  <c r="S64" i="8"/>
  <c r="L63" i="8"/>
  <c r="G64" i="8"/>
  <c r="N63" i="8"/>
  <c r="H64" i="8"/>
  <c r="E64" i="8"/>
  <c r="K63" i="8"/>
  <c r="Q64" i="8"/>
  <c r="M63" i="8"/>
  <c r="A65" i="8" l="1"/>
  <c r="B66" i="8"/>
  <c r="C66" i="8" s="1"/>
  <c r="AX31" i="10"/>
  <c r="AW31" i="10" s="1"/>
  <c r="AX30" i="10"/>
  <c r="AW30" i="10" s="1"/>
  <c r="AX29" i="10"/>
  <c r="AW29" i="10" s="1"/>
  <c r="AX28" i="10"/>
  <c r="AW28" i="10" s="1"/>
  <c r="AX27" i="10"/>
  <c r="AW27" i="10" s="1"/>
  <c r="AX26" i="10"/>
  <c r="AW26" i="10" s="1"/>
  <c r="P64" i="8"/>
  <c r="T64" i="8"/>
  <c r="G65" i="8"/>
  <c r="K64" i="8"/>
  <c r="N65" i="8"/>
  <c r="E65" i="8"/>
  <c r="I65" i="8"/>
  <c r="L64" i="8"/>
  <c r="R65" i="8"/>
  <c r="P65" i="8"/>
  <c r="K65" i="8"/>
  <c r="M64" i="8"/>
  <c r="L65" i="8"/>
  <c r="S65" i="8"/>
  <c r="Q65" i="8"/>
  <c r="T65" i="8"/>
  <c r="F65" i="8"/>
  <c r="H65" i="8"/>
  <c r="B67" i="8" l="1"/>
  <c r="C67" i="8" s="1"/>
  <c r="A66" i="8"/>
  <c r="BJ31" i="10"/>
  <c r="BJ30" i="10"/>
  <c r="BJ29" i="10"/>
  <c r="BJ28" i="10"/>
  <c r="BJ27" i="10"/>
  <c r="BJ26" i="10"/>
  <c r="BQ28" i="10"/>
  <c r="BQ31" i="10"/>
  <c r="BQ30" i="10"/>
  <c r="BQ29" i="10"/>
  <c r="BQ27" i="10"/>
  <c r="BQ26" i="10"/>
  <c r="I66" i="8"/>
  <c r="H66" i="8"/>
  <c r="E66" i="8"/>
  <c r="F66" i="8"/>
  <c r="G66" i="8"/>
  <c r="T66" i="8"/>
  <c r="P66" i="8"/>
  <c r="Q66" i="8"/>
  <c r="S66" i="8"/>
  <c r="R66" i="8"/>
  <c r="M65" i="8"/>
  <c r="BR27" i="10"/>
  <c r="BK26" i="10"/>
  <c r="BK31" i="10"/>
  <c r="BK30" i="10"/>
  <c r="BR26" i="10"/>
  <c r="BR31" i="10"/>
  <c r="BK28" i="10"/>
  <c r="BR29" i="10"/>
  <c r="BR30" i="10"/>
  <c r="BK27" i="10"/>
  <c r="BR28" i="10"/>
  <c r="BK29" i="10"/>
  <c r="A67" i="8" l="1"/>
  <c r="B68" i="8"/>
  <c r="C68" i="8" s="1"/>
  <c r="M9" i="10"/>
  <c r="P67" i="8"/>
  <c r="H67" i="8"/>
  <c r="G67" i="8"/>
  <c r="K66" i="8"/>
  <c r="F67" i="8"/>
  <c r="I67" i="8"/>
  <c r="L67" i="8"/>
  <c r="K67" i="8"/>
  <c r="R9" i="10"/>
  <c r="N67" i="8"/>
  <c r="Q67" i="8"/>
  <c r="E67" i="8"/>
  <c r="M67" i="8"/>
  <c r="R67" i="8"/>
  <c r="S67" i="8"/>
  <c r="M66" i="8"/>
  <c r="N66" i="8"/>
  <c r="L66" i="8"/>
  <c r="P9" i="10"/>
  <c r="S9" i="10"/>
  <c r="Q9" i="10"/>
  <c r="B69" i="8" l="1"/>
  <c r="C69" i="8" s="1"/>
  <c r="A68" i="8"/>
  <c r="Z10" i="7"/>
  <c r="Y10" i="7"/>
  <c r="X10" i="7"/>
  <c r="Y11" i="7"/>
  <c r="K68" i="8"/>
  <c r="H68" i="8"/>
  <c r="Q68" i="8"/>
  <c r="L68" i="8"/>
  <c r="I68" i="8"/>
  <c r="P68" i="8"/>
  <c r="T67" i="8"/>
  <c r="F68" i="8"/>
  <c r="T68" i="8"/>
  <c r="E68" i="8"/>
  <c r="R68" i="8"/>
  <c r="G68" i="8"/>
  <c r="S68" i="8"/>
  <c r="M68" i="8"/>
  <c r="AC11" i="7"/>
  <c r="B70" i="8" l="1"/>
  <c r="C70" i="8" s="1"/>
  <c r="A69" i="8"/>
  <c r="BJ20" i="7"/>
  <c r="BJ21" i="7" s="1"/>
  <c r="BI20" i="7"/>
  <c r="BI21" i="7" s="1"/>
  <c r="BH20" i="7"/>
  <c r="BH21" i="7" s="1"/>
  <c r="BJ17" i="7"/>
  <c r="BI17" i="7"/>
  <c r="BH17" i="7"/>
  <c r="BA19" i="7"/>
  <c r="BA20" i="7" s="1"/>
  <c r="BA21" i="7" s="1"/>
  <c r="AZ19" i="7"/>
  <c r="AZ20" i="7" s="1"/>
  <c r="AZ21" i="7" s="1"/>
  <c r="AY18" i="7"/>
  <c r="AY19" i="7" s="1"/>
  <c r="AY20" i="7" s="1"/>
  <c r="AY21" i="7" s="1"/>
  <c r="AX18" i="7"/>
  <c r="AX19" i="7" s="1"/>
  <c r="AX20" i="7" s="1"/>
  <c r="AX21" i="7" s="1"/>
  <c r="AW18" i="7"/>
  <c r="AW19" i="7" s="1"/>
  <c r="AW20" i="7" s="1"/>
  <c r="AW21" i="7" s="1"/>
  <c r="BA17" i="7"/>
  <c r="AZ17" i="7"/>
  <c r="AY16" i="7"/>
  <c r="AY17" i="7" s="1"/>
  <c r="AX16" i="7"/>
  <c r="AX17" i="7" s="1"/>
  <c r="AW16" i="7"/>
  <c r="AW17" i="7" s="1"/>
  <c r="AB19" i="7"/>
  <c r="AA19" i="7"/>
  <c r="Z18" i="7"/>
  <c r="Z19" i="7" s="1"/>
  <c r="Z20" i="7" s="1"/>
  <c r="Z21" i="7" s="1"/>
  <c r="Y18" i="7"/>
  <c r="Y19" i="7" s="1"/>
  <c r="Y20" i="7" s="1"/>
  <c r="Y21" i="7" s="1"/>
  <c r="X18" i="7"/>
  <c r="X19" i="7" s="1"/>
  <c r="X20" i="7" s="1"/>
  <c r="X21" i="7" s="1"/>
  <c r="AB17" i="7"/>
  <c r="AA17" i="7"/>
  <c r="Z16" i="7"/>
  <c r="Z17" i="7" s="1"/>
  <c r="Y16" i="7"/>
  <c r="Y17" i="7" s="1"/>
  <c r="X16" i="7"/>
  <c r="X17" i="7" s="1"/>
  <c r="AO19" i="7"/>
  <c r="AO20" i="7" s="1"/>
  <c r="AO21" i="7" s="1"/>
  <c r="AN19" i="7"/>
  <c r="AN20" i="7" s="1"/>
  <c r="AN21" i="7" s="1"/>
  <c r="AO17" i="7"/>
  <c r="AN17" i="7"/>
  <c r="BC25" i="10"/>
  <c r="BC24" i="10"/>
  <c r="BC23" i="10"/>
  <c r="BC22" i="10"/>
  <c r="BC21" i="10"/>
  <c r="BC20" i="10"/>
  <c r="AC26" i="10"/>
  <c r="G69" i="8"/>
  <c r="M69" i="8"/>
  <c r="P69" i="8"/>
  <c r="I69" i="8"/>
  <c r="T69" i="8"/>
  <c r="F69" i="8"/>
  <c r="S69" i="8"/>
  <c r="L69" i="8"/>
  <c r="K69" i="8"/>
  <c r="E69" i="8"/>
  <c r="N68" i="8"/>
  <c r="Q69" i="8"/>
  <c r="H69" i="8"/>
  <c r="N69" i="8"/>
  <c r="R69" i="8"/>
  <c r="AK17" i="7"/>
  <c r="AL17" i="7"/>
  <c r="AL19" i="7"/>
  <c r="AE26" i="10"/>
  <c r="AB20" i="7" l="1"/>
  <c r="AA20" i="7"/>
  <c r="B71" i="8"/>
  <c r="C71" i="8" s="1"/>
  <c r="A70" i="8"/>
  <c r="G70" i="8"/>
  <c r="Q70" i="8"/>
  <c r="K70" i="8"/>
  <c r="F70" i="8"/>
  <c r="I70" i="8"/>
  <c r="E70" i="8"/>
  <c r="P70" i="8"/>
  <c r="S70" i="8"/>
  <c r="H70" i="8"/>
  <c r="L70" i="8"/>
  <c r="AL20" i="7"/>
  <c r="AI19" i="7"/>
  <c r="AJ19" i="7"/>
  <c r="AJ17" i="7"/>
  <c r="AI17" i="7"/>
  <c r="AK19" i="7"/>
  <c r="AB21" i="7" l="1"/>
  <c r="AA21" i="7"/>
  <c r="B72" i="8"/>
  <c r="C72" i="8" s="1"/>
  <c r="A71" i="8"/>
  <c r="I71" i="8"/>
  <c r="M70" i="8"/>
  <c r="F71" i="8"/>
  <c r="L71" i="8"/>
  <c r="G71" i="8"/>
  <c r="K71" i="8"/>
  <c r="E71" i="8"/>
  <c r="T71" i="8"/>
  <c r="H71" i="8"/>
  <c r="T70" i="8"/>
  <c r="R70" i="8"/>
  <c r="N70" i="8"/>
  <c r="Q71" i="8"/>
  <c r="AJ20" i="7"/>
  <c r="AK21" i="7"/>
  <c r="AK20" i="7"/>
  <c r="AI20" i="7"/>
  <c r="AL21" i="7"/>
  <c r="A72" i="8" l="1"/>
  <c r="B73" i="8"/>
  <c r="C73" i="8" s="1"/>
  <c r="CJ39" i="10"/>
  <c r="CJ38" i="10"/>
  <c r="CJ37" i="10"/>
  <c r="CJ36" i="10"/>
  <c r="CJ35" i="10"/>
  <c r="CJ34" i="10"/>
  <c r="CJ31" i="10"/>
  <c r="CJ30" i="10"/>
  <c r="CJ29" i="10"/>
  <c r="CJ28" i="10"/>
  <c r="CJ27" i="10"/>
  <c r="CJ26" i="10"/>
  <c r="CJ25" i="10"/>
  <c r="CJ24" i="10"/>
  <c r="CJ23" i="10"/>
  <c r="CJ22" i="10"/>
  <c r="CJ21" i="10"/>
  <c r="CJ20" i="10"/>
  <c r="I33" i="10"/>
  <c r="FM33" i="10" s="1"/>
  <c r="I32" i="10"/>
  <c r="FM32" i="10" s="1"/>
  <c r="BI39" i="10"/>
  <c r="BI38" i="10"/>
  <c r="BI37" i="10"/>
  <c r="BI36" i="10"/>
  <c r="BI35" i="10"/>
  <c r="BI34" i="10"/>
  <c r="O39" i="10"/>
  <c r="O38" i="10"/>
  <c r="O37" i="10"/>
  <c r="O36" i="10"/>
  <c r="O35" i="10"/>
  <c r="O34" i="10"/>
  <c r="S71" i="8"/>
  <c r="M71" i="8"/>
  <c r="P71" i="8"/>
  <c r="R72" i="8"/>
  <c r="N71" i="8"/>
  <c r="R71" i="8"/>
  <c r="L72" i="8"/>
  <c r="I72" i="8"/>
  <c r="G72" i="8"/>
  <c r="S72" i="8"/>
  <c r="F72" i="8"/>
  <c r="E72" i="8"/>
  <c r="H72" i="8"/>
  <c r="P72" i="8"/>
  <c r="AJ21" i="7"/>
  <c r="AI21" i="7"/>
  <c r="BK36" i="10"/>
  <c r="Q38" i="10"/>
  <c r="BK37" i="10"/>
  <c r="Q34" i="10"/>
  <c r="BK39" i="10"/>
  <c r="BK34" i="10"/>
  <c r="Q39" i="10"/>
  <c r="BK38" i="10"/>
  <c r="Q36" i="10"/>
  <c r="Q37" i="10"/>
  <c r="Q35" i="10"/>
  <c r="BK35" i="10"/>
  <c r="A73" i="8" l="1"/>
  <c r="B74" i="8"/>
  <c r="C74" i="8" s="1"/>
  <c r="CJ32" i="10"/>
  <c r="CJ33" i="10"/>
  <c r="AJ27" i="10"/>
  <c r="AJ26" i="10"/>
  <c r="AC27" i="10"/>
  <c r="L13" i="10"/>
  <c r="Q72" i="8"/>
  <c r="T73" i="8"/>
  <c r="L73" i="8"/>
  <c r="F73" i="8"/>
  <c r="M72" i="8"/>
  <c r="H73" i="8"/>
  <c r="N72" i="8"/>
  <c r="E73" i="8"/>
  <c r="T72" i="8"/>
  <c r="G73" i="8"/>
  <c r="K73" i="8"/>
  <c r="R73" i="8"/>
  <c r="K72" i="8"/>
  <c r="P73" i="8"/>
  <c r="Q73" i="8"/>
  <c r="S73" i="8"/>
  <c r="M73" i="8"/>
  <c r="I73" i="8"/>
  <c r="N73" i="8"/>
  <c r="BA36" i="10"/>
  <c r="ED41" i="10"/>
  <c r="AL27" i="10"/>
  <c r="BA30" i="10"/>
  <c r="ED38" i="10"/>
  <c r="BA20" i="10"/>
  <c r="ED24" i="10"/>
  <c r="ED43" i="10"/>
  <c r="ED25" i="10"/>
  <c r="ED27" i="10"/>
  <c r="BA42" i="10"/>
  <c r="AE27" i="10"/>
  <c r="BA21" i="10"/>
  <c r="BA39" i="10"/>
  <c r="BA26" i="10"/>
  <c r="ED26" i="10"/>
  <c r="ED40" i="10"/>
  <c r="ED45" i="10"/>
  <c r="AL26" i="10"/>
  <c r="BA33" i="10"/>
  <c r="ED35" i="10"/>
  <c r="BA25" i="10"/>
  <c r="BA35" i="10"/>
  <c r="ED22" i="10"/>
  <c r="ED39" i="10"/>
  <c r="ED34" i="10"/>
  <c r="BA32" i="10"/>
  <c r="BA34" i="10"/>
  <c r="ED21" i="10"/>
  <c r="BA40" i="10"/>
  <c r="BA31" i="10"/>
  <c r="ED36" i="10"/>
  <c r="BA28" i="10"/>
  <c r="ED37" i="10"/>
  <c r="ED33" i="10"/>
  <c r="BA29" i="10"/>
  <c r="BA38" i="10"/>
  <c r="ED30" i="10"/>
  <c r="BA44" i="10"/>
  <c r="BA23" i="10"/>
  <c r="BA45" i="10"/>
  <c r="BA37" i="10"/>
  <c r="BA24" i="10"/>
  <c r="ED32" i="10"/>
  <c r="ED20" i="10"/>
  <c r="ED42" i="10"/>
  <c r="ED28" i="10"/>
  <c r="BA43" i="10"/>
  <c r="BA41" i="10"/>
  <c r="ED31" i="10"/>
  <c r="ED23" i="10"/>
  <c r="ED29" i="10"/>
  <c r="ED44" i="10"/>
  <c r="BA22" i="10"/>
  <c r="BA27" i="10"/>
  <c r="A74" i="8" l="1"/>
  <c r="B75" i="8"/>
  <c r="C75" i="8" s="1"/>
  <c r="EE45" i="10"/>
  <c r="EF45" i="10" s="1"/>
  <c r="FK45" i="10" s="1"/>
  <c r="FN45" i="10" s="1"/>
  <c r="D45" i="10" s="1"/>
  <c r="BB45" i="10"/>
  <c r="BC45" i="10" s="1"/>
  <c r="CH45" i="10" s="1"/>
  <c r="BB40" i="10"/>
  <c r="BC40" i="10" s="1"/>
  <c r="CH40" i="10" s="1"/>
  <c r="EE44" i="10"/>
  <c r="EF44" i="10" s="1"/>
  <c r="FK44" i="10" s="1"/>
  <c r="FN44" i="10" s="1"/>
  <c r="D44" i="10" s="1"/>
  <c r="EE43" i="10"/>
  <c r="EF43" i="10" s="1"/>
  <c r="FK43" i="10" s="1"/>
  <c r="FN43" i="10" s="1"/>
  <c r="D43" i="10" s="1"/>
  <c r="BB42" i="10"/>
  <c r="BC42" i="10" s="1"/>
  <c r="CH42" i="10" s="1"/>
  <c r="BB41" i="10"/>
  <c r="BC41" i="10" s="1"/>
  <c r="CH41" i="10" s="1"/>
  <c r="EE42" i="10"/>
  <c r="EF42" i="10" s="1"/>
  <c r="FK42" i="10" s="1"/>
  <c r="FN42" i="10" s="1"/>
  <c r="D42" i="10" s="1"/>
  <c r="EE41" i="10"/>
  <c r="EF41" i="10" s="1"/>
  <c r="FK41" i="10" s="1"/>
  <c r="FN41" i="10" s="1"/>
  <c r="D41" i="10" s="1"/>
  <c r="EE40" i="10"/>
  <c r="EF40" i="10" s="1"/>
  <c r="FK40" i="10" s="1"/>
  <c r="FN40" i="10" s="1"/>
  <c r="D40" i="10" s="1"/>
  <c r="BB44" i="10"/>
  <c r="BC44" i="10" s="1"/>
  <c r="CH44" i="10" s="1"/>
  <c r="BB43" i="10"/>
  <c r="BC43" i="10" s="1"/>
  <c r="CH43" i="10" s="1"/>
  <c r="EE36" i="10"/>
  <c r="EF36" i="10" s="1"/>
  <c r="FK36" i="10" s="1"/>
  <c r="FN36" i="10" s="1"/>
  <c r="EE38" i="10"/>
  <c r="EF38" i="10" s="1"/>
  <c r="FK38" i="10" s="1"/>
  <c r="FN38" i="10" s="1"/>
  <c r="EE37" i="10"/>
  <c r="EF37" i="10" s="1"/>
  <c r="FK37" i="10" s="1"/>
  <c r="FN37" i="10" s="1"/>
  <c r="EE25" i="10"/>
  <c r="EE24" i="10"/>
  <c r="EE23" i="10"/>
  <c r="EE22" i="10"/>
  <c r="EE21" i="10"/>
  <c r="EE20" i="10"/>
  <c r="EE39" i="10"/>
  <c r="EF39" i="10" s="1"/>
  <c r="FK39" i="10" s="1"/>
  <c r="FN39" i="10" s="1"/>
  <c r="EE35" i="10"/>
  <c r="EF35" i="10" s="1"/>
  <c r="FK35" i="10" s="1"/>
  <c r="FN35" i="10" s="1"/>
  <c r="D35" i="10" s="1"/>
  <c r="EE34" i="10"/>
  <c r="EF34" i="10" s="1"/>
  <c r="FK34" i="10" s="1"/>
  <c r="FN34" i="10" s="1"/>
  <c r="D34" i="10" s="1"/>
  <c r="EE29" i="10"/>
  <c r="EF29" i="10" s="1"/>
  <c r="FK29" i="10" s="1"/>
  <c r="FN29" i="10" s="1"/>
  <c r="EE33" i="10"/>
  <c r="EF33" i="10" s="1"/>
  <c r="FK33" i="10" s="1"/>
  <c r="FN33" i="10" s="1"/>
  <c r="EE26" i="10"/>
  <c r="EF26" i="10" s="1"/>
  <c r="FK26" i="10" s="1"/>
  <c r="FN26" i="10" s="1"/>
  <c r="EE28" i="10"/>
  <c r="EF28" i="10" s="1"/>
  <c r="FK28" i="10" s="1"/>
  <c r="FN28" i="10" s="1"/>
  <c r="EE27" i="10"/>
  <c r="EF27" i="10" s="1"/>
  <c r="FK27" i="10" s="1"/>
  <c r="FN27" i="10" s="1"/>
  <c r="EE32" i="10"/>
  <c r="EF32" i="10" s="1"/>
  <c r="FK32" i="10" s="1"/>
  <c r="FN32" i="10" s="1"/>
  <c r="EE30" i="10"/>
  <c r="EF30" i="10" s="1"/>
  <c r="FK30" i="10" s="1"/>
  <c r="FN30" i="10" s="1"/>
  <c r="EE31" i="10"/>
  <c r="EF31" i="10" s="1"/>
  <c r="FK31" i="10" s="1"/>
  <c r="FN31" i="10" s="1"/>
  <c r="BB39" i="10"/>
  <c r="BC39" i="10" s="1"/>
  <c r="BB23" i="10"/>
  <c r="BB36" i="10"/>
  <c r="BB24" i="10"/>
  <c r="BB38" i="10"/>
  <c r="BC38" i="10" s="1"/>
  <c r="BB22" i="10"/>
  <c r="BB37" i="10"/>
  <c r="BC37" i="10" s="1"/>
  <c r="BB21" i="10"/>
  <c r="BB35" i="10"/>
  <c r="BC35" i="10" s="1"/>
  <c r="BB34" i="10"/>
  <c r="BC34" i="10" s="1"/>
  <c r="BB33" i="10"/>
  <c r="BC33" i="10" s="1"/>
  <c r="BB25" i="10"/>
  <c r="BB32" i="10"/>
  <c r="BC32" i="10" s="1"/>
  <c r="BB20" i="10"/>
  <c r="BB31" i="10"/>
  <c r="BB28" i="10"/>
  <c r="BB27" i="10"/>
  <c r="BB30" i="10"/>
  <c r="BB26" i="10"/>
  <c r="BB29" i="10"/>
  <c r="AE24" i="9"/>
  <c r="AE28" i="9"/>
  <c r="AE25" i="9"/>
  <c r="AE29" i="9"/>
  <c r="AE26" i="9"/>
  <c r="AE27" i="9"/>
  <c r="BC36" i="10"/>
  <c r="D20" i="10"/>
  <c r="D22" i="10"/>
  <c r="D25" i="10"/>
  <c r="D24" i="10"/>
  <c r="D21" i="10"/>
  <c r="D23" i="10"/>
  <c r="T74" i="8"/>
  <c r="I74" i="8"/>
  <c r="S74" i="8"/>
  <c r="Q74" i="8"/>
  <c r="R74" i="8"/>
  <c r="P74" i="8"/>
  <c r="L74" i="8"/>
  <c r="M74" i="8"/>
  <c r="K74" i="8"/>
  <c r="H74" i="8"/>
  <c r="E74" i="8"/>
  <c r="N74" i="8"/>
  <c r="F74" i="8"/>
  <c r="G74" i="8"/>
  <c r="CK42" i="10"/>
  <c r="CK40" i="10"/>
  <c r="CK45" i="10"/>
  <c r="CK43" i="10"/>
  <c r="CK41" i="10"/>
  <c r="CK44" i="10"/>
  <c r="P12" i="14" l="1"/>
  <c r="P11" i="14"/>
  <c r="P10" i="14"/>
  <c r="B76" i="8"/>
  <c r="C76" i="8" s="1"/>
  <c r="A75" i="8"/>
  <c r="U13" i="9"/>
  <c r="P13" i="11"/>
  <c r="U24" i="9"/>
  <c r="P36" i="11"/>
  <c r="U34" i="9"/>
  <c r="P46" i="11"/>
  <c r="P11" i="11"/>
  <c r="U11" i="9"/>
  <c r="U10" i="9"/>
  <c r="P10" i="11"/>
  <c r="U25" i="9"/>
  <c r="P37" i="11"/>
  <c r="U12" i="9"/>
  <c r="P12" i="11"/>
  <c r="U14" i="9"/>
  <c r="P14" i="11"/>
  <c r="U30" i="9"/>
  <c r="P42" i="11"/>
  <c r="U32" i="9"/>
  <c r="P44" i="11"/>
  <c r="P15" i="11"/>
  <c r="U15" i="9"/>
  <c r="P43" i="11"/>
  <c r="U31" i="9"/>
  <c r="U33" i="9"/>
  <c r="P45" i="11"/>
  <c r="P47" i="11"/>
  <c r="U35" i="9"/>
  <c r="C45" i="10"/>
  <c r="C44" i="10"/>
  <c r="C40" i="10"/>
  <c r="C41" i="10"/>
  <c r="C43" i="10"/>
  <c r="C42" i="10"/>
  <c r="BC31" i="10"/>
  <c r="BC27" i="10"/>
  <c r="BC30" i="10"/>
  <c r="D33" i="10"/>
  <c r="D30" i="10"/>
  <c r="D32" i="10"/>
  <c r="D31" i="10"/>
  <c r="D26" i="10"/>
  <c r="D39" i="10"/>
  <c r="D29" i="10"/>
  <c r="D36" i="10"/>
  <c r="D37" i="10"/>
  <c r="D38" i="10"/>
  <c r="D27" i="10"/>
  <c r="D28" i="10"/>
  <c r="CG25" i="10"/>
  <c r="CI25" i="10" s="1"/>
  <c r="CG24" i="10"/>
  <c r="CG23" i="10"/>
  <c r="CI23" i="10" s="1"/>
  <c r="CG22" i="10"/>
  <c r="CI22" i="10" s="1"/>
  <c r="CG21" i="10"/>
  <c r="CI21" i="10" s="1"/>
  <c r="CG20" i="10"/>
  <c r="CI20" i="10" s="1"/>
  <c r="CH25" i="10"/>
  <c r="CH24" i="10"/>
  <c r="CH22" i="10"/>
  <c r="CH21" i="10"/>
  <c r="CH20" i="10"/>
  <c r="CG39" i="10"/>
  <c r="CG38" i="10"/>
  <c r="CG37" i="10"/>
  <c r="CG36" i="10"/>
  <c r="CI36" i="10" s="1"/>
  <c r="CG35" i="10"/>
  <c r="CI35" i="10" s="1"/>
  <c r="CG34" i="10"/>
  <c r="CG31" i="10"/>
  <c r="CH37" i="10"/>
  <c r="CH36" i="10"/>
  <c r="CH35" i="10"/>
  <c r="R75" i="8"/>
  <c r="K75" i="8"/>
  <c r="Q75" i="8"/>
  <c r="L75" i="8"/>
  <c r="F75" i="8"/>
  <c r="N75" i="8"/>
  <c r="H75" i="8"/>
  <c r="E75" i="8"/>
  <c r="M75" i="8"/>
  <c r="T75" i="8"/>
  <c r="S75" i="8"/>
  <c r="P75" i="8"/>
  <c r="I75" i="8"/>
  <c r="G75" i="8"/>
  <c r="CK25" i="10"/>
  <c r="CK21" i="10"/>
  <c r="CK22" i="10"/>
  <c r="CK36" i="10"/>
  <c r="CK35" i="10"/>
  <c r="CK20" i="10"/>
  <c r="A76" i="8" l="1"/>
  <c r="B77" i="8"/>
  <c r="C77" i="8" s="1"/>
  <c r="P25" i="11"/>
  <c r="U19" i="9"/>
  <c r="U22" i="9"/>
  <c r="P34" i="11"/>
  <c r="U28" i="9"/>
  <c r="P40" i="11"/>
  <c r="U29" i="9"/>
  <c r="P41" i="11"/>
  <c r="U20" i="9"/>
  <c r="P26" i="11"/>
  <c r="N42" i="11"/>
  <c r="M30" i="9"/>
  <c r="U17" i="9"/>
  <c r="P23" i="11"/>
  <c r="P39" i="11"/>
  <c r="U27" i="9"/>
  <c r="U16" i="9"/>
  <c r="P22" i="11"/>
  <c r="P35" i="11"/>
  <c r="U23" i="9"/>
  <c r="N44" i="11"/>
  <c r="M32" i="9"/>
  <c r="N46" i="11"/>
  <c r="M34" i="9"/>
  <c r="N43" i="11"/>
  <c r="M31" i="9"/>
  <c r="U18" i="9"/>
  <c r="P24" i="11"/>
  <c r="U26" i="9"/>
  <c r="P38" i="11"/>
  <c r="U21" i="9"/>
  <c r="P27" i="11"/>
  <c r="M33" i="9"/>
  <c r="N45" i="11"/>
  <c r="N47" i="11"/>
  <c r="M35" i="9"/>
  <c r="C35" i="10"/>
  <c r="BC26" i="10"/>
  <c r="BC28" i="10"/>
  <c r="BC29" i="10"/>
  <c r="C20" i="10"/>
  <c r="C22" i="10"/>
  <c r="CG28" i="10"/>
  <c r="CI28" i="10" s="1"/>
  <c r="C25" i="10"/>
  <c r="CG32" i="10"/>
  <c r="CI32" i="10" s="1"/>
  <c r="CG29" i="10"/>
  <c r="CG30" i="10"/>
  <c r="CG26" i="10"/>
  <c r="CI26" i="10" s="1"/>
  <c r="C21" i="10"/>
  <c r="CG27" i="10"/>
  <c r="CI27" i="10" s="1"/>
  <c r="CG33" i="10"/>
  <c r="CI33" i="10" s="1"/>
  <c r="C36" i="10"/>
  <c r="CI37" i="10"/>
  <c r="CI31" i="10"/>
  <c r="CI34" i="10"/>
  <c r="CI38" i="10"/>
  <c r="CI39" i="10"/>
  <c r="CH38" i="10"/>
  <c r="CI24" i="10"/>
  <c r="CH34" i="10"/>
  <c r="CH23" i="10"/>
  <c r="CH39" i="10"/>
  <c r="AL15" i="9"/>
  <c r="AL14" i="9"/>
  <c r="AL13" i="9"/>
  <c r="AL12" i="9"/>
  <c r="AL11" i="9"/>
  <c r="AL10" i="9"/>
  <c r="C22" i="7"/>
  <c r="O34" i="11" s="1"/>
  <c r="C23" i="7"/>
  <c r="O35" i="11" s="1"/>
  <c r="BL16" i="7"/>
  <c r="AO26" i="7"/>
  <c r="AO27" i="7" s="1"/>
  <c r="AO28" i="7" s="1"/>
  <c r="AO29" i="7" s="1"/>
  <c r="AN26" i="7"/>
  <c r="AN27" i="7" s="1"/>
  <c r="AR16" i="7"/>
  <c r="AR24" i="7"/>
  <c r="AU24" i="7" s="1"/>
  <c r="AR25" i="7"/>
  <c r="AU25" i="7" s="1"/>
  <c r="AB26" i="7"/>
  <c r="AA26" i="7"/>
  <c r="Z25" i="7"/>
  <c r="Z26" i="7" s="1"/>
  <c r="Z27" i="7" s="1"/>
  <c r="Z28" i="7" s="1"/>
  <c r="Z29" i="7" s="1"/>
  <c r="Y25" i="7"/>
  <c r="Y26" i="7" s="1"/>
  <c r="Y27" i="7" s="1"/>
  <c r="Y28" i="7" s="1"/>
  <c r="Y29" i="7" s="1"/>
  <c r="X25" i="7"/>
  <c r="X26" i="7" s="1"/>
  <c r="X27" i="7" s="1"/>
  <c r="X28" i="7" s="1"/>
  <c r="X29" i="7" s="1"/>
  <c r="Z24" i="7"/>
  <c r="Y24" i="7"/>
  <c r="X24" i="7"/>
  <c r="AB12" i="7"/>
  <c r="AA12" i="7"/>
  <c r="Z12" i="7"/>
  <c r="Z13" i="7" s="1"/>
  <c r="Z14" i="7" s="1"/>
  <c r="Z15" i="7" s="1"/>
  <c r="Y12" i="7"/>
  <c r="Y13" i="7" s="1"/>
  <c r="Y14" i="7" s="1"/>
  <c r="Y15" i="7" s="1"/>
  <c r="X12" i="7"/>
  <c r="X13" i="7" s="1"/>
  <c r="X14" i="7" s="1"/>
  <c r="X15" i="7" s="1"/>
  <c r="Z18" i="8"/>
  <c r="Z17" i="8"/>
  <c r="AL16" i="8"/>
  <c r="Z16" i="8"/>
  <c r="AL15" i="8"/>
  <c r="Z15" i="8"/>
  <c r="AL14" i="8"/>
  <c r="Z14" i="8"/>
  <c r="AL13" i="8"/>
  <c r="AL12" i="8"/>
  <c r="Z12" i="8"/>
  <c r="AL11" i="8"/>
  <c r="C28" i="8"/>
  <c r="C21" i="8"/>
  <c r="C25" i="8" s="1"/>
  <c r="C20" i="8"/>
  <c r="C24" i="8" s="1"/>
  <c r="C19" i="8"/>
  <c r="C23" i="8" s="1"/>
  <c r="B19" i="8"/>
  <c r="B23" i="8" s="1"/>
  <c r="B21" i="8"/>
  <c r="B25" i="8" s="1"/>
  <c r="B20" i="8"/>
  <c r="B24" i="8" s="1"/>
  <c r="B28" i="8"/>
  <c r="P76" i="8"/>
  <c r="I76" i="8"/>
  <c r="F76" i="8"/>
  <c r="M76" i="8"/>
  <c r="H76" i="8"/>
  <c r="S76" i="8"/>
  <c r="R76" i="8"/>
  <c r="N76" i="8"/>
  <c r="Q76" i="8"/>
  <c r="G76" i="8"/>
  <c r="E76" i="8"/>
  <c r="T76" i="8"/>
  <c r="K76" i="8"/>
  <c r="L76" i="8"/>
  <c r="AE19" i="8"/>
  <c r="BB17" i="7"/>
  <c r="AE26" i="7"/>
  <c r="BB18" i="7"/>
  <c r="BC18" i="7"/>
  <c r="BC21" i="7"/>
  <c r="BD16" i="7"/>
  <c r="AD16" i="8"/>
  <c r="BC20" i="7"/>
  <c r="AE16" i="7"/>
  <c r="AC17" i="7"/>
  <c r="AE11" i="7"/>
  <c r="AE16" i="8"/>
  <c r="AE18" i="8"/>
  <c r="AE24" i="7"/>
  <c r="AG15" i="8"/>
  <c r="AC16" i="8"/>
  <c r="AD18" i="8"/>
  <c r="AC14" i="8"/>
  <c r="AF19" i="8"/>
  <c r="AC12" i="7"/>
  <c r="AC15" i="8"/>
  <c r="AF14" i="8"/>
  <c r="BD17" i="7"/>
  <c r="AC17" i="8"/>
  <c r="AE13" i="8"/>
  <c r="AD25" i="7"/>
  <c r="AC24" i="7"/>
  <c r="AC25" i="7"/>
  <c r="AC13" i="8"/>
  <c r="AC12" i="8"/>
  <c r="BD20" i="7"/>
  <c r="AC26" i="7"/>
  <c r="AD10" i="7"/>
  <c r="AF15" i="8"/>
  <c r="AC18" i="8"/>
  <c r="AF18" i="8"/>
  <c r="AD12" i="8"/>
  <c r="AF17" i="8"/>
  <c r="AG17" i="8"/>
  <c r="AD11" i="7"/>
  <c r="AF12" i="8"/>
  <c r="AD13" i="8"/>
  <c r="BC16" i="7"/>
  <c r="AE15" i="8"/>
  <c r="AD17" i="7"/>
  <c r="AD14" i="8"/>
  <c r="AE14" i="8"/>
  <c r="AE19" i="7"/>
  <c r="BC19" i="7"/>
  <c r="AF16" i="8"/>
  <c r="AG16" i="8"/>
  <c r="AE25" i="7"/>
  <c r="AG19" i="8"/>
  <c r="AC18" i="7"/>
  <c r="AE18" i="7"/>
  <c r="AD24" i="7"/>
  <c r="AC20" i="7"/>
  <c r="AG13" i="8"/>
  <c r="AC16" i="7"/>
  <c r="BD21" i="7"/>
  <c r="AD15" i="8"/>
  <c r="AD18" i="7"/>
  <c r="AF13" i="8"/>
  <c r="AD21" i="7"/>
  <c r="AE17" i="8"/>
  <c r="BB16" i="7"/>
  <c r="AE10" i="7"/>
  <c r="AC21" i="7"/>
  <c r="AG14" i="8"/>
  <c r="AC19" i="8"/>
  <c r="AD19" i="8"/>
  <c r="AD16" i="7"/>
  <c r="AE21" i="7"/>
  <c r="AG12" i="8"/>
  <c r="BD18" i="7"/>
  <c r="AG18" i="8"/>
  <c r="AD20" i="7"/>
  <c r="AE12" i="8"/>
  <c r="AD17" i="8"/>
  <c r="AE17" i="7"/>
  <c r="CK34" i="10"/>
  <c r="CK37" i="10"/>
  <c r="CK38" i="10"/>
  <c r="CK24" i="10"/>
  <c r="CK39" i="10"/>
  <c r="CK23" i="10"/>
  <c r="AA13" i="7" l="1"/>
  <c r="AA27" i="7"/>
  <c r="AB13" i="7"/>
  <c r="AB27" i="7"/>
  <c r="N12" i="14"/>
  <c r="N10" i="14"/>
  <c r="N11" i="14"/>
  <c r="A77" i="8"/>
  <c r="B78" i="8"/>
  <c r="C78" i="8" s="1"/>
  <c r="N38" i="11"/>
  <c r="M26" i="9"/>
  <c r="N12" i="11"/>
  <c r="M12" i="9"/>
  <c r="N15" i="11"/>
  <c r="M15" i="9"/>
  <c r="N11" i="11"/>
  <c r="M11" i="9"/>
  <c r="N10" i="11"/>
  <c r="M10" i="9"/>
  <c r="M25" i="9"/>
  <c r="N37" i="11"/>
  <c r="C34" i="10"/>
  <c r="AO22" i="9"/>
  <c r="AO23" i="9"/>
  <c r="E23" i="7"/>
  <c r="Q35" i="11" s="1"/>
  <c r="E22" i="7"/>
  <c r="Q34" i="11" s="1"/>
  <c r="C23" i="10"/>
  <c r="C37" i="10"/>
  <c r="C24" i="10"/>
  <c r="CH29" i="10"/>
  <c r="CH28" i="10"/>
  <c r="C39" i="10"/>
  <c r="CH31" i="10"/>
  <c r="C38" i="10"/>
  <c r="CI30" i="10"/>
  <c r="CI29" i="10"/>
  <c r="L22" i="9"/>
  <c r="L23" i="9"/>
  <c r="AR26" i="7"/>
  <c r="AU26" i="7" s="1"/>
  <c r="BL19" i="7"/>
  <c r="BL17" i="7"/>
  <c r="AR17" i="7"/>
  <c r="AN28" i="7"/>
  <c r="BE18" i="7"/>
  <c r="BO18" i="7" s="1"/>
  <c r="BE16" i="7"/>
  <c r="BO16" i="7" s="1"/>
  <c r="C26" i="8"/>
  <c r="C30" i="8" s="1"/>
  <c r="C32" i="8" s="1"/>
  <c r="C34" i="8" s="1"/>
  <c r="B26" i="8"/>
  <c r="B30" i="8" s="1"/>
  <c r="B32" i="8" s="1"/>
  <c r="B34" i="8" s="1"/>
  <c r="K77" i="8"/>
  <c r="I77" i="8"/>
  <c r="L77" i="8"/>
  <c r="H77" i="8"/>
  <c r="E77" i="8"/>
  <c r="M77" i="8"/>
  <c r="G77" i="8"/>
  <c r="Q77" i="8"/>
  <c r="F77" i="8"/>
  <c r="T77" i="8"/>
  <c r="S77" i="8"/>
  <c r="P77" i="8"/>
  <c r="R77" i="8"/>
  <c r="N77" i="8"/>
  <c r="AL26" i="7"/>
  <c r="AI26" i="7"/>
  <c r="AJ26" i="7"/>
  <c r="AK12" i="7"/>
  <c r="AI12" i="7"/>
  <c r="AL12" i="7"/>
  <c r="AJ12" i="7"/>
  <c r="AK26" i="7"/>
  <c r="AI15" i="8"/>
  <c r="AI12" i="8"/>
  <c r="AH16" i="8"/>
  <c r="AD13" i="7"/>
  <c r="AJ17" i="8"/>
  <c r="AI17" i="8"/>
  <c r="AI18" i="8"/>
  <c r="BC17" i="7"/>
  <c r="AC13" i="7"/>
  <c r="AI14" i="8"/>
  <c r="AH19" i="8"/>
  <c r="AH14" i="8"/>
  <c r="AD19" i="7"/>
  <c r="AJ14" i="8"/>
  <c r="AH17" i="8"/>
  <c r="BB20" i="7"/>
  <c r="AJ13" i="8"/>
  <c r="AJ15" i="8"/>
  <c r="AH13" i="8"/>
  <c r="AJ18" i="8"/>
  <c r="AH15" i="8"/>
  <c r="AH12" i="8"/>
  <c r="BB21" i="7"/>
  <c r="AJ12" i="8"/>
  <c r="AE20" i="7"/>
  <c r="AE12" i="7"/>
  <c r="AI13" i="8"/>
  <c r="BB19" i="7"/>
  <c r="BD19" i="7"/>
  <c r="AI19" i="8"/>
  <c r="AJ16" i="8"/>
  <c r="AH18" i="8"/>
  <c r="AD26" i="7"/>
  <c r="AJ19" i="8"/>
  <c r="AI16" i="8"/>
  <c r="AE13" i="7"/>
  <c r="AD12" i="7"/>
  <c r="AC19" i="7"/>
  <c r="CK31" i="10"/>
  <c r="AF22" i="9"/>
  <c r="CK28" i="10"/>
  <c r="CK29" i="10"/>
  <c r="AF23" i="9"/>
  <c r="AB28" i="7" l="1"/>
  <c r="AB14" i="7"/>
  <c r="AA28" i="7"/>
  <c r="AA14" i="7"/>
  <c r="A78" i="8"/>
  <c r="B79" i="8"/>
  <c r="C79" i="8" s="1"/>
  <c r="M29" i="9"/>
  <c r="N41" i="11"/>
  <c r="N39" i="11"/>
  <c r="M27" i="9"/>
  <c r="N14" i="11"/>
  <c r="M14" i="9"/>
  <c r="N40" i="11"/>
  <c r="M28" i="9"/>
  <c r="M13" i="9"/>
  <c r="N13" i="11"/>
  <c r="N36" i="11"/>
  <c r="M24" i="9"/>
  <c r="AV23" i="9"/>
  <c r="D23" i="9" s="1"/>
  <c r="AV22" i="9"/>
  <c r="D22" i="9" s="1"/>
  <c r="AH23" i="9"/>
  <c r="AH22" i="9"/>
  <c r="T22" i="9"/>
  <c r="T23" i="9"/>
  <c r="C28" i="10"/>
  <c r="C31" i="10"/>
  <c r="BE20" i="7"/>
  <c r="BO20" i="7" s="1"/>
  <c r="CH27" i="10"/>
  <c r="CH30" i="10"/>
  <c r="CH33" i="10"/>
  <c r="CH32" i="10"/>
  <c r="C29" i="10"/>
  <c r="BE17" i="7"/>
  <c r="BO17" i="7" s="1"/>
  <c r="BE21" i="7"/>
  <c r="BO21" i="7" s="1"/>
  <c r="BE19" i="7"/>
  <c r="BO19" i="7" s="1"/>
  <c r="E18" i="7"/>
  <c r="Q24" i="11" s="1"/>
  <c r="E16" i="7"/>
  <c r="Q22" i="11" s="1"/>
  <c r="BL21" i="7"/>
  <c r="BL20" i="7"/>
  <c r="AR28" i="7"/>
  <c r="AU28" i="7" s="1"/>
  <c r="AN29" i="7"/>
  <c r="AR29" i="7" s="1"/>
  <c r="AU29" i="7" s="1"/>
  <c r="AR27" i="7"/>
  <c r="AU27" i="7" s="1"/>
  <c r="AF18" i="7"/>
  <c r="AF21" i="7"/>
  <c r="AF16" i="7"/>
  <c r="AU16" i="7" s="1"/>
  <c r="AF25" i="7"/>
  <c r="BO25" i="7" s="1"/>
  <c r="AF20" i="7"/>
  <c r="AF10" i="7"/>
  <c r="AU10" i="7" s="1"/>
  <c r="BO10" i="7" s="1"/>
  <c r="AF19" i="7"/>
  <c r="AF17" i="7"/>
  <c r="AU17" i="7" s="1"/>
  <c r="AF24" i="7"/>
  <c r="BO24" i="7" s="1"/>
  <c r="AF12" i="7"/>
  <c r="BO12" i="7" s="1"/>
  <c r="AF13" i="7"/>
  <c r="BO13" i="7" s="1"/>
  <c r="AF26" i="7"/>
  <c r="BO26" i="7" s="1"/>
  <c r="AF11" i="7"/>
  <c r="BO11" i="7" s="1"/>
  <c r="AK14" i="8"/>
  <c r="AM14" i="8" s="1"/>
  <c r="AK18" i="8"/>
  <c r="AM18" i="8" s="1"/>
  <c r="AK15" i="8"/>
  <c r="AM15" i="8" s="1"/>
  <c r="AK16" i="8"/>
  <c r="AM16" i="8" s="1"/>
  <c r="AK13" i="8"/>
  <c r="AM13" i="8" s="1"/>
  <c r="AK19" i="8"/>
  <c r="AM19" i="8" s="1"/>
  <c r="AK17" i="8"/>
  <c r="AM17" i="8" s="1"/>
  <c r="AK12" i="8"/>
  <c r="AM12" i="8" s="1"/>
  <c r="E78" i="8"/>
  <c r="P78" i="8"/>
  <c r="T78" i="8"/>
  <c r="N78" i="8"/>
  <c r="R78" i="8"/>
  <c r="I78" i="8"/>
  <c r="F78" i="8"/>
  <c r="L78" i="8"/>
  <c r="M78" i="8"/>
  <c r="G78" i="8"/>
  <c r="Q78" i="8"/>
  <c r="K78" i="8"/>
  <c r="H78" i="8"/>
  <c r="S78" i="8"/>
  <c r="AJ27" i="7"/>
  <c r="AJ13" i="7"/>
  <c r="AI13" i="7"/>
  <c r="AI27" i="7"/>
  <c r="AL13" i="7"/>
  <c r="AL27" i="7"/>
  <c r="AK27" i="7"/>
  <c r="AK13" i="7"/>
  <c r="AC27" i="7"/>
  <c r="AE27" i="7"/>
  <c r="AD27" i="7"/>
  <c r="AM23" i="9"/>
  <c r="CK32" i="10"/>
  <c r="CK27" i="10"/>
  <c r="CK30" i="10"/>
  <c r="AM22" i="9"/>
  <c r="CK33" i="10"/>
  <c r="AB15" i="7" l="1"/>
  <c r="AA15" i="7"/>
  <c r="AA29" i="7"/>
  <c r="AB29" i="7"/>
  <c r="AF27" i="7"/>
  <c r="BO27" i="7" s="1"/>
  <c r="A79" i="8"/>
  <c r="B80" i="8"/>
  <c r="C80" i="8" s="1"/>
  <c r="N24" i="11"/>
  <c r="M18" i="9"/>
  <c r="M21" i="9"/>
  <c r="N27" i="11"/>
  <c r="N25" i="11"/>
  <c r="M19" i="9"/>
  <c r="BO14" i="7"/>
  <c r="L22" i="13"/>
  <c r="R34" i="11"/>
  <c r="L23" i="13"/>
  <c r="R35" i="11"/>
  <c r="BO28" i="7"/>
  <c r="AS23" i="9"/>
  <c r="AU23" i="9" s="1"/>
  <c r="C23" i="9" s="1"/>
  <c r="G35" i="11" s="1"/>
  <c r="AS22" i="9"/>
  <c r="AU22" i="9" s="1"/>
  <c r="C22" i="9" s="1"/>
  <c r="G34" i="11" s="1"/>
  <c r="AW22" i="9"/>
  <c r="AW23" i="9"/>
  <c r="T16" i="9"/>
  <c r="T18" i="9"/>
  <c r="C33" i="10"/>
  <c r="C30" i="10"/>
  <c r="C27" i="10"/>
  <c r="C32" i="10"/>
  <c r="E19" i="7"/>
  <c r="Q25" i="11" s="1"/>
  <c r="E17" i="7"/>
  <c r="Q23" i="11" s="1"/>
  <c r="CH26" i="10"/>
  <c r="C14" i="7"/>
  <c r="O14" i="11" s="1"/>
  <c r="C15" i="7"/>
  <c r="O15" i="11" s="1"/>
  <c r="C21" i="7"/>
  <c r="O27" i="11" s="1"/>
  <c r="E20" i="7"/>
  <c r="Q26" i="11" s="1"/>
  <c r="E21" i="7"/>
  <c r="Q27" i="11" s="1"/>
  <c r="C11" i="7"/>
  <c r="C19" i="7"/>
  <c r="O25" i="11" s="1"/>
  <c r="C26" i="7"/>
  <c r="C10" i="7"/>
  <c r="O10" i="11" s="1"/>
  <c r="C18" i="7"/>
  <c r="O24" i="11" s="1"/>
  <c r="C20" i="7"/>
  <c r="O26" i="11" s="1"/>
  <c r="C25" i="7"/>
  <c r="C13" i="7"/>
  <c r="O13" i="11" s="1"/>
  <c r="C12" i="7"/>
  <c r="O12" i="11" s="1"/>
  <c r="C16" i="7"/>
  <c r="O22" i="11" s="1"/>
  <c r="C24" i="7"/>
  <c r="C17" i="7"/>
  <c r="O23" i="11" s="1"/>
  <c r="AL11" i="5"/>
  <c r="AM11" i="5"/>
  <c r="AN11" i="5"/>
  <c r="AO11" i="5"/>
  <c r="AL12" i="5"/>
  <c r="AM12" i="5"/>
  <c r="AN12" i="5"/>
  <c r="AO12" i="5"/>
  <c r="AL13" i="5"/>
  <c r="AM13" i="5"/>
  <c r="AN13" i="5"/>
  <c r="AO13" i="5"/>
  <c r="AL14" i="5"/>
  <c r="AM14" i="5"/>
  <c r="AN14" i="5"/>
  <c r="AO14" i="5"/>
  <c r="AL15" i="5"/>
  <c r="AM15" i="5"/>
  <c r="AN15" i="5"/>
  <c r="AO15" i="5"/>
  <c r="AL16" i="5"/>
  <c r="AM16" i="5"/>
  <c r="AN16" i="5"/>
  <c r="AO16" i="5"/>
  <c r="AL17" i="5"/>
  <c r="AM17" i="5"/>
  <c r="AN17" i="5"/>
  <c r="AO17" i="5"/>
  <c r="AL18" i="5"/>
  <c r="AM18" i="5"/>
  <c r="AN18" i="5"/>
  <c r="AO18" i="5"/>
  <c r="AL19" i="5"/>
  <c r="AM19" i="5"/>
  <c r="AN19" i="5"/>
  <c r="AO19" i="5"/>
  <c r="AL20" i="5"/>
  <c r="AM20" i="5"/>
  <c r="AN20" i="5"/>
  <c r="AO20" i="5"/>
  <c r="AL21" i="5"/>
  <c r="AM21" i="5"/>
  <c r="AN21" i="5"/>
  <c r="AO21" i="5"/>
  <c r="AL22" i="5"/>
  <c r="AM22" i="5"/>
  <c r="AN22" i="5"/>
  <c r="AO22" i="5"/>
  <c r="AL23" i="5"/>
  <c r="AM23" i="5"/>
  <c r="AN23" i="5"/>
  <c r="AO23" i="5"/>
  <c r="AL24" i="5"/>
  <c r="AM24" i="5"/>
  <c r="AN24" i="5"/>
  <c r="AO24" i="5"/>
  <c r="AL25" i="5"/>
  <c r="AM25" i="5"/>
  <c r="AN25" i="5"/>
  <c r="AO25" i="5"/>
  <c r="AL26" i="5"/>
  <c r="AM26" i="5"/>
  <c r="AN26" i="5"/>
  <c r="AO26" i="5"/>
  <c r="AL27" i="5"/>
  <c r="AM27" i="5"/>
  <c r="AN27" i="5"/>
  <c r="AO27" i="5"/>
  <c r="AL28" i="5"/>
  <c r="AM28" i="5"/>
  <c r="AN28" i="5"/>
  <c r="AO28" i="5"/>
  <c r="AL29" i="5"/>
  <c r="AM29" i="5"/>
  <c r="AN29" i="5"/>
  <c r="AO29" i="5"/>
  <c r="AM10" i="5"/>
  <c r="AO10" i="5"/>
  <c r="AN10" i="5"/>
  <c r="AL10" i="5"/>
  <c r="CA11" i="5"/>
  <c r="CB11" i="5"/>
  <c r="CC11" i="5"/>
  <c r="CD11" i="5"/>
  <c r="CA12" i="5"/>
  <c r="CB12" i="5"/>
  <c r="CC12" i="5"/>
  <c r="CD12" i="5"/>
  <c r="CA13" i="5"/>
  <c r="CB13" i="5"/>
  <c r="CC13" i="5"/>
  <c r="CD13" i="5"/>
  <c r="CA14" i="5"/>
  <c r="CB14" i="5"/>
  <c r="CC14" i="5"/>
  <c r="CD14" i="5"/>
  <c r="CA15" i="5"/>
  <c r="CB15" i="5"/>
  <c r="CC15" i="5"/>
  <c r="CD15" i="5"/>
  <c r="CA16" i="5"/>
  <c r="CB16" i="5"/>
  <c r="CC16" i="5"/>
  <c r="CD16" i="5"/>
  <c r="CA17" i="5"/>
  <c r="CB17" i="5"/>
  <c r="CC17" i="5"/>
  <c r="CD17" i="5"/>
  <c r="CA18" i="5"/>
  <c r="CB18" i="5"/>
  <c r="CC18" i="5"/>
  <c r="CD18" i="5"/>
  <c r="CA19" i="5"/>
  <c r="CB19" i="5"/>
  <c r="CC19" i="5"/>
  <c r="CD19" i="5"/>
  <c r="CA20" i="5"/>
  <c r="CB20" i="5"/>
  <c r="CC20" i="5"/>
  <c r="CD20" i="5"/>
  <c r="CA21" i="5"/>
  <c r="CB21" i="5"/>
  <c r="CC21" i="5"/>
  <c r="CD21" i="5"/>
  <c r="CA22" i="5"/>
  <c r="CB22" i="5"/>
  <c r="CC22" i="5"/>
  <c r="CD22" i="5"/>
  <c r="CA23" i="5"/>
  <c r="CB23" i="5"/>
  <c r="CC23" i="5"/>
  <c r="CD23" i="5"/>
  <c r="CA24" i="5"/>
  <c r="CB24" i="5"/>
  <c r="CC24" i="5"/>
  <c r="CD24" i="5"/>
  <c r="CA25" i="5"/>
  <c r="CB25" i="5"/>
  <c r="CC25" i="5"/>
  <c r="CD25" i="5"/>
  <c r="CA26" i="5"/>
  <c r="CB26" i="5"/>
  <c r="CC26" i="5"/>
  <c r="CD26" i="5"/>
  <c r="CA27" i="5"/>
  <c r="CB27" i="5"/>
  <c r="CC27" i="5"/>
  <c r="CD27" i="5"/>
  <c r="CA28" i="5"/>
  <c r="CB28" i="5"/>
  <c r="CC28" i="5"/>
  <c r="CD28" i="5"/>
  <c r="CA29" i="5"/>
  <c r="CB29" i="5"/>
  <c r="CC29" i="5"/>
  <c r="CD29" i="5"/>
  <c r="CB10" i="5"/>
  <c r="CC10" i="5"/>
  <c r="CD10" i="5"/>
  <c r="CA10" i="5"/>
  <c r="BB11" i="5"/>
  <c r="BD11" i="5"/>
  <c r="BE11" i="5"/>
  <c r="BF11" i="5"/>
  <c r="BG11" i="5"/>
  <c r="BH11" i="5"/>
  <c r="BB12" i="5"/>
  <c r="BD12" i="5"/>
  <c r="BE12" i="5"/>
  <c r="BF12" i="5"/>
  <c r="BG12" i="5"/>
  <c r="BH12" i="5"/>
  <c r="BB13" i="5"/>
  <c r="BD13" i="5"/>
  <c r="BE13" i="5"/>
  <c r="BF13" i="5"/>
  <c r="BG13" i="5"/>
  <c r="BH13" i="5"/>
  <c r="BB14" i="5"/>
  <c r="BD14" i="5"/>
  <c r="BE14" i="5"/>
  <c r="BF14" i="5"/>
  <c r="BG14" i="5"/>
  <c r="BH14" i="5"/>
  <c r="BB15" i="5"/>
  <c r="BD15" i="5"/>
  <c r="BE15" i="5"/>
  <c r="BF15" i="5"/>
  <c r="BG15" i="5"/>
  <c r="BH15" i="5"/>
  <c r="BB16" i="5"/>
  <c r="BD16" i="5"/>
  <c r="BE16" i="5"/>
  <c r="BF16" i="5"/>
  <c r="BG16" i="5"/>
  <c r="BH16" i="5"/>
  <c r="BB17" i="5"/>
  <c r="BD17" i="5"/>
  <c r="BE17" i="5"/>
  <c r="BF17" i="5"/>
  <c r="BG17" i="5"/>
  <c r="BH17" i="5"/>
  <c r="BB18" i="5"/>
  <c r="BD18" i="5"/>
  <c r="BE18" i="5"/>
  <c r="BF18" i="5"/>
  <c r="BG18" i="5"/>
  <c r="BH18" i="5"/>
  <c r="BB19" i="5"/>
  <c r="BD19" i="5"/>
  <c r="BE19" i="5"/>
  <c r="BF19" i="5"/>
  <c r="BG19" i="5"/>
  <c r="BH19" i="5"/>
  <c r="BB20" i="5"/>
  <c r="BD20" i="5"/>
  <c r="BE20" i="5"/>
  <c r="BF20" i="5"/>
  <c r="BG20" i="5"/>
  <c r="BH20" i="5"/>
  <c r="BB21" i="5"/>
  <c r="BD21" i="5"/>
  <c r="BE21" i="5"/>
  <c r="BF21" i="5"/>
  <c r="BG21" i="5"/>
  <c r="BB22" i="5"/>
  <c r="BD22" i="5"/>
  <c r="BE22" i="5"/>
  <c r="BF22" i="5"/>
  <c r="BG22" i="5"/>
  <c r="BH22" i="5"/>
  <c r="BB23" i="5"/>
  <c r="BD23" i="5"/>
  <c r="BE23" i="5"/>
  <c r="BF23" i="5"/>
  <c r="BG23" i="5"/>
  <c r="BH23" i="5"/>
  <c r="BB24" i="5"/>
  <c r="BD24" i="5"/>
  <c r="BE24" i="5"/>
  <c r="BF24" i="5"/>
  <c r="BG24" i="5"/>
  <c r="BH24" i="5"/>
  <c r="BB25" i="5"/>
  <c r="BD25" i="5"/>
  <c r="BE25" i="5"/>
  <c r="BF25" i="5"/>
  <c r="BG25" i="5"/>
  <c r="BH25" i="5"/>
  <c r="BB26" i="5"/>
  <c r="BD26" i="5"/>
  <c r="BE26" i="5"/>
  <c r="BF26" i="5"/>
  <c r="BG26" i="5"/>
  <c r="BH26" i="5"/>
  <c r="BB27" i="5"/>
  <c r="BD27" i="5"/>
  <c r="BE27" i="5"/>
  <c r="BF27" i="5"/>
  <c r="BG27" i="5"/>
  <c r="BH27" i="5"/>
  <c r="BB28" i="5"/>
  <c r="BD28" i="5"/>
  <c r="BE28" i="5"/>
  <c r="BF28" i="5"/>
  <c r="BG28" i="5"/>
  <c r="BH28" i="5"/>
  <c r="BB29" i="5"/>
  <c r="BD29" i="5"/>
  <c r="BE29" i="5"/>
  <c r="BF29" i="5"/>
  <c r="BG29" i="5"/>
  <c r="BH29" i="5"/>
  <c r="BB10" i="5"/>
  <c r="BH10" i="5"/>
  <c r="BG10" i="5"/>
  <c r="BF10" i="5"/>
  <c r="BE10" i="5"/>
  <c r="BD10" i="5"/>
  <c r="G79" i="8"/>
  <c r="I79" i="8"/>
  <c r="F79" i="8"/>
  <c r="L79" i="8"/>
  <c r="E79" i="8"/>
  <c r="H79" i="8"/>
  <c r="N79" i="8"/>
  <c r="AL14" i="7"/>
  <c r="AJ28" i="7"/>
  <c r="AJ14" i="7"/>
  <c r="AK28" i="7"/>
  <c r="AL28" i="7"/>
  <c r="AI14" i="7"/>
  <c r="AI28" i="7"/>
  <c r="AK14" i="7"/>
  <c r="AC28" i="7"/>
  <c r="AP23" i="5"/>
  <c r="AP26" i="5"/>
  <c r="AP15" i="5"/>
  <c r="AP27" i="5"/>
  <c r="AP24" i="5"/>
  <c r="AP28" i="5"/>
  <c r="AP22" i="5"/>
  <c r="AP12" i="5"/>
  <c r="AP19" i="5"/>
  <c r="AD28" i="7"/>
  <c r="AP13" i="5"/>
  <c r="AC14" i="7"/>
  <c r="AD14" i="7"/>
  <c r="AP25" i="5"/>
  <c r="AP11" i="5"/>
  <c r="AP29" i="5"/>
  <c r="AP10" i="5"/>
  <c r="AP18" i="5"/>
  <c r="AP21" i="5"/>
  <c r="AP17" i="5"/>
  <c r="AE28" i="7"/>
  <c r="AP14" i="5"/>
  <c r="AP20" i="5"/>
  <c r="AE14" i="7"/>
  <c r="AP16" i="5"/>
  <c r="BP25" i="5" a="1"/>
  <c r="BP26" i="5" a="1"/>
  <c r="AN22" i="9"/>
  <c r="AN23" i="9"/>
  <c r="AM16" i="9"/>
  <c r="CK26" i="10"/>
  <c r="AM18" i="9"/>
  <c r="BP14" i="5" a="1"/>
  <c r="BP28" i="5" a="1"/>
  <c r="BP22" i="5" a="1"/>
  <c r="BP16" i="5" a="1"/>
  <c r="AF28" i="7" l="1"/>
  <c r="AF14" i="7"/>
  <c r="O11" i="11"/>
  <c r="O12" i="14"/>
  <c r="O10" i="14"/>
  <c r="O11" i="14"/>
  <c r="X23" i="13"/>
  <c r="C23" i="13" s="1"/>
  <c r="J35" i="11" s="1"/>
  <c r="V23" i="13"/>
  <c r="E23" i="13" s="1"/>
  <c r="L35" i="11" s="1"/>
  <c r="X22" i="13"/>
  <c r="C22" i="13" s="1"/>
  <c r="J34" i="11" s="1"/>
  <c r="V22" i="13"/>
  <c r="E22" i="13" s="1"/>
  <c r="L34" i="11" s="1"/>
  <c r="C27" i="7"/>
  <c r="O39" i="11" s="1"/>
  <c r="A80" i="8"/>
  <c r="B81" i="8"/>
  <c r="C81" i="8" s="1"/>
  <c r="M17" i="9"/>
  <c r="N23" i="11"/>
  <c r="N26" i="11"/>
  <c r="M20" i="9"/>
  <c r="N35" i="11"/>
  <c r="M23" i="9"/>
  <c r="BO29" i="7"/>
  <c r="E29" i="7" s="1"/>
  <c r="C29" i="7"/>
  <c r="O36" i="11"/>
  <c r="C30" i="7"/>
  <c r="O37" i="11"/>
  <c r="C31" i="7"/>
  <c r="O38" i="11"/>
  <c r="C32" i="7"/>
  <c r="N34" i="11"/>
  <c r="M22" i="9"/>
  <c r="C28" i="7"/>
  <c r="K22" i="13"/>
  <c r="K23" i="13"/>
  <c r="AO18" i="9"/>
  <c r="AO16" i="9"/>
  <c r="F23" i="9"/>
  <c r="T35" i="11" s="1"/>
  <c r="F22" i="9"/>
  <c r="T34" i="11" s="1"/>
  <c r="AW16" i="9"/>
  <c r="AW18" i="9"/>
  <c r="G23" i="9"/>
  <c r="U35" i="11" s="1"/>
  <c r="G22" i="9"/>
  <c r="U34" i="11" s="1"/>
  <c r="F80" i="8"/>
  <c r="N80" i="8"/>
  <c r="Q80" i="8"/>
  <c r="M79" i="8"/>
  <c r="K80" i="8"/>
  <c r="E80" i="8"/>
  <c r="R79" i="8"/>
  <c r="S80" i="8"/>
  <c r="R80" i="8"/>
  <c r="L80" i="8"/>
  <c r="I80" i="8"/>
  <c r="H80" i="8"/>
  <c r="M80" i="8"/>
  <c r="T80" i="8"/>
  <c r="T79" i="8"/>
  <c r="G80" i="8"/>
  <c r="P80" i="8"/>
  <c r="P79" i="8"/>
  <c r="S79" i="8"/>
  <c r="K79" i="8"/>
  <c r="Q79" i="8"/>
  <c r="AI29" i="7"/>
  <c r="AK15" i="7"/>
  <c r="AL29" i="7"/>
  <c r="AL15" i="7"/>
  <c r="AK29" i="7"/>
  <c r="AI15" i="7"/>
  <c r="AJ15" i="7"/>
  <c r="AJ29" i="7"/>
  <c r="AC29" i="7"/>
  <c r="AE15" i="7"/>
  <c r="AE29" i="7"/>
  <c r="AD15" i="7"/>
  <c r="AC15" i="7"/>
  <c r="AD29" i="7"/>
  <c r="BP24" i="5" a="1"/>
  <c r="BP21" i="5" a="1"/>
  <c r="AN16" i="9"/>
  <c r="BP20" i="5" a="1"/>
  <c r="BP13" i="5" a="1"/>
  <c r="BP29" i="5" a="1"/>
  <c r="BP27" i="5" a="1"/>
  <c r="AG23" i="9"/>
  <c r="BP12" i="5" a="1"/>
  <c r="AG22" i="9"/>
  <c r="AN18" i="9"/>
  <c r="BP23" i="5" a="1"/>
  <c r="BP11" i="5" a="1"/>
  <c r="BP17" i="5" a="1"/>
  <c r="BP15" i="5" a="1"/>
  <c r="BP19" i="5" a="1"/>
  <c r="AF29" i="7" l="1"/>
  <c r="AF15" i="7"/>
  <c r="BO15" i="7" s="1"/>
  <c r="C33" i="7"/>
  <c r="L33" i="9" s="1"/>
  <c r="B82" i="8"/>
  <c r="C82" i="8" s="1"/>
  <c r="A81" i="8"/>
  <c r="O40" i="11"/>
  <c r="C34" i="7"/>
  <c r="L31" i="9"/>
  <c r="O43" i="11"/>
  <c r="L29" i="9"/>
  <c r="C35" i="7"/>
  <c r="O41" i="11"/>
  <c r="E35" i="7"/>
  <c r="Q41" i="11"/>
  <c r="T29" i="9"/>
  <c r="L32" i="9"/>
  <c r="O44" i="11"/>
  <c r="L30" i="9"/>
  <c r="O42" i="11"/>
  <c r="AL34" i="11"/>
  <c r="N22" i="13"/>
  <c r="Y22" i="13" s="1"/>
  <c r="D22" i="13" s="1"/>
  <c r="K34" i="11" s="1"/>
  <c r="AL35" i="11"/>
  <c r="N23" i="13"/>
  <c r="Y23" i="13" s="1"/>
  <c r="D23" i="13" s="1"/>
  <c r="AP34" i="11"/>
  <c r="O22" i="13"/>
  <c r="O23" i="13"/>
  <c r="F18" i="9"/>
  <c r="T24" i="11" s="1"/>
  <c r="F16" i="9"/>
  <c r="T22" i="11" s="1"/>
  <c r="T21" i="9"/>
  <c r="L20" i="9"/>
  <c r="T20" i="9"/>
  <c r="T17" i="9"/>
  <c r="L17" i="9"/>
  <c r="L21" i="9"/>
  <c r="L18" i="9"/>
  <c r="T19" i="9"/>
  <c r="L16" i="9"/>
  <c r="L19" i="9"/>
  <c r="G16" i="9"/>
  <c r="U22" i="11" s="1"/>
  <c r="C26" i="10"/>
  <c r="G18" i="9"/>
  <c r="U24" i="11" s="1"/>
  <c r="AQ13" i="5"/>
  <c r="D13" i="5" s="1"/>
  <c r="E24" i="7"/>
  <c r="L24" i="9"/>
  <c r="E10" i="7"/>
  <c r="L10" i="9"/>
  <c r="E26" i="7"/>
  <c r="L26" i="9"/>
  <c r="E13" i="7"/>
  <c r="Q13" i="11" s="1"/>
  <c r="L13" i="9"/>
  <c r="E25" i="7"/>
  <c r="L25" i="9"/>
  <c r="E12" i="7"/>
  <c r="Q12" i="11" s="1"/>
  <c r="L12" i="9"/>
  <c r="E27" i="7"/>
  <c r="L27" i="9"/>
  <c r="E28" i="7"/>
  <c r="L28" i="9"/>
  <c r="E15" i="7"/>
  <c r="Q15" i="11" s="1"/>
  <c r="L15" i="9"/>
  <c r="E14" i="7"/>
  <c r="Q14" i="11" s="1"/>
  <c r="L14" i="9"/>
  <c r="E11" i="7"/>
  <c r="L11" i="9"/>
  <c r="AQ14" i="5"/>
  <c r="D14" i="5" s="1"/>
  <c r="BR23" i="5"/>
  <c r="BQ23" i="5"/>
  <c r="BP23" i="5"/>
  <c r="BU23" i="5" s="1"/>
  <c r="BS23" i="5"/>
  <c r="BT23" i="5"/>
  <c r="BT24" i="5"/>
  <c r="BS24" i="5"/>
  <c r="BR24" i="5"/>
  <c r="BQ24" i="5"/>
  <c r="BP24" i="5"/>
  <c r="BU24" i="5" s="1"/>
  <c r="BR28" i="5"/>
  <c r="BQ28" i="5"/>
  <c r="BP28" i="5"/>
  <c r="BU28" i="5" s="1"/>
  <c r="BS28" i="5"/>
  <c r="BT28" i="5"/>
  <c r="BP21" i="5"/>
  <c r="BU21" i="5" s="1"/>
  <c r="BR21" i="5"/>
  <c r="BQ21" i="5"/>
  <c r="BT21" i="5"/>
  <c r="BS21" i="5"/>
  <c r="BP13" i="5"/>
  <c r="BU13" i="5" s="1"/>
  <c r="BQ13" i="5"/>
  <c r="BR13" i="5"/>
  <c r="BS13" i="5"/>
  <c r="BT13" i="5"/>
  <c r="BT29" i="5"/>
  <c r="BP29" i="5"/>
  <c r="BU29" i="5" s="1"/>
  <c r="BQ29" i="5"/>
  <c r="BS29" i="5"/>
  <c r="BR29" i="5"/>
  <c r="BQ14" i="5"/>
  <c r="BR14" i="5"/>
  <c r="BT14" i="5"/>
  <c r="BS14" i="5"/>
  <c r="BP14" i="5"/>
  <c r="BU14" i="5" s="1"/>
  <c r="BR17" i="5"/>
  <c r="BQ17" i="5"/>
  <c r="BT17" i="5"/>
  <c r="BS17" i="5"/>
  <c r="BP17" i="5"/>
  <c r="BU17" i="5" s="1"/>
  <c r="BQ25" i="5"/>
  <c r="BS25" i="5"/>
  <c r="BT25" i="5"/>
  <c r="BP25" i="5"/>
  <c r="BU25" i="5" s="1"/>
  <c r="BR25" i="5"/>
  <c r="BS22" i="5"/>
  <c r="BQ22" i="5"/>
  <c r="BR22" i="5"/>
  <c r="BP22" i="5"/>
  <c r="BU22" i="5" s="1"/>
  <c r="BT22" i="5"/>
  <c r="BP16" i="5"/>
  <c r="BU16" i="5" s="1"/>
  <c r="BT16" i="5"/>
  <c r="BS16" i="5"/>
  <c r="BR16" i="5"/>
  <c r="BQ16" i="5"/>
  <c r="BR26" i="5"/>
  <c r="BT26" i="5"/>
  <c r="BP26" i="5"/>
  <c r="BU26" i="5" s="1"/>
  <c r="BS26" i="5"/>
  <c r="BQ26" i="5"/>
  <c r="BU10" i="5"/>
  <c r="BP15" i="5"/>
  <c r="BU15" i="5" s="1"/>
  <c r="BT15" i="5"/>
  <c r="BS15" i="5"/>
  <c r="BQ15" i="5"/>
  <c r="BR15" i="5"/>
  <c r="BQ19" i="5"/>
  <c r="BT19" i="5"/>
  <c r="BS19" i="5"/>
  <c r="BR19" i="5"/>
  <c r="BP19" i="5"/>
  <c r="BU19" i="5" s="1"/>
  <c r="BS11" i="5"/>
  <c r="BQ11" i="5"/>
  <c r="BT11" i="5"/>
  <c r="BP11" i="5"/>
  <c r="BU11" i="5" s="1"/>
  <c r="BR11" i="5"/>
  <c r="BP27" i="5"/>
  <c r="BU27" i="5" s="1"/>
  <c r="BT27" i="5"/>
  <c r="BR27" i="5"/>
  <c r="BS27" i="5"/>
  <c r="BQ27" i="5"/>
  <c r="BP20" i="5"/>
  <c r="BU20" i="5" s="1"/>
  <c r="BT20" i="5"/>
  <c r="BS20" i="5"/>
  <c r="BR20" i="5"/>
  <c r="BQ20" i="5"/>
  <c r="BR12" i="5"/>
  <c r="BS12" i="5"/>
  <c r="BP12" i="5"/>
  <c r="BU12" i="5" s="1"/>
  <c r="BQ12" i="5"/>
  <c r="BT12" i="5"/>
  <c r="AQ28" i="5"/>
  <c r="D28" i="5" s="1"/>
  <c r="AQ24" i="5"/>
  <c r="D24" i="5" s="1"/>
  <c r="AQ22" i="5"/>
  <c r="D22" i="5" s="1"/>
  <c r="AQ12" i="5"/>
  <c r="D12" i="5" s="1"/>
  <c r="AQ29" i="5"/>
  <c r="AQ21" i="5"/>
  <c r="D21" i="5" s="1"/>
  <c r="AQ19" i="5"/>
  <c r="D19" i="5" s="1"/>
  <c r="AQ11" i="5"/>
  <c r="D11" i="5" s="1"/>
  <c r="I10" i="14" s="1"/>
  <c r="AB10" i="14" s="1"/>
  <c r="AQ10" i="5"/>
  <c r="D10" i="5" s="1"/>
  <c r="I10" i="11" s="1"/>
  <c r="AB10" i="11" s="1"/>
  <c r="AQ27" i="5"/>
  <c r="D27" i="5" s="1"/>
  <c r="AQ25" i="5"/>
  <c r="D25" i="5" s="1"/>
  <c r="AQ23" i="5"/>
  <c r="D23" i="5" s="1"/>
  <c r="AQ17" i="5"/>
  <c r="D17" i="5" s="1"/>
  <c r="AQ15" i="5"/>
  <c r="D15" i="5" s="1"/>
  <c r="AQ26" i="5"/>
  <c r="D26" i="5" s="1"/>
  <c r="AQ20" i="5"/>
  <c r="D20" i="5" s="1"/>
  <c r="AQ18" i="5"/>
  <c r="D18" i="5" s="1"/>
  <c r="CF10" i="5"/>
  <c r="CF26" i="5"/>
  <c r="CG15" i="5"/>
  <c r="CK15" i="5" s="1"/>
  <c r="CF29" i="5"/>
  <c r="CJ25" i="5"/>
  <c r="CG26" i="5"/>
  <c r="CK26" i="5" s="1"/>
  <c r="CH28" i="5"/>
  <c r="CN28" i="5" s="1"/>
  <c r="CG10" i="5"/>
  <c r="CK10" i="5" s="1"/>
  <c r="CJ18" i="5"/>
  <c r="CH15" i="5"/>
  <c r="CN15" i="5" s="1"/>
  <c r="CH20" i="5"/>
  <c r="CN20" i="5" s="1"/>
  <c r="CF18" i="5"/>
  <c r="CJ10" i="5"/>
  <c r="CH10" i="5"/>
  <c r="CJ16" i="5"/>
  <c r="CG18" i="5"/>
  <c r="CK18" i="5" s="1"/>
  <c r="CF12" i="5"/>
  <c r="CJ22" i="5"/>
  <c r="CH13" i="5"/>
  <c r="CN13" i="5" s="1"/>
  <c r="CJ21" i="5"/>
  <c r="CJ26" i="5"/>
  <c r="CF21" i="5"/>
  <c r="CH23" i="5"/>
  <c r="CN23" i="5" s="1"/>
  <c r="CF17" i="5"/>
  <c r="CG27" i="5"/>
  <c r="CK27" i="5" s="1"/>
  <c r="CF22" i="5"/>
  <c r="CG13" i="5"/>
  <c r="CK13" i="5" s="1"/>
  <c r="CG25" i="5"/>
  <c r="CK25" i="5" s="1"/>
  <c r="CJ14" i="5"/>
  <c r="CJ13" i="5"/>
  <c r="CH29" i="5"/>
  <c r="CN29" i="5" s="1"/>
  <c r="CH26" i="5"/>
  <c r="CN26" i="5" s="1"/>
  <c r="CF24" i="5"/>
  <c r="CG24" i="5"/>
  <c r="CK24" i="5" s="1"/>
  <c r="CJ12" i="5"/>
  <c r="CJ27" i="5"/>
  <c r="CG29" i="5"/>
  <c r="CK29" i="5" s="1"/>
  <c r="CJ28" i="5"/>
  <c r="CF25" i="5"/>
  <c r="CG19" i="5"/>
  <c r="CK19" i="5" s="1"/>
  <c r="CF16" i="5"/>
  <c r="CJ15" i="5"/>
  <c r="CJ23" i="5"/>
  <c r="CJ29" i="5"/>
  <c r="CH18" i="5"/>
  <c r="CN18" i="5" s="1"/>
  <c r="CF15" i="5"/>
  <c r="CH21" i="5"/>
  <c r="CN21" i="5" s="1"/>
  <c r="CH12" i="5"/>
  <c r="CN12" i="5" s="1"/>
  <c r="CH24" i="5"/>
  <c r="CN24" i="5" s="1"/>
  <c r="CF13" i="5"/>
  <c r="CJ11" i="5"/>
  <c r="CF20" i="5"/>
  <c r="CG20" i="5"/>
  <c r="CK20" i="5" s="1"/>
  <c r="CG17" i="5"/>
  <c r="CK17" i="5" s="1"/>
  <c r="CG16" i="5"/>
  <c r="CK16" i="5" s="1"/>
  <c r="CH16" i="5"/>
  <c r="CN16" i="5" s="1"/>
  <c r="CF28" i="5"/>
  <c r="CG28" i="5"/>
  <c r="CK28" i="5" s="1"/>
  <c r="CF23" i="5"/>
  <c r="CJ20" i="5"/>
  <c r="CH11" i="5"/>
  <c r="CN11" i="5" s="1"/>
  <c r="CF11" i="5"/>
  <c r="CG11" i="5"/>
  <c r="CK11" i="5" s="1"/>
  <c r="CH19" i="5"/>
  <c r="CN19" i="5" s="1"/>
  <c r="CF19" i="5"/>
  <c r="CH27" i="5"/>
  <c r="CN27" i="5" s="1"/>
  <c r="CF27" i="5"/>
  <c r="CJ24" i="5"/>
  <c r="CJ19" i="5"/>
  <c r="CG14" i="5"/>
  <c r="CK14" i="5" s="1"/>
  <c r="CG22" i="5"/>
  <c r="CK22" i="5" s="1"/>
  <c r="CH22" i="5"/>
  <c r="CN22" i="5" s="1"/>
  <c r="CG23" i="5"/>
  <c r="CK23" i="5" s="1"/>
  <c r="CG21" i="5"/>
  <c r="CK21" i="5" s="1"/>
  <c r="CJ17" i="5"/>
  <c r="CF14" i="5"/>
  <c r="CH25" i="5"/>
  <c r="CH17" i="5"/>
  <c r="CN17" i="5" s="1"/>
  <c r="CG12" i="5"/>
  <c r="CK12" i="5" s="1"/>
  <c r="CH14" i="5"/>
  <c r="CN14" i="5" s="1"/>
  <c r="AQ16" i="5"/>
  <c r="D16" i="5" s="1"/>
  <c r="DX4" i="1"/>
  <c r="E81" i="8"/>
  <c r="G81" i="8"/>
  <c r="T81" i="8"/>
  <c r="R81" i="8"/>
  <c r="M81" i="8"/>
  <c r="I81" i="8"/>
  <c r="H81" i="8"/>
  <c r="S81" i="8"/>
  <c r="K81" i="8"/>
  <c r="Q81" i="8"/>
  <c r="P81" i="8"/>
  <c r="L81" i="8"/>
  <c r="F81" i="8"/>
  <c r="AM17" i="9"/>
  <c r="AF19" i="9"/>
  <c r="AF24" i="9"/>
  <c r="AF33" i="9"/>
  <c r="AF13" i="9"/>
  <c r="AF25" i="9"/>
  <c r="AF28" i="9"/>
  <c r="AF12" i="9"/>
  <c r="AF17" i="9"/>
  <c r="BP18" i="5" a="1"/>
  <c r="AM19" i="9"/>
  <c r="AF20" i="9"/>
  <c r="AF31" i="9"/>
  <c r="AF27" i="9"/>
  <c r="AM20" i="9"/>
  <c r="AF11" i="9"/>
  <c r="AF32" i="9"/>
  <c r="AM21" i="9"/>
  <c r="AF10" i="9"/>
  <c r="AF21" i="9"/>
  <c r="AF30" i="9"/>
  <c r="AF29" i="9"/>
  <c r="AF18" i="9"/>
  <c r="AF14" i="9"/>
  <c r="AF26" i="9"/>
  <c r="AF15" i="9"/>
  <c r="Q11" i="11" l="1"/>
  <c r="Q11" i="14"/>
  <c r="Q12" i="14"/>
  <c r="Q10" i="14"/>
  <c r="O45" i="11"/>
  <c r="A82" i="8"/>
  <c r="B83" i="8"/>
  <c r="BW25" i="5"/>
  <c r="E25" i="5" s="1"/>
  <c r="AH33" i="9"/>
  <c r="AV33" i="9"/>
  <c r="D33" i="9" s="1"/>
  <c r="AV30" i="9"/>
  <c r="D30" i="9" s="1"/>
  <c r="AH30" i="9"/>
  <c r="AV31" i="9"/>
  <c r="D31" i="9" s="1"/>
  <c r="AH31" i="9"/>
  <c r="AH32" i="9"/>
  <c r="AV32" i="9"/>
  <c r="D32" i="9" s="1"/>
  <c r="Q39" i="11"/>
  <c r="E33" i="7"/>
  <c r="Q37" i="11"/>
  <c r="E31" i="7"/>
  <c r="Q38" i="11"/>
  <c r="E32" i="7"/>
  <c r="Q36" i="11"/>
  <c r="E30" i="7"/>
  <c r="E34" i="7"/>
  <c r="Q40" i="11"/>
  <c r="T35" i="9"/>
  <c r="Q47" i="11"/>
  <c r="L35" i="9"/>
  <c r="O47" i="11"/>
  <c r="L34" i="9"/>
  <c r="O46" i="11"/>
  <c r="F29" i="5"/>
  <c r="F35" i="5" s="1"/>
  <c r="Y47" i="11" s="1"/>
  <c r="N22" i="11"/>
  <c r="M16" i="9"/>
  <c r="CI11" i="5"/>
  <c r="CN10" i="5"/>
  <c r="CN25" i="5"/>
  <c r="CI14" i="5"/>
  <c r="CI18" i="5"/>
  <c r="CI28" i="5"/>
  <c r="CI24" i="5"/>
  <c r="CI12" i="5"/>
  <c r="CQ12" i="5" s="1"/>
  <c r="CR12" i="5" s="1"/>
  <c r="CI17" i="5"/>
  <c r="CI15" i="5"/>
  <c r="CO15" i="5" s="1"/>
  <c r="CP15" i="5" s="1"/>
  <c r="CI21" i="5"/>
  <c r="CI27" i="5"/>
  <c r="CI23" i="5"/>
  <c r="CO23" i="5" s="1"/>
  <c r="CP23" i="5" s="1"/>
  <c r="I26" i="11"/>
  <c r="AB26" i="11" s="1"/>
  <c r="I25" i="11"/>
  <c r="AB25" i="11" s="1"/>
  <c r="I15" i="11"/>
  <c r="AK15" i="11" s="1"/>
  <c r="I27" i="11"/>
  <c r="AK27" i="11" s="1"/>
  <c r="I37" i="11"/>
  <c r="AB37" i="11" s="1"/>
  <c r="D31" i="5"/>
  <c r="I43" i="11" s="1"/>
  <c r="I22" i="11"/>
  <c r="AB22" i="11" s="1"/>
  <c r="I36" i="11"/>
  <c r="AK36" i="11" s="1"/>
  <c r="D30" i="5"/>
  <c r="I42" i="11" s="1"/>
  <c r="D34" i="5"/>
  <c r="I46" i="11" s="1"/>
  <c r="I40" i="11"/>
  <c r="AB40" i="11" s="1"/>
  <c r="I23" i="11"/>
  <c r="AB23" i="11" s="1"/>
  <c r="D29" i="5"/>
  <c r="I34" i="11"/>
  <c r="AB34" i="11" s="1"/>
  <c r="I39" i="11"/>
  <c r="AK39" i="11" s="1"/>
  <c r="D33" i="5"/>
  <c r="I45" i="11" s="1"/>
  <c r="I13" i="11"/>
  <c r="AK13" i="11" s="1"/>
  <c r="I24" i="11"/>
  <c r="AB24" i="11" s="1"/>
  <c r="I14" i="11"/>
  <c r="AB14" i="11" s="1"/>
  <c r="I11" i="11"/>
  <c r="AB11" i="11" s="1"/>
  <c r="D32" i="5"/>
  <c r="I44" i="11" s="1"/>
  <c r="I38" i="11"/>
  <c r="AK38" i="11" s="1"/>
  <c r="I35" i="11"/>
  <c r="AK35" i="11" s="1"/>
  <c r="I12" i="11"/>
  <c r="AB12" i="11" s="1"/>
  <c r="Y41" i="11"/>
  <c r="K35" i="11"/>
  <c r="AQ35" i="11" s="1"/>
  <c r="AQ34" i="11"/>
  <c r="AN35" i="11"/>
  <c r="AP22" i="11"/>
  <c r="O16" i="13"/>
  <c r="AP35" i="11"/>
  <c r="AN34" i="11"/>
  <c r="N16" i="13"/>
  <c r="Y16" i="13" s="1"/>
  <c r="D16" i="13" s="1"/>
  <c r="K22" i="11" s="1"/>
  <c r="AP24" i="11"/>
  <c r="O18" i="13"/>
  <c r="N18" i="13"/>
  <c r="Y18" i="13" s="1"/>
  <c r="D18" i="13" s="1"/>
  <c r="K24" i="11" s="1"/>
  <c r="AO19" i="9"/>
  <c r="AO20" i="9"/>
  <c r="AO21" i="9"/>
  <c r="AO17" i="9"/>
  <c r="AS18" i="9"/>
  <c r="AU18" i="9" s="1"/>
  <c r="C18" i="9" s="1"/>
  <c r="G24" i="11" s="1"/>
  <c r="AS17" i="9"/>
  <c r="AU17" i="9" s="1"/>
  <c r="C17" i="9" s="1"/>
  <c r="G23" i="11" s="1"/>
  <c r="AS21" i="9"/>
  <c r="AU21" i="9" s="1"/>
  <c r="C21" i="9" s="1"/>
  <c r="G27" i="11" s="1"/>
  <c r="AS20" i="9"/>
  <c r="AU20" i="9" s="1"/>
  <c r="C20" i="9" s="1"/>
  <c r="G26" i="11" s="1"/>
  <c r="AS19" i="9"/>
  <c r="AU19" i="9" s="1"/>
  <c r="C19" i="9" s="1"/>
  <c r="G25" i="11" s="1"/>
  <c r="CI20" i="5"/>
  <c r="CO20" i="5" s="1"/>
  <c r="CP20" i="5" s="1"/>
  <c r="AK10" i="11"/>
  <c r="AV13" i="9"/>
  <c r="D13" i="9" s="1"/>
  <c r="R13" i="11" s="1"/>
  <c r="AV10" i="9"/>
  <c r="D10" i="9" s="1"/>
  <c r="AV25" i="9"/>
  <c r="D25" i="9" s="1"/>
  <c r="AV26" i="9"/>
  <c r="D26" i="9" s="1"/>
  <c r="AV11" i="9"/>
  <c r="D11" i="9" s="1"/>
  <c r="AV24" i="9"/>
  <c r="D24" i="9" s="1"/>
  <c r="AV29" i="9"/>
  <c r="D29" i="9" s="1"/>
  <c r="AV14" i="9"/>
  <c r="D14" i="9" s="1"/>
  <c r="R14" i="11" s="1"/>
  <c r="AV15" i="9"/>
  <c r="D15" i="9" s="1"/>
  <c r="R15" i="11" s="1"/>
  <c r="AV27" i="9"/>
  <c r="D27" i="9" s="1"/>
  <c r="AV28" i="9"/>
  <c r="D28" i="9" s="1"/>
  <c r="AV12" i="9"/>
  <c r="D12" i="9" s="1"/>
  <c r="R12" i="11" s="1"/>
  <c r="AW19" i="9"/>
  <c r="AV18" i="9"/>
  <c r="D18" i="9" s="1"/>
  <c r="R24" i="11" s="1"/>
  <c r="AW20" i="9"/>
  <c r="AV17" i="9"/>
  <c r="D17" i="9" s="1"/>
  <c r="R23" i="11" s="1"/>
  <c r="AV21" i="9"/>
  <c r="D21" i="9" s="1"/>
  <c r="R27" i="11" s="1"/>
  <c r="AW21" i="9"/>
  <c r="AV20" i="9"/>
  <c r="D20" i="9" s="1"/>
  <c r="R26" i="11" s="1"/>
  <c r="AV19" i="9"/>
  <c r="D19" i="9" s="1"/>
  <c r="R25" i="11" s="1"/>
  <c r="AW17" i="9"/>
  <c r="AH13" i="9"/>
  <c r="AH25" i="9"/>
  <c r="AH26" i="9"/>
  <c r="AH11" i="9"/>
  <c r="AH24" i="9"/>
  <c r="AH29" i="9"/>
  <c r="AH14" i="9"/>
  <c r="AH15" i="9"/>
  <c r="AH27" i="9"/>
  <c r="AH28" i="9"/>
  <c r="AH12" i="9"/>
  <c r="AH18" i="9"/>
  <c r="AH21" i="9"/>
  <c r="AH17" i="9"/>
  <c r="AH19" i="9"/>
  <c r="T14" i="9"/>
  <c r="T11" i="9"/>
  <c r="T28" i="9"/>
  <c r="T13" i="9"/>
  <c r="T12" i="9"/>
  <c r="T27" i="9"/>
  <c r="T26" i="9"/>
  <c r="T10" i="9"/>
  <c r="Q10" i="11"/>
  <c r="T15" i="9"/>
  <c r="T25" i="9"/>
  <c r="T24" i="9"/>
  <c r="AH34" i="11"/>
  <c r="AH35" i="11"/>
  <c r="CI19" i="5"/>
  <c r="CO19" i="5" s="1"/>
  <c r="CP19" i="5" s="1"/>
  <c r="AH20" i="9"/>
  <c r="G83" i="8"/>
  <c r="H82" i="8"/>
  <c r="S82" i="8"/>
  <c r="N81" i="8"/>
  <c r="R82" i="8"/>
  <c r="E82" i="8"/>
  <c r="K82" i="8"/>
  <c r="H83" i="8"/>
  <c r="I82" i="8"/>
  <c r="E83" i="8"/>
  <c r="N82" i="8"/>
  <c r="I83" i="8"/>
  <c r="Q82" i="8"/>
  <c r="G82" i="8"/>
  <c r="F83" i="8"/>
  <c r="F82" i="8"/>
  <c r="AN17" i="9"/>
  <c r="AG11" i="9"/>
  <c r="AM28" i="9"/>
  <c r="AG13" i="9"/>
  <c r="AF35" i="9"/>
  <c r="AG15" i="9"/>
  <c r="AG17" i="9"/>
  <c r="AG20" i="9"/>
  <c r="AG18" i="9"/>
  <c r="AM11" i="9"/>
  <c r="AN19" i="9"/>
  <c r="BB35" i="11"/>
  <c r="AF16" i="9"/>
  <c r="AM25" i="9"/>
  <c r="AM14" i="9"/>
  <c r="AF34" i="9"/>
  <c r="AG14" i="9"/>
  <c r="AG32" i="9"/>
  <c r="AM15" i="9"/>
  <c r="AM12" i="9"/>
  <c r="AG30" i="9"/>
  <c r="AM27" i="9"/>
  <c r="AG33" i="9"/>
  <c r="AM26" i="9"/>
  <c r="AG10" i="9"/>
  <c r="AG31" i="9"/>
  <c r="AM24" i="9"/>
  <c r="AG21" i="9"/>
  <c r="AM35" i="9"/>
  <c r="AM29" i="9"/>
  <c r="AN20" i="9"/>
  <c r="BB34" i="11"/>
  <c r="AG25" i="9"/>
  <c r="AM10" i="9"/>
  <c r="AG19" i="9"/>
  <c r="AM13" i="9"/>
  <c r="AG12" i="9"/>
  <c r="AN21" i="9"/>
  <c r="R11" i="11" l="1"/>
  <c r="R10" i="14"/>
  <c r="A83" i="8"/>
  <c r="C83" i="8"/>
  <c r="E33" i="9"/>
  <c r="E15" i="9"/>
  <c r="S15" i="11" s="1"/>
  <c r="E13" i="9"/>
  <c r="S13" i="11" s="1"/>
  <c r="E30" i="9"/>
  <c r="E31" i="9"/>
  <c r="E18" i="9"/>
  <c r="S24" i="11" s="1"/>
  <c r="E32" i="9"/>
  <c r="E14" i="9"/>
  <c r="S14" i="11" s="1"/>
  <c r="E21" i="9"/>
  <c r="S27" i="11" s="1"/>
  <c r="E17" i="9"/>
  <c r="S23" i="11" s="1"/>
  <c r="E20" i="9"/>
  <c r="S26" i="11" s="1"/>
  <c r="E19" i="9"/>
  <c r="S25" i="11" s="1"/>
  <c r="E11" i="9"/>
  <c r="E12" i="9"/>
  <c r="S12" i="11" s="1"/>
  <c r="AG12" i="11" s="1"/>
  <c r="AV34" i="9"/>
  <c r="D34" i="9" s="1"/>
  <c r="R46" i="11" s="1"/>
  <c r="AH34" i="9"/>
  <c r="AW35" i="9"/>
  <c r="F35" i="9" s="1"/>
  <c r="AO35" i="9"/>
  <c r="AH35" i="9"/>
  <c r="AV35" i="9"/>
  <c r="D35" i="9" s="1"/>
  <c r="R47" i="11" s="1"/>
  <c r="AS35" i="9"/>
  <c r="AU35" i="9" s="1"/>
  <c r="C35" i="9" s="1"/>
  <c r="G17" i="9"/>
  <c r="U23" i="11" s="1"/>
  <c r="AP23" i="11" s="1"/>
  <c r="CQ15" i="5"/>
  <c r="CR15" i="5" s="1"/>
  <c r="Q42" i="11"/>
  <c r="T30" i="9"/>
  <c r="T31" i="9"/>
  <c r="Q43" i="11"/>
  <c r="Q45" i="11"/>
  <c r="T33" i="9"/>
  <c r="CS15" i="5"/>
  <c r="CT15" i="5" s="1"/>
  <c r="CX15" i="5" s="1"/>
  <c r="G15" i="5" s="1"/>
  <c r="Q46" i="11"/>
  <c r="T34" i="9"/>
  <c r="T32" i="9"/>
  <c r="Q44" i="11"/>
  <c r="CQ27" i="5"/>
  <c r="CR27" i="5" s="1"/>
  <c r="CO27" i="5"/>
  <c r="CP27" i="5" s="1"/>
  <c r="CQ14" i="5"/>
  <c r="CR14" i="5" s="1"/>
  <c r="CO14" i="5"/>
  <c r="CP14" i="5" s="1"/>
  <c r="CQ28" i="5"/>
  <c r="CR28" i="5" s="1"/>
  <c r="CO28" i="5"/>
  <c r="CP28" i="5" s="1"/>
  <c r="CQ18" i="5"/>
  <c r="CR18" i="5" s="1"/>
  <c r="CO18" i="5"/>
  <c r="CP18" i="5" s="1"/>
  <c r="CQ23" i="5"/>
  <c r="CR23" i="5" s="1"/>
  <c r="CQ21" i="5"/>
  <c r="CR21" i="5" s="1"/>
  <c r="CX21" i="5" s="1"/>
  <c r="G21" i="5" s="1"/>
  <c r="CO21" i="5"/>
  <c r="CP21" i="5" s="1"/>
  <c r="CS12" i="5"/>
  <c r="CT12" i="5" s="1"/>
  <c r="CX12" i="5" s="1"/>
  <c r="G12" i="5" s="1"/>
  <c r="CO12" i="5"/>
  <c r="CP12" i="5" s="1"/>
  <c r="CS24" i="5"/>
  <c r="CT24" i="5" s="1"/>
  <c r="CX24" i="5" s="1"/>
  <c r="G24" i="5" s="1"/>
  <c r="CO24" i="5"/>
  <c r="CP24" i="5" s="1"/>
  <c r="CQ24" i="5"/>
  <c r="CR24" i="5" s="1"/>
  <c r="CS23" i="5"/>
  <c r="CT23" i="5" s="1"/>
  <c r="CX23" i="5" s="1"/>
  <c r="G23" i="5" s="1"/>
  <c r="CS14" i="5"/>
  <c r="CT14" i="5" s="1"/>
  <c r="CX14" i="5" s="1"/>
  <c r="G14" i="5" s="1"/>
  <c r="CS17" i="5"/>
  <c r="CT17" i="5" s="1"/>
  <c r="CO17" i="5"/>
  <c r="CP17" i="5" s="1"/>
  <c r="CS11" i="5"/>
  <c r="CT11" i="5" s="1"/>
  <c r="CX11" i="5" s="1"/>
  <c r="G11" i="5" s="1"/>
  <c r="CO11" i="5"/>
  <c r="CP11" i="5" s="1"/>
  <c r="AK11" i="11"/>
  <c r="CQ11" i="5"/>
  <c r="CR11" i="5" s="1"/>
  <c r="CS28" i="5"/>
  <c r="CT28" i="5" s="1"/>
  <c r="CX28" i="5" s="1"/>
  <c r="G28" i="5" s="1"/>
  <c r="CQ17" i="5"/>
  <c r="CR17" i="5" s="1"/>
  <c r="CX17" i="5" s="1"/>
  <c r="G17" i="5" s="1"/>
  <c r="CS27" i="5"/>
  <c r="CT27" i="5" s="1"/>
  <c r="CX27" i="5" s="1"/>
  <c r="G27" i="5" s="1"/>
  <c r="CS18" i="5"/>
  <c r="CT18" i="5" s="1"/>
  <c r="CX18" i="5" s="1"/>
  <c r="G18" i="5" s="1"/>
  <c r="CS21" i="5"/>
  <c r="CT21" i="5" s="1"/>
  <c r="CS19" i="5"/>
  <c r="CT19" i="5" s="1"/>
  <c r="CQ19" i="5"/>
  <c r="CR19" i="5" s="1"/>
  <c r="CX19" i="5" s="1"/>
  <c r="G19" i="5" s="1"/>
  <c r="CS20" i="5"/>
  <c r="CT20" i="5" s="1"/>
  <c r="CQ20" i="5"/>
  <c r="CR20" i="5" s="1"/>
  <c r="CX20" i="5" s="1"/>
  <c r="G20" i="5" s="1"/>
  <c r="AK40" i="11"/>
  <c r="AK24" i="11"/>
  <c r="AK14" i="11"/>
  <c r="AK23" i="11"/>
  <c r="AK34" i="11"/>
  <c r="AK12" i="11"/>
  <c r="AK22" i="11"/>
  <c r="AK37" i="11"/>
  <c r="AB35" i="11"/>
  <c r="AB39" i="11"/>
  <c r="AK26" i="11"/>
  <c r="D35" i="5"/>
  <c r="I47" i="11" s="1"/>
  <c r="I41" i="11"/>
  <c r="AB27" i="11"/>
  <c r="AB44" i="11"/>
  <c r="AK44" i="11"/>
  <c r="AB38" i="11"/>
  <c r="AB13" i="11"/>
  <c r="AB15" i="11"/>
  <c r="AK25" i="11"/>
  <c r="AB43" i="11"/>
  <c r="AK43" i="11"/>
  <c r="AK42" i="11"/>
  <c r="AB42" i="11"/>
  <c r="AB36" i="11"/>
  <c r="AB45" i="11"/>
  <c r="AK45" i="11"/>
  <c r="AK46" i="11"/>
  <c r="AB46" i="11"/>
  <c r="X37" i="11"/>
  <c r="E31" i="5"/>
  <c r="X43" i="11" s="1"/>
  <c r="R41" i="11"/>
  <c r="L24" i="13"/>
  <c r="R36" i="11"/>
  <c r="R42" i="11"/>
  <c r="L10" i="13"/>
  <c r="R10" i="11"/>
  <c r="L28" i="13"/>
  <c r="R40" i="11"/>
  <c r="L25" i="13"/>
  <c r="R37" i="11"/>
  <c r="R43" i="11"/>
  <c r="L27" i="13"/>
  <c r="R45" i="11"/>
  <c r="R39" i="11"/>
  <c r="L26" i="13"/>
  <c r="R44" i="11"/>
  <c r="R38" i="11"/>
  <c r="AQ24" i="11"/>
  <c r="L29" i="13"/>
  <c r="AQ22" i="11"/>
  <c r="AN22" i="11"/>
  <c r="AN24" i="11"/>
  <c r="AC35" i="11"/>
  <c r="AC34" i="11"/>
  <c r="L18" i="13"/>
  <c r="L21" i="13"/>
  <c r="L15" i="13"/>
  <c r="L13" i="13"/>
  <c r="K17" i="13"/>
  <c r="L17" i="13"/>
  <c r="L14" i="13"/>
  <c r="AL24" i="11"/>
  <c r="K18" i="13"/>
  <c r="L11" i="13"/>
  <c r="L19" i="13"/>
  <c r="L12" i="13"/>
  <c r="K19" i="13"/>
  <c r="L20" i="13"/>
  <c r="K20" i="13"/>
  <c r="K21" i="13"/>
  <c r="AS13" i="9"/>
  <c r="AU13" i="9" s="1"/>
  <c r="C13" i="9" s="1"/>
  <c r="G13" i="11" s="1"/>
  <c r="AS27" i="9"/>
  <c r="AU27" i="9" s="1"/>
  <c r="C27" i="9" s="1"/>
  <c r="AS28" i="9"/>
  <c r="AU28" i="9" s="1"/>
  <c r="C28" i="9" s="1"/>
  <c r="AS12" i="9"/>
  <c r="AU12" i="9" s="1"/>
  <c r="C12" i="9" s="1"/>
  <c r="G12" i="11" s="1"/>
  <c r="AS14" i="9"/>
  <c r="AU14" i="9" s="1"/>
  <c r="C14" i="9" s="1"/>
  <c r="G14" i="11" s="1"/>
  <c r="AS24" i="9"/>
  <c r="AU24" i="9" s="1"/>
  <c r="C24" i="9" s="1"/>
  <c r="AS29" i="9"/>
  <c r="AU29" i="9" s="1"/>
  <c r="AS15" i="9"/>
  <c r="AU15" i="9" s="1"/>
  <c r="C15" i="9" s="1"/>
  <c r="G15" i="11" s="1"/>
  <c r="AS25" i="9"/>
  <c r="AU25" i="9" s="1"/>
  <c r="C25" i="9" s="1"/>
  <c r="AS11" i="9"/>
  <c r="AU11" i="9" s="1"/>
  <c r="C11" i="9" s="1"/>
  <c r="AS26" i="9"/>
  <c r="AU26" i="9" s="1"/>
  <c r="C26" i="9" s="1"/>
  <c r="AS16" i="9"/>
  <c r="AU16" i="9" s="1"/>
  <c r="C16" i="9" s="1"/>
  <c r="G22" i="11" s="1"/>
  <c r="AV16" i="9"/>
  <c r="D16" i="9" s="1"/>
  <c r="R22" i="11" s="1"/>
  <c r="AH16" i="9"/>
  <c r="F19" i="9"/>
  <c r="T25" i="11" s="1"/>
  <c r="F20" i="9"/>
  <c r="T26" i="11" s="1"/>
  <c r="F21" i="9"/>
  <c r="T27" i="11" s="1"/>
  <c r="F17" i="9"/>
  <c r="T23" i="11" s="1"/>
  <c r="AW13" i="9"/>
  <c r="AW27" i="9"/>
  <c r="AW10" i="9"/>
  <c r="AS10" i="9"/>
  <c r="AU10" i="9" s="1"/>
  <c r="C10" i="9" s="1"/>
  <c r="G10" i="11" s="1"/>
  <c r="AW28" i="9"/>
  <c r="AW12" i="9"/>
  <c r="AW14" i="9"/>
  <c r="AW24" i="9"/>
  <c r="AW29" i="9"/>
  <c r="F29" i="9" s="1"/>
  <c r="AW15" i="9"/>
  <c r="AW25" i="9"/>
  <c r="AW11" i="9"/>
  <c r="AW26" i="9"/>
  <c r="G19" i="9"/>
  <c r="U25" i="11" s="1"/>
  <c r="AO24" i="9"/>
  <c r="AO15" i="9"/>
  <c r="AO11" i="9"/>
  <c r="AO12" i="9"/>
  <c r="AO14" i="9"/>
  <c r="AO13" i="9"/>
  <c r="AO27" i="9"/>
  <c r="AO29" i="9"/>
  <c r="AO25" i="9"/>
  <c r="AO26" i="9"/>
  <c r="AO28" i="9"/>
  <c r="T82" i="8"/>
  <c r="M82" i="8"/>
  <c r="L82" i="8"/>
  <c r="P82" i="8"/>
  <c r="AN24" i="9"/>
  <c r="AG34" i="9"/>
  <c r="BB23" i="11"/>
  <c r="AN28" i="9"/>
  <c r="BB24" i="11"/>
  <c r="AM34" i="9"/>
  <c r="AN26" i="9"/>
  <c r="AG27" i="9"/>
  <c r="AN27" i="9"/>
  <c r="BB45" i="11"/>
  <c r="BB26" i="11"/>
  <c r="BB46" i="11"/>
  <c r="BB44" i="11"/>
  <c r="AG35" i="9"/>
  <c r="BB14" i="11"/>
  <c r="BB47" i="11"/>
  <c r="BB43" i="11"/>
  <c r="BB15" i="11"/>
  <c r="AG16" i="9"/>
  <c r="AG28" i="9"/>
  <c r="BB27" i="11"/>
  <c r="AN10" i="9"/>
  <c r="AN29" i="9"/>
  <c r="AG24" i="9"/>
  <c r="AN35" i="9"/>
  <c r="AM31" i="9"/>
  <c r="BB11" i="11"/>
  <c r="AM32" i="9"/>
  <c r="AM30" i="9"/>
  <c r="BB42" i="11"/>
  <c r="BB12" i="11"/>
  <c r="BB25" i="11"/>
  <c r="AM33" i="9"/>
  <c r="AR10" i="14"/>
  <c r="AN25" i="9"/>
  <c r="M15" i="13" l="1"/>
  <c r="G11" i="11"/>
  <c r="AC11" i="11" s="1"/>
  <c r="G10" i="14"/>
  <c r="AC10" i="14" s="1"/>
  <c r="G11" i="14"/>
  <c r="R11" i="14" s="1"/>
  <c r="G12" i="14"/>
  <c r="R12" i="14" s="1"/>
  <c r="S11" i="11"/>
  <c r="AE11" i="11" s="1"/>
  <c r="S10" i="14"/>
  <c r="S11" i="14"/>
  <c r="Z10" i="14"/>
  <c r="Z11" i="14"/>
  <c r="Z12" i="14"/>
  <c r="M19" i="13"/>
  <c r="X15" i="13"/>
  <c r="C15" i="13" s="1"/>
  <c r="J15" i="11" s="1"/>
  <c r="AH15" i="11" s="1"/>
  <c r="V15" i="13"/>
  <c r="E15" i="13" s="1"/>
  <c r="L15" i="11" s="1"/>
  <c r="X19" i="13"/>
  <c r="C19" i="13" s="1"/>
  <c r="J25" i="11" s="1"/>
  <c r="AH25" i="11" s="1"/>
  <c r="V19" i="13"/>
  <c r="E19" i="13" s="1"/>
  <c r="L25" i="11" s="1"/>
  <c r="X10" i="13"/>
  <c r="C10" i="13" s="1"/>
  <c r="J10" i="11" s="1"/>
  <c r="AH10" i="11" s="1"/>
  <c r="V10" i="13"/>
  <c r="E10" i="13" s="1"/>
  <c r="L10" i="11" s="1"/>
  <c r="X11" i="13"/>
  <c r="C11" i="13" s="1"/>
  <c r="V11" i="13"/>
  <c r="E11" i="13" s="1"/>
  <c r="X13" i="13"/>
  <c r="C13" i="13" s="1"/>
  <c r="J13" i="11" s="1"/>
  <c r="AH13" i="11" s="1"/>
  <c r="V13" i="13"/>
  <c r="E13" i="13" s="1"/>
  <c r="L13" i="11" s="1"/>
  <c r="X27" i="13"/>
  <c r="C27" i="13" s="1"/>
  <c r="J39" i="11" s="1"/>
  <c r="AH39" i="11" s="1"/>
  <c r="V27" i="13"/>
  <c r="E27" i="13" s="1"/>
  <c r="L39" i="11" s="1"/>
  <c r="X25" i="13"/>
  <c r="C25" i="13" s="1"/>
  <c r="J37" i="11" s="1"/>
  <c r="V25" i="13"/>
  <c r="E25" i="13" s="1"/>
  <c r="L37" i="11" s="1"/>
  <c r="X20" i="13"/>
  <c r="C20" i="13" s="1"/>
  <c r="J26" i="11" s="1"/>
  <c r="AH26" i="11" s="1"/>
  <c r="V20" i="13"/>
  <c r="E20" i="13" s="1"/>
  <c r="L26" i="11" s="1"/>
  <c r="X29" i="13"/>
  <c r="C29" i="13" s="1"/>
  <c r="J41" i="11" s="1"/>
  <c r="V29" i="13"/>
  <c r="E29" i="13" s="1"/>
  <c r="L41" i="11" s="1"/>
  <c r="X24" i="13"/>
  <c r="C24" i="13" s="1"/>
  <c r="J36" i="11" s="1"/>
  <c r="AH36" i="11" s="1"/>
  <c r="V24" i="13"/>
  <c r="E24" i="13" s="1"/>
  <c r="L36" i="11" s="1"/>
  <c r="X18" i="13"/>
  <c r="C18" i="13" s="1"/>
  <c r="J24" i="11" s="1"/>
  <c r="AH24" i="11" s="1"/>
  <c r="V18" i="13"/>
  <c r="E18" i="13" s="1"/>
  <c r="L24" i="11" s="1"/>
  <c r="X14" i="13"/>
  <c r="C14" i="13" s="1"/>
  <c r="J14" i="11" s="1"/>
  <c r="AH14" i="11" s="1"/>
  <c r="V14" i="13"/>
  <c r="E14" i="13" s="1"/>
  <c r="L14" i="11" s="1"/>
  <c r="X26" i="13"/>
  <c r="C26" i="13" s="1"/>
  <c r="J38" i="11" s="1"/>
  <c r="V26" i="13"/>
  <c r="E26" i="13" s="1"/>
  <c r="L38" i="11" s="1"/>
  <c r="X28" i="13"/>
  <c r="C28" i="13" s="1"/>
  <c r="J40" i="11" s="1"/>
  <c r="AH40" i="11" s="1"/>
  <c r="V28" i="13"/>
  <c r="E28" i="13" s="1"/>
  <c r="L40" i="11" s="1"/>
  <c r="X21" i="13"/>
  <c r="C21" i="13" s="1"/>
  <c r="J27" i="11" s="1"/>
  <c r="AH27" i="11" s="1"/>
  <c r="V21" i="13"/>
  <c r="E21" i="13" s="1"/>
  <c r="L27" i="11" s="1"/>
  <c r="X12" i="13"/>
  <c r="C12" i="13" s="1"/>
  <c r="J12" i="11" s="1"/>
  <c r="AH12" i="11" s="1"/>
  <c r="V12" i="13"/>
  <c r="E12" i="13" s="1"/>
  <c r="L12" i="11" s="1"/>
  <c r="X17" i="13"/>
  <c r="C17" i="13" s="1"/>
  <c r="J23" i="11" s="1"/>
  <c r="AH23" i="11" s="1"/>
  <c r="V17" i="13"/>
  <c r="E17" i="13" s="1"/>
  <c r="L23" i="11" s="1"/>
  <c r="M18" i="13"/>
  <c r="M13" i="13"/>
  <c r="M20" i="13"/>
  <c r="M21" i="13"/>
  <c r="E34" i="9"/>
  <c r="M17" i="13"/>
  <c r="G35" i="9"/>
  <c r="U47" i="11" s="1"/>
  <c r="E35" i="9"/>
  <c r="M14" i="13"/>
  <c r="M12" i="13"/>
  <c r="M11" i="13"/>
  <c r="O17" i="13"/>
  <c r="AO31" i="9"/>
  <c r="AW31" i="9"/>
  <c r="F31" i="9" s="1"/>
  <c r="AS31" i="9"/>
  <c r="AU31" i="9" s="1"/>
  <c r="C31" i="9" s="1"/>
  <c r="G43" i="11" s="1"/>
  <c r="AC43" i="11" s="1"/>
  <c r="AW32" i="9"/>
  <c r="F32" i="9" s="1"/>
  <c r="AO32" i="9"/>
  <c r="AS32" i="9"/>
  <c r="AU32" i="9" s="1"/>
  <c r="C32" i="9" s="1"/>
  <c r="G44" i="11" s="1"/>
  <c r="AC44" i="11" s="1"/>
  <c r="AW33" i="9"/>
  <c r="F33" i="9" s="1"/>
  <c r="AO33" i="9"/>
  <c r="AS33" i="9"/>
  <c r="AU33" i="9" s="1"/>
  <c r="C33" i="9" s="1"/>
  <c r="G45" i="11" s="1"/>
  <c r="AC45" i="11" s="1"/>
  <c r="AW30" i="9"/>
  <c r="F30" i="9" s="1"/>
  <c r="AO30" i="9"/>
  <c r="AS30" i="9"/>
  <c r="AU30" i="9" s="1"/>
  <c r="C30" i="9" s="1"/>
  <c r="G42" i="11" s="1"/>
  <c r="AC42" i="11" s="1"/>
  <c r="AW34" i="9"/>
  <c r="F34" i="9" s="1"/>
  <c r="AO34" i="9"/>
  <c r="AS34" i="9"/>
  <c r="AU34" i="9" s="1"/>
  <c r="C34" i="9" s="1"/>
  <c r="G46" i="11" s="1"/>
  <c r="AC46" i="11" s="1"/>
  <c r="G29" i="9"/>
  <c r="U41" i="11" s="1"/>
  <c r="AK41" i="11"/>
  <c r="AB41" i="11"/>
  <c r="AB47" i="11"/>
  <c r="AK47" i="11"/>
  <c r="AD43" i="11"/>
  <c r="T41" i="11"/>
  <c r="T47" i="11"/>
  <c r="G38" i="11"/>
  <c r="G40" i="11"/>
  <c r="G36" i="11"/>
  <c r="G39" i="11"/>
  <c r="G37" i="11"/>
  <c r="C29" i="9"/>
  <c r="AC27" i="11"/>
  <c r="AC26" i="11"/>
  <c r="AC25" i="11"/>
  <c r="AC23" i="11"/>
  <c r="K25" i="13"/>
  <c r="AC15" i="11"/>
  <c r="K15" i="13"/>
  <c r="AL26" i="11"/>
  <c r="N20" i="13"/>
  <c r="Y20" i="13" s="1"/>
  <c r="D20" i="13" s="1"/>
  <c r="K26" i="11" s="1"/>
  <c r="AL25" i="11"/>
  <c r="N19" i="13"/>
  <c r="Y19" i="13" s="1"/>
  <c r="D19" i="13" s="1"/>
  <c r="K25" i="11" s="1"/>
  <c r="K10" i="13"/>
  <c r="AC10" i="13" s="1"/>
  <c r="AL22" i="11"/>
  <c r="K16" i="13"/>
  <c r="AC12" i="11"/>
  <c r="K12" i="13"/>
  <c r="AC13" i="11"/>
  <c r="K13" i="13"/>
  <c r="AL23" i="11"/>
  <c r="N17" i="13"/>
  <c r="Y17" i="13" s="1"/>
  <c r="D17" i="13" s="1"/>
  <c r="K23" i="11" s="1"/>
  <c r="AL27" i="11"/>
  <c r="N21" i="13"/>
  <c r="Y21" i="13" s="1"/>
  <c r="D21" i="13" s="1"/>
  <c r="K27" i="11" s="1"/>
  <c r="AP25" i="11"/>
  <c r="O19" i="13"/>
  <c r="K24" i="13"/>
  <c r="AC14" i="11"/>
  <c r="K14" i="13"/>
  <c r="AC22" i="11"/>
  <c r="L16" i="13"/>
  <c r="K26" i="13"/>
  <c r="K28" i="13"/>
  <c r="AC24" i="11"/>
  <c r="K11" i="13"/>
  <c r="K27" i="13"/>
  <c r="F12" i="9"/>
  <c r="T12" i="11" s="1"/>
  <c r="F26" i="9"/>
  <c r="F25" i="9"/>
  <c r="F10" i="9"/>
  <c r="T10" i="11" s="1"/>
  <c r="F24" i="9"/>
  <c r="F14" i="9"/>
  <c r="T14" i="11" s="1"/>
  <c r="F28" i="9"/>
  <c r="F11" i="9"/>
  <c r="F15" i="9"/>
  <c r="T15" i="11" s="1"/>
  <c r="F27" i="9"/>
  <c r="N29" i="13"/>
  <c r="F13" i="9"/>
  <c r="T13" i="11" s="1"/>
  <c r="AG15" i="11"/>
  <c r="AE15" i="11"/>
  <c r="AG25" i="11"/>
  <c r="AE25" i="11"/>
  <c r="AG26" i="11"/>
  <c r="AE26" i="11"/>
  <c r="AE12" i="11"/>
  <c r="AE23" i="11"/>
  <c r="AG23" i="11"/>
  <c r="AG14" i="11"/>
  <c r="AE14" i="11"/>
  <c r="AE24" i="11"/>
  <c r="AG24" i="11"/>
  <c r="AG13" i="11"/>
  <c r="AE13" i="11"/>
  <c r="AE27" i="11"/>
  <c r="AG27" i="11"/>
  <c r="E23" i="9"/>
  <c r="S35" i="11" s="1"/>
  <c r="E22" i="9"/>
  <c r="S34" i="11" s="1"/>
  <c r="E16" i="9"/>
  <c r="S22" i="11" s="1"/>
  <c r="G21" i="9"/>
  <c r="U27" i="11" s="1"/>
  <c r="G20" i="9"/>
  <c r="U26" i="11" s="1"/>
  <c r="BW29" i="5"/>
  <c r="G28" i="9"/>
  <c r="E25" i="9"/>
  <c r="AH10" i="9"/>
  <c r="AO10" i="9"/>
  <c r="BW21" i="5"/>
  <c r="BW16" i="5"/>
  <c r="BW22" i="5"/>
  <c r="BW24" i="5"/>
  <c r="BW20" i="5"/>
  <c r="BW26" i="5"/>
  <c r="BW13" i="5"/>
  <c r="BW28" i="5"/>
  <c r="BW23" i="5"/>
  <c r="BW17" i="5"/>
  <c r="BW27" i="5"/>
  <c r="BW19" i="5"/>
  <c r="BS18" i="5"/>
  <c r="BQ18" i="5"/>
  <c r="BR18" i="5"/>
  <c r="BP18" i="5"/>
  <c r="BU18" i="5" s="1"/>
  <c r="BT18" i="5"/>
  <c r="CI10" i="5"/>
  <c r="CI16" i="5"/>
  <c r="CI22" i="5"/>
  <c r="CL17" i="5"/>
  <c r="CM17" i="5" s="1"/>
  <c r="CI29" i="5"/>
  <c r="F14" i="5"/>
  <c r="Y14" i="11" s="1"/>
  <c r="CL12" i="5"/>
  <c r="CM12" i="5" s="1"/>
  <c r="CI13" i="5"/>
  <c r="CL21" i="5"/>
  <c r="CM21" i="5" s="1"/>
  <c r="CI26" i="5"/>
  <c r="CI25" i="5"/>
  <c r="CO25" i="5" s="1"/>
  <c r="CP25" i="5" s="1"/>
  <c r="F12" i="5"/>
  <c r="Y12" i="11" s="1"/>
  <c r="CL18" i="5"/>
  <c r="CM18" i="5" s="1"/>
  <c r="CU15" i="5"/>
  <c r="F28" i="5"/>
  <c r="CU17" i="5"/>
  <c r="CU18" i="5"/>
  <c r="CU12" i="5"/>
  <c r="CL15" i="5"/>
  <c r="CM15" i="5" s="1"/>
  <c r="CU21" i="5"/>
  <c r="CL20" i="5"/>
  <c r="CM20" i="5" s="1"/>
  <c r="CU20" i="5"/>
  <c r="CU27" i="5"/>
  <c r="CL27" i="5"/>
  <c r="CM27" i="5" s="1"/>
  <c r="CL28" i="5"/>
  <c r="CM28" i="5" s="1"/>
  <c r="CU28" i="5"/>
  <c r="CU24" i="5"/>
  <c r="CL24" i="5"/>
  <c r="CM24" i="5" s="1"/>
  <c r="CU14" i="5"/>
  <c r="CL14" i="5"/>
  <c r="CM14" i="5" s="1"/>
  <c r="CU19" i="5"/>
  <c r="CL19" i="5"/>
  <c r="CM19" i="5" s="1"/>
  <c r="CU11" i="5"/>
  <c r="CL11" i="5"/>
  <c r="CM11" i="5" s="1"/>
  <c r="CL23" i="5"/>
  <c r="CM23" i="5" s="1"/>
  <c r="CU23" i="5"/>
  <c r="F22" i="5"/>
  <c r="Y34" i="11" s="1"/>
  <c r="F16" i="5"/>
  <c r="Y22" i="11" s="1"/>
  <c r="F24" i="5"/>
  <c r="F26" i="5"/>
  <c r="Y27" i="11"/>
  <c r="F15" i="5"/>
  <c r="Y15" i="11" s="1"/>
  <c r="F11" i="5"/>
  <c r="F23" i="5"/>
  <c r="Y35" i="11" s="1"/>
  <c r="F19" i="5"/>
  <c r="Y25" i="11" s="1"/>
  <c r="F27" i="5"/>
  <c r="F25" i="5"/>
  <c r="F10" i="5"/>
  <c r="Y10" i="11" s="1"/>
  <c r="S83" i="8"/>
  <c r="M83" i="8"/>
  <c r="K83" i="8"/>
  <c r="N83" i="8"/>
  <c r="L83" i="8"/>
  <c r="R83" i="8"/>
  <c r="T83" i="8"/>
  <c r="Q83" i="8"/>
  <c r="P83" i="8"/>
  <c r="AR12" i="14"/>
  <c r="BK14" i="11"/>
  <c r="AN14" i="9"/>
  <c r="BK25" i="11"/>
  <c r="BB13" i="11"/>
  <c r="BK15" i="11"/>
  <c r="BK24" i="11"/>
  <c r="BK11" i="11"/>
  <c r="BB40" i="11"/>
  <c r="BB22" i="11"/>
  <c r="BK13" i="11"/>
  <c r="AN13" i="9"/>
  <c r="AN33" i="9"/>
  <c r="AN32" i="9"/>
  <c r="AG26" i="9"/>
  <c r="AN30" i="9"/>
  <c r="BB39" i="11"/>
  <c r="AN31" i="9"/>
  <c r="BB10" i="11"/>
  <c r="AN12" i="9"/>
  <c r="BB37" i="11"/>
  <c r="AR11" i="14"/>
  <c r="BB36" i="11"/>
  <c r="AN11" i="9"/>
  <c r="BK26" i="11"/>
  <c r="BK23" i="11"/>
  <c r="AG29" i="9"/>
  <c r="AN34" i="9"/>
  <c r="AN15" i="9"/>
  <c r="BK27" i="11"/>
  <c r="BK12" i="11"/>
  <c r="AG11" i="11" l="1"/>
  <c r="C35" i="13"/>
  <c r="J47" i="11" s="1"/>
  <c r="AH47" i="11" s="1"/>
  <c r="C31" i="13"/>
  <c r="J43" i="11" s="1"/>
  <c r="AH43" i="11" s="1"/>
  <c r="C32" i="13"/>
  <c r="J44" i="11" s="1"/>
  <c r="AH44" i="11" s="1"/>
  <c r="AE11" i="14"/>
  <c r="AK11" i="14"/>
  <c r="AC11" i="14"/>
  <c r="T11" i="14"/>
  <c r="T12" i="14"/>
  <c r="AE12" i="14"/>
  <c r="AC12" i="14"/>
  <c r="Y11" i="11"/>
  <c r="Y10" i="14"/>
  <c r="Y12" i="14"/>
  <c r="Y11" i="14"/>
  <c r="AE10" i="14"/>
  <c r="AK10" i="14"/>
  <c r="J11" i="11"/>
  <c r="AH11" i="11" s="1"/>
  <c r="J12" i="14"/>
  <c r="AL12" i="14" s="1"/>
  <c r="J10" i="14"/>
  <c r="AL10" i="14" s="1"/>
  <c r="J11" i="14"/>
  <c r="AL11" i="14" s="1"/>
  <c r="T11" i="11"/>
  <c r="AL11" i="11" s="1"/>
  <c r="T10" i="14"/>
  <c r="C33" i="13"/>
  <c r="J45" i="11" s="1"/>
  <c r="AH45" i="11" s="1"/>
  <c r="L11" i="11"/>
  <c r="L11" i="14"/>
  <c r="L12" i="14"/>
  <c r="L10" i="14"/>
  <c r="C30" i="13"/>
  <c r="J42" i="11" s="1"/>
  <c r="AH42" i="11" s="1"/>
  <c r="X16" i="13"/>
  <c r="C16" i="13" s="1"/>
  <c r="J22" i="11" s="1"/>
  <c r="AH22" i="11" s="1"/>
  <c r="V16" i="13"/>
  <c r="E16" i="13" s="1"/>
  <c r="L22" i="11" s="1"/>
  <c r="C34" i="13"/>
  <c r="J46" i="11" s="1"/>
  <c r="AH46" i="11" s="1"/>
  <c r="AJ43" i="11"/>
  <c r="AI43" i="11"/>
  <c r="BW14" i="5"/>
  <c r="E14" i="5" s="1"/>
  <c r="BW10" i="5"/>
  <c r="E10" i="5" s="1"/>
  <c r="X10" i="11" s="1"/>
  <c r="AD10" i="11" s="1"/>
  <c r="BW15" i="5"/>
  <c r="E15" i="5" s="1"/>
  <c r="X15" i="11" s="1"/>
  <c r="BW12" i="5"/>
  <c r="E12" i="5" s="1"/>
  <c r="BW11" i="5"/>
  <c r="E11" i="5" s="1"/>
  <c r="G32" i="9"/>
  <c r="G33" i="9"/>
  <c r="G31" i="9"/>
  <c r="G34" i="9"/>
  <c r="U46" i="11" s="1"/>
  <c r="G30" i="9"/>
  <c r="F18" i="5"/>
  <c r="Y24" i="11" s="1"/>
  <c r="BW18" i="5"/>
  <c r="E18" i="5" s="1"/>
  <c r="X24" i="11" s="1"/>
  <c r="Z39" i="11"/>
  <c r="CV27" i="5"/>
  <c r="Z26" i="11"/>
  <c r="CV20" i="5"/>
  <c r="CQ29" i="5"/>
  <c r="CR29" i="5" s="1"/>
  <c r="CO29" i="5"/>
  <c r="CP29" i="5" s="1"/>
  <c r="Z40" i="11"/>
  <c r="CV28" i="5"/>
  <c r="Z12" i="11"/>
  <c r="CV12" i="5"/>
  <c r="CQ26" i="5"/>
  <c r="CR26" i="5" s="1"/>
  <c r="CO26" i="5"/>
  <c r="CP26" i="5" s="1"/>
  <c r="CQ16" i="5"/>
  <c r="CR16" i="5" s="1"/>
  <c r="CX16" i="5" s="1"/>
  <c r="G16" i="5" s="1"/>
  <c r="CO16" i="5"/>
  <c r="CP16" i="5" s="1"/>
  <c r="Z14" i="11"/>
  <c r="CV14" i="5"/>
  <c r="Z27" i="11"/>
  <c r="CV21" i="5"/>
  <c r="Z36" i="11"/>
  <c r="CV24" i="5"/>
  <c r="CQ22" i="5"/>
  <c r="CR22" i="5" s="1"/>
  <c r="CO22" i="5"/>
  <c r="CP22" i="5" s="1"/>
  <c r="Z11" i="11"/>
  <c r="CV11" i="5"/>
  <c r="Z24" i="11"/>
  <c r="CV18" i="5"/>
  <c r="CQ10" i="5"/>
  <c r="CR10" i="5" s="1"/>
  <c r="CO10" i="5"/>
  <c r="CP10" i="5" s="1"/>
  <c r="Z25" i="11"/>
  <c r="CV19" i="5"/>
  <c r="Z15" i="11"/>
  <c r="CV15" i="5"/>
  <c r="Z35" i="11"/>
  <c r="CV23" i="5"/>
  <c r="Z23" i="11"/>
  <c r="CV17" i="5"/>
  <c r="CQ13" i="5"/>
  <c r="CR13" i="5" s="1"/>
  <c r="CO13" i="5"/>
  <c r="CP13" i="5" s="1"/>
  <c r="CS25" i="5"/>
  <c r="CT25" i="5" s="1"/>
  <c r="CX25" i="5" s="1"/>
  <c r="G25" i="5" s="1"/>
  <c r="CQ25" i="5"/>
  <c r="CR25" i="5" s="1"/>
  <c r="CL13" i="5"/>
  <c r="CM13" i="5" s="1"/>
  <c r="CS13" i="5"/>
  <c r="CT13" i="5" s="1"/>
  <c r="CX13" i="5" s="1"/>
  <c r="G13" i="5" s="1"/>
  <c r="CS22" i="5"/>
  <c r="CT22" i="5" s="1"/>
  <c r="CX22" i="5" s="1"/>
  <c r="G22" i="5" s="1"/>
  <c r="CS29" i="5"/>
  <c r="CT29" i="5" s="1"/>
  <c r="CX29" i="5" s="1"/>
  <c r="G29" i="5" s="1"/>
  <c r="CS26" i="5"/>
  <c r="CT26" i="5" s="1"/>
  <c r="CX26" i="5" s="1"/>
  <c r="G26" i="5" s="1"/>
  <c r="CS16" i="5"/>
  <c r="CT16" i="5" s="1"/>
  <c r="CU10" i="5"/>
  <c r="CV10" i="5" s="1"/>
  <c r="CS10" i="5"/>
  <c r="CT10" i="5" s="1"/>
  <c r="CX10" i="5" s="1"/>
  <c r="F33" i="5"/>
  <c r="Y45" i="11" s="1"/>
  <c r="Y39" i="11"/>
  <c r="F34" i="5"/>
  <c r="Y46" i="11" s="1"/>
  <c r="Y40" i="11"/>
  <c r="F32" i="5"/>
  <c r="Y44" i="11" s="1"/>
  <c r="Y38" i="11"/>
  <c r="Y37" i="11"/>
  <c r="F31" i="5"/>
  <c r="Y43" i="11" s="1"/>
  <c r="F30" i="5"/>
  <c r="Y42" i="11" s="1"/>
  <c r="Y36" i="11"/>
  <c r="T40" i="11"/>
  <c r="AL40" i="11" s="1"/>
  <c r="T46" i="11"/>
  <c r="AN47" i="11"/>
  <c r="AP47" i="11"/>
  <c r="S37" i="11"/>
  <c r="AE37" i="11" s="1"/>
  <c r="S43" i="11"/>
  <c r="U40" i="11"/>
  <c r="AP40" i="11" s="1"/>
  <c r="T42" i="11"/>
  <c r="T36" i="11"/>
  <c r="AL36" i="11" s="1"/>
  <c r="T43" i="11"/>
  <c r="T37" i="11"/>
  <c r="AM37" i="11" s="1"/>
  <c r="K29" i="13"/>
  <c r="G41" i="11"/>
  <c r="AL41" i="11" s="1"/>
  <c r="G47" i="11"/>
  <c r="AC47" i="11" s="1"/>
  <c r="T45" i="11"/>
  <c r="T39" i="11"/>
  <c r="AL39" i="11" s="1"/>
  <c r="T44" i="11"/>
  <c r="AL44" i="11" s="1"/>
  <c r="T38" i="11"/>
  <c r="AL38" i="11" s="1"/>
  <c r="E29" i="9"/>
  <c r="Z45" i="11"/>
  <c r="Z42" i="11"/>
  <c r="Z46" i="11"/>
  <c r="E26" i="5"/>
  <c r="E28" i="5"/>
  <c r="E27" i="5"/>
  <c r="E22" i="5"/>
  <c r="X34" i="11" s="1"/>
  <c r="X27" i="11"/>
  <c r="E19" i="5"/>
  <c r="X25" i="11" s="1"/>
  <c r="E16" i="5"/>
  <c r="E29" i="5"/>
  <c r="E23" i="5"/>
  <c r="X35" i="11" s="1"/>
  <c r="E24" i="5"/>
  <c r="AH37" i="11"/>
  <c r="AC37" i="11"/>
  <c r="AD37" i="11"/>
  <c r="AQ25" i="11"/>
  <c r="AQ23" i="11"/>
  <c r="AQ27" i="11"/>
  <c r="AQ26" i="11"/>
  <c r="BL25" i="11"/>
  <c r="BL11" i="11"/>
  <c r="BL15" i="11"/>
  <c r="BL13" i="11"/>
  <c r="BL26" i="11"/>
  <c r="BL12" i="11"/>
  <c r="BL24" i="11"/>
  <c r="BL14" i="11"/>
  <c r="BL27" i="11"/>
  <c r="BL23" i="11"/>
  <c r="AC40" i="11"/>
  <c r="AC36" i="11"/>
  <c r="O28" i="13"/>
  <c r="N24" i="13"/>
  <c r="Y24" i="13" s="1"/>
  <c r="D24" i="13" s="1"/>
  <c r="K36" i="11" s="1"/>
  <c r="AP26" i="11"/>
  <c r="O20" i="13"/>
  <c r="AL13" i="11"/>
  <c r="N13" i="13"/>
  <c r="Y13" i="13" s="1"/>
  <c r="D13" i="13" s="1"/>
  <c r="K13" i="11" s="1"/>
  <c r="AL10" i="11"/>
  <c r="N10" i="13"/>
  <c r="Y10" i="13" s="1"/>
  <c r="D10" i="13" s="1"/>
  <c r="K10" i="11" s="1"/>
  <c r="AN27" i="11"/>
  <c r="O21" i="13"/>
  <c r="N25" i="13"/>
  <c r="Y25" i="13" s="1"/>
  <c r="D25" i="13" s="1"/>
  <c r="K37" i="11" s="1"/>
  <c r="AG22" i="11"/>
  <c r="M16" i="13"/>
  <c r="N26" i="13"/>
  <c r="Y26" i="13" s="1"/>
  <c r="D26" i="13" s="1"/>
  <c r="K38" i="11" s="1"/>
  <c r="AC39" i="11"/>
  <c r="AG34" i="11"/>
  <c r="M22" i="13"/>
  <c r="AL15" i="11"/>
  <c r="N15" i="13"/>
  <c r="Y15" i="13" s="1"/>
  <c r="D15" i="13" s="1"/>
  <c r="K15" i="11" s="1"/>
  <c r="AL12" i="11"/>
  <c r="N12" i="13"/>
  <c r="Y12" i="13" s="1"/>
  <c r="D12" i="13" s="1"/>
  <c r="K12" i="11" s="1"/>
  <c r="AE35" i="11"/>
  <c r="M23" i="13"/>
  <c r="N11" i="13"/>
  <c r="Y11" i="13" s="1"/>
  <c r="D11" i="13" s="1"/>
  <c r="AN25" i="11"/>
  <c r="Y29" i="13"/>
  <c r="N27" i="13"/>
  <c r="Y27" i="13" s="1"/>
  <c r="D27" i="13" s="1"/>
  <c r="K39" i="11" s="1"/>
  <c r="N28" i="13"/>
  <c r="Y28" i="13" s="1"/>
  <c r="D28" i="13" s="1"/>
  <c r="K40" i="11" s="1"/>
  <c r="M25" i="13"/>
  <c r="AL14" i="11"/>
  <c r="N14" i="13"/>
  <c r="Y14" i="13" s="1"/>
  <c r="D14" i="13" s="1"/>
  <c r="K14" i="11" s="1"/>
  <c r="AN23" i="11"/>
  <c r="G15" i="9"/>
  <c r="U15" i="11" s="1"/>
  <c r="G11" i="9"/>
  <c r="G12" i="9"/>
  <c r="U12" i="11" s="1"/>
  <c r="G14" i="9"/>
  <c r="U14" i="11" s="1"/>
  <c r="G13" i="9"/>
  <c r="U13" i="11" s="1"/>
  <c r="AC10" i="11"/>
  <c r="E24" i="9"/>
  <c r="CL10" i="5"/>
  <c r="CM10" i="5" s="1"/>
  <c r="E28" i="9"/>
  <c r="CL16" i="5"/>
  <c r="CM16" i="5" s="1"/>
  <c r="AH41" i="11"/>
  <c r="AH38" i="11"/>
  <c r="E27" i="9"/>
  <c r="O29" i="13"/>
  <c r="G24" i="9"/>
  <c r="E10" i="9"/>
  <c r="S10" i="11" s="1"/>
  <c r="G10" i="9"/>
  <c r="U10" i="11" s="1"/>
  <c r="G27" i="9"/>
  <c r="G26" i="9"/>
  <c r="G25" i="9"/>
  <c r="CU16" i="5"/>
  <c r="CL22" i="5"/>
  <c r="CM22" i="5" s="1"/>
  <c r="CU25" i="5"/>
  <c r="CU26" i="5"/>
  <c r="CU22" i="5"/>
  <c r="CL26" i="5"/>
  <c r="CM26" i="5" s="1"/>
  <c r="CL29" i="5"/>
  <c r="CM29" i="5" s="1"/>
  <c r="CL25" i="5"/>
  <c r="CM25" i="5" s="1"/>
  <c r="CU29" i="5"/>
  <c r="CV29" i="5" s="1"/>
  <c r="CU13" i="5"/>
  <c r="F13" i="5"/>
  <c r="Y13" i="11" s="1"/>
  <c r="F20" i="5"/>
  <c r="Y26" i="11" s="1"/>
  <c r="E20" i="5"/>
  <c r="X26" i="11" s="1"/>
  <c r="E13" i="5"/>
  <c r="X13" i="11" s="1"/>
  <c r="E17" i="5"/>
  <c r="X23" i="11" s="1"/>
  <c r="F17" i="5"/>
  <c r="Y23" i="11" s="1"/>
  <c r="HX15" i="1"/>
  <c r="I20" i="1"/>
  <c r="I19" i="1"/>
  <c r="I18" i="1"/>
  <c r="I17" i="1"/>
  <c r="I16" i="1"/>
  <c r="I15" i="1"/>
  <c r="BA12" i="14"/>
  <c r="BV23" i="11"/>
  <c r="BA11" i="14"/>
  <c r="BC37" i="11"/>
  <c r="BV12" i="11"/>
  <c r="BV24" i="11"/>
  <c r="BK35" i="11"/>
  <c r="BG37" i="11"/>
  <c r="BV15" i="11"/>
  <c r="BB41" i="11"/>
  <c r="BA10" i="14"/>
  <c r="BV11" i="11"/>
  <c r="BV13" i="11"/>
  <c r="BV25" i="11"/>
  <c r="BK37" i="11"/>
  <c r="BB38" i="11"/>
  <c r="BV26" i="11"/>
  <c r="BV27" i="11"/>
  <c r="BV14" i="11"/>
  <c r="BB12" i="14" l="1"/>
  <c r="BB11" i="14"/>
  <c r="BB10" i="14"/>
  <c r="X11" i="11"/>
  <c r="AF11" i="11" s="1"/>
  <c r="X12" i="14"/>
  <c r="X10" i="14"/>
  <c r="X11" i="14"/>
  <c r="K11" i="11"/>
  <c r="AQ11" i="11" s="1"/>
  <c r="K10" i="14"/>
  <c r="K12" i="14"/>
  <c r="K11" i="14"/>
  <c r="U11" i="11"/>
  <c r="AP11" i="11" s="1"/>
  <c r="U10" i="14"/>
  <c r="U11" i="14"/>
  <c r="AJ37" i="11"/>
  <c r="AI37" i="11"/>
  <c r="AJ10" i="11"/>
  <c r="AI10" i="11"/>
  <c r="G10" i="5"/>
  <c r="Z10" i="11" s="1"/>
  <c r="AF10" i="11" s="1"/>
  <c r="AO24" i="11"/>
  <c r="AF24" i="11"/>
  <c r="AM24" i="11"/>
  <c r="AD24" i="11"/>
  <c r="BL35" i="11"/>
  <c r="Z34" i="11"/>
  <c r="AO34" i="11" s="1"/>
  <c r="CV22" i="5"/>
  <c r="Z38" i="11"/>
  <c r="CV26" i="5"/>
  <c r="Z22" i="11"/>
  <c r="CV16" i="5"/>
  <c r="Z37" i="11"/>
  <c r="AF37" i="11" s="1"/>
  <c r="CV25" i="5"/>
  <c r="Z13" i="11"/>
  <c r="AO13" i="11" s="1"/>
  <c r="CV13" i="5"/>
  <c r="AL47" i="11"/>
  <c r="X40" i="11"/>
  <c r="AF40" i="11" s="1"/>
  <c r="E34" i="5"/>
  <c r="X46" i="11" s="1"/>
  <c r="AD46" i="11" s="1"/>
  <c r="E32" i="5"/>
  <c r="X44" i="11" s="1"/>
  <c r="AD44" i="11" s="1"/>
  <c r="X38" i="11"/>
  <c r="AD38" i="11" s="1"/>
  <c r="X36" i="11"/>
  <c r="AD36" i="11" s="1"/>
  <c r="E30" i="5"/>
  <c r="X42" i="11" s="1"/>
  <c r="AD42" i="11" s="1"/>
  <c r="X14" i="11"/>
  <c r="AD14" i="11" s="1"/>
  <c r="E33" i="5"/>
  <c r="X45" i="11" s="1"/>
  <c r="AD45" i="11" s="1"/>
  <c r="X39" i="11"/>
  <c r="AO39" i="11" s="1"/>
  <c r="X41" i="11"/>
  <c r="AD41" i="11" s="1"/>
  <c r="E35" i="5"/>
  <c r="X47" i="11" s="1"/>
  <c r="X12" i="11"/>
  <c r="AF12" i="11" s="1"/>
  <c r="X22" i="11"/>
  <c r="AD22" i="11" s="1"/>
  <c r="U37" i="11"/>
  <c r="AP37" i="11" s="1"/>
  <c r="U43" i="11"/>
  <c r="U44" i="11"/>
  <c r="U38" i="11"/>
  <c r="AP38" i="11" s="1"/>
  <c r="U45" i="11"/>
  <c r="U39" i="11"/>
  <c r="AP39" i="11" s="1"/>
  <c r="U36" i="11"/>
  <c r="AP36" i="11" s="1"/>
  <c r="U42" i="11"/>
  <c r="S39" i="11"/>
  <c r="AG39" i="11" s="1"/>
  <c r="S45" i="11"/>
  <c r="S40" i="11"/>
  <c r="AG40" i="11" s="1"/>
  <c r="S46" i="11"/>
  <c r="S42" i="11"/>
  <c r="S36" i="11"/>
  <c r="AG36" i="11" s="1"/>
  <c r="S47" i="11"/>
  <c r="S41" i="11"/>
  <c r="AL45" i="11"/>
  <c r="AL43" i="11"/>
  <c r="AM43" i="11"/>
  <c r="AL42" i="11"/>
  <c r="AP46" i="11"/>
  <c r="AN46" i="11"/>
  <c r="AG43" i="11"/>
  <c r="AE43" i="11"/>
  <c r="AL46" i="11"/>
  <c r="D34" i="13"/>
  <c r="K46" i="11" s="1"/>
  <c r="AQ46" i="11" s="1"/>
  <c r="D30" i="13"/>
  <c r="K42" i="11" s="1"/>
  <c r="AQ42" i="11" s="1"/>
  <c r="AQ39" i="11"/>
  <c r="D33" i="13"/>
  <c r="K45" i="11" s="1"/>
  <c r="AQ45" i="11" s="1"/>
  <c r="AQ38" i="11"/>
  <c r="D32" i="13"/>
  <c r="K44" i="11" s="1"/>
  <c r="AQ44" i="11" s="1"/>
  <c r="D31" i="13"/>
  <c r="K43" i="11" s="1"/>
  <c r="AQ43" i="11" s="1"/>
  <c r="Z44" i="11"/>
  <c r="Z43" i="11"/>
  <c r="D29" i="13"/>
  <c r="AM27" i="11"/>
  <c r="AO27" i="11"/>
  <c r="AD27" i="11"/>
  <c r="AF27" i="11"/>
  <c r="AD34" i="11"/>
  <c r="AM34" i="11"/>
  <c r="AF15" i="11"/>
  <c r="AD15" i="11"/>
  <c r="AO15" i="11"/>
  <c r="AO25" i="11"/>
  <c r="AF25" i="11"/>
  <c r="AD25" i="11"/>
  <c r="AM25" i="11"/>
  <c r="AD35" i="11"/>
  <c r="AM35" i="11"/>
  <c r="AO35" i="11"/>
  <c r="AF35" i="11"/>
  <c r="AF23" i="11"/>
  <c r="AF26" i="11"/>
  <c r="AQ37" i="11"/>
  <c r="AQ10" i="11"/>
  <c r="AQ14" i="11"/>
  <c r="AQ13" i="11"/>
  <c r="AQ40" i="11"/>
  <c r="AQ36" i="11"/>
  <c r="AQ12" i="11"/>
  <c r="AQ15" i="11"/>
  <c r="BL37" i="11"/>
  <c r="AP27" i="11"/>
  <c r="AL37" i="11"/>
  <c r="BD37" i="11"/>
  <c r="BH37" i="11"/>
  <c r="AM10" i="11"/>
  <c r="AG35" i="11"/>
  <c r="AC41" i="11"/>
  <c r="AC38" i="11"/>
  <c r="AN40" i="11"/>
  <c r="AE34" i="11"/>
  <c r="AN26" i="11"/>
  <c r="AN14" i="11"/>
  <c r="O14" i="13"/>
  <c r="O27" i="13"/>
  <c r="AN10" i="11"/>
  <c r="O10" i="13"/>
  <c r="O24" i="13"/>
  <c r="M24" i="13"/>
  <c r="AN12" i="11"/>
  <c r="O12" i="13"/>
  <c r="O11" i="13"/>
  <c r="AG37" i="11"/>
  <c r="AN15" i="11"/>
  <c r="O15" i="13"/>
  <c r="O25" i="13"/>
  <c r="AE22" i="11"/>
  <c r="M28" i="13"/>
  <c r="AP13" i="11"/>
  <c r="O13" i="13"/>
  <c r="AG10" i="11"/>
  <c r="M10" i="13"/>
  <c r="AN41" i="11"/>
  <c r="M27" i="13"/>
  <c r="O26" i="13"/>
  <c r="AM15" i="11"/>
  <c r="AD23" i="11"/>
  <c r="AM23" i="11"/>
  <c r="AD13" i="11"/>
  <c r="AM13" i="11"/>
  <c r="AD26" i="11"/>
  <c r="AM26" i="11"/>
  <c r="AO26" i="11"/>
  <c r="AO23" i="11"/>
  <c r="E26" i="9"/>
  <c r="M29" i="13"/>
  <c r="K20" i="1"/>
  <c r="K19" i="1"/>
  <c r="K18" i="1"/>
  <c r="K17" i="1"/>
  <c r="K16" i="1"/>
  <c r="K15" i="1"/>
  <c r="BL34" i="1"/>
  <c r="BK34" i="1"/>
  <c r="BJ34" i="1"/>
  <c r="BI34" i="1"/>
  <c r="BH34" i="1"/>
  <c r="BG34" i="1"/>
  <c r="BL33" i="1"/>
  <c r="BK33" i="1"/>
  <c r="BJ33" i="1"/>
  <c r="BI33" i="1"/>
  <c r="BH33" i="1"/>
  <c r="BG33" i="1"/>
  <c r="BL32" i="1"/>
  <c r="BK32" i="1"/>
  <c r="BJ32" i="1"/>
  <c r="BI32" i="1"/>
  <c r="BH32" i="1"/>
  <c r="BG32" i="1"/>
  <c r="BL31" i="1"/>
  <c r="BK31" i="1"/>
  <c r="BJ31" i="1"/>
  <c r="BI31" i="1"/>
  <c r="BH31" i="1"/>
  <c r="BG31" i="1"/>
  <c r="BL30" i="1"/>
  <c r="BK30" i="1"/>
  <c r="BJ30" i="1"/>
  <c r="BI30" i="1"/>
  <c r="BH30" i="1"/>
  <c r="BG30" i="1"/>
  <c r="BL29" i="1"/>
  <c r="BK29" i="1"/>
  <c r="BJ29" i="1"/>
  <c r="BI29" i="1"/>
  <c r="BH29" i="1"/>
  <c r="BG29" i="1"/>
  <c r="BL28" i="1"/>
  <c r="BK28" i="1"/>
  <c r="BJ28" i="1"/>
  <c r="BI28" i="1"/>
  <c r="BH28" i="1"/>
  <c r="BG28" i="1"/>
  <c r="BL27" i="1"/>
  <c r="BK27" i="1"/>
  <c r="BJ27" i="1"/>
  <c r="BI27" i="1"/>
  <c r="BH27" i="1"/>
  <c r="BG27" i="1"/>
  <c r="BL26" i="1"/>
  <c r="BK26" i="1"/>
  <c r="BJ26" i="1"/>
  <c r="BI26" i="1"/>
  <c r="BH26" i="1"/>
  <c r="BG26" i="1"/>
  <c r="BL25" i="1"/>
  <c r="BK25" i="1"/>
  <c r="BJ25" i="1"/>
  <c r="BI25" i="1"/>
  <c r="BH25" i="1"/>
  <c r="BG25" i="1"/>
  <c r="BL24" i="1"/>
  <c r="BK24" i="1"/>
  <c r="BJ24" i="1"/>
  <c r="BI24" i="1"/>
  <c r="BH24" i="1"/>
  <c r="BG24" i="1"/>
  <c r="BL23" i="1"/>
  <c r="BK23" i="1"/>
  <c r="BJ23" i="1"/>
  <c r="BI23" i="1"/>
  <c r="BH23" i="1"/>
  <c r="BG23" i="1"/>
  <c r="BL22" i="1"/>
  <c r="BK22" i="1"/>
  <c r="BJ22" i="1"/>
  <c r="BI22" i="1"/>
  <c r="BH22" i="1"/>
  <c r="BG22" i="1"/>
  <c r="BL21" i="1"/>
  <c r="BK21" i="1"/>
  <c r="BJ21" i="1"/>
  <c r="BI21" i="1"/>
  <c r="BH21" i="1"/>
  <c r="BG21" i="1"/>
  <c r="BL20" i="1"/>
  <c r="BK20" i="1"/>
  <c r="BJ20" i="1"/>
  <c r="BI20" i="1"/>
  <c r="BH20" i="1"/>
  <c r="BG20" i="1"/>
  <c r="BL19" i="1"/>
  <c r="BK19" i="1"/>
  <c r="BJ19" i="1"/>
  <c r="BI19" i="1"/>
  <c r="BH19" i="1"/>
  <c r="BG19" i="1"/>
  <c r="BL18" i="1"/>
  <c r="BK18" i="1"/>
  <c r="BJ18" i="1"/>
  <c r="BI18" i="1"/>
  <c r="BH18" i="1"/>
  <c r="BG18" i="1"/>
  <c r="BL17" i="1"/>
  <c r="BK17" i="1"/>
  <c r="BJ17" i="1"/>
  <c r="BI17" i="1"/>
  <c r="BH17" i="1"/>
  <c r="BG17" i="1"/>
  <c r="BL16" i="1"/>
  <c r="BK16" i="1"/>
  <c r="BJ16" i="1"/>
  <c r="BI16" i="1"/>
  <c r="BH16" i="1"/>
  <c r="BG16" i="1"/>
  <c r="BC22" i="11"/>
  <c r="BW24" i="11"/>
  <c r="BW27" i="11"/>
  <c r="BW15" i="11"/>
  <c r="BK22" i="11"/>
  <c r="BG25" i="11"/>
  <c r="BK43" i="11"/>
  <c r="BG26" i="11"/>
  <c r="BC23" i="11"/>
  <c r="BW14" i="11"/>
  <c r="BC26" i="11"/>
  <c r="BW13" i="11"/>
  <c r="BC15" i="11"/>
  <c r="BW12" i="11"/>
  <c r="BC27" i="11"/>
  <c r="BT27" i="11"/>
  <c r="BF37" i="11"/>
  <c r="BE37" i="11"/>
  <c r="BC14" i="11"/>
  <c r="BC24" i="11"/>
  <c r="BG14" i="11"/>
  <c r="BC43" i="11"/>
  <c r="BW25" i="11"/>
  <c r="BG27" i="11"/>
  <c r="BC35" i="11"/>
  <c r="BG13" i="11"/>
  <c r="BW26" i="11"/>
  <c r="BC13" i="11"/>
  <c r="BC34" i="11"/>
  <c r="BR27" i="11"/>
  <c r="BJ37" i="11"/>
  <c r="BW23" i="11"/>
  <c r="BG15" i="11"/>
  <c r="BG22" i="11"/>
  <c r="BI15" i="11"/>
  <c r="BG24" i="11"/>
  <c r="BG34" i="11"/>
  <c r="BG35" i="11"/>
  <c r="BC25" i="11"/>
  <c r="BG23" i="11"/>
  <c r="BG43" i="11"/>
  <c r="BK34" i="11"/>
  <c r="BW11" i="11"/>
  <c r="BI37" i="11"/>
  <c r="BV37" i="11"/>
  <c r="BV35" i="11"/>
  <c r="AO11" i="11" l="1"/>
  <c r="AM11" i="11"/>
  <c r="AD11" i="11"/>
  <c r="AJ11" i="11" s="1"/>
  <c r="AD11" i="14"/>
  <c r="AJ11" i="14"/>
  <c r="AJ10" i="14"/>
  <c r="AD10" i="14"/>
  <c r="AJ12" i="14"/>
  <c r="AD12" i="14"/>
  <c r="AJ46" i="11"/>
  <c r="AI46" i="11"/>
  <c r="AI13" i="11"/>
  <c r="AJ13" i="11"/>
  <c r="AJ25" i="11"/>
  <c r="AI25" i="11"/>
  <c r="AJ14" i="11"/>
  <c r="AI14" i="11"/>
  <c r="AI44" i="11"/>
  <c r="AJ44" i="11"/>
  <c r="AJ26" i="11"/>
  <c r="AI26" i="11"/>
  <c r="AJ35" i="11"/>
  <c r="AI35" i="11"/>
  <c r="AJ45" i="11"/>
  <c r="AI45" i="11"/>
  <c r="AJ23" i="11"/>
  <c r="AI23" i="11"/>
  <c r="AJ42" i="11"/>
  <c r="AI42" i="11"/>
  <c r="AJ15" i="11"/>
  <c r="AI15" i="11"/>
  <c r="AJ27" i="11"/>
  <c r="AI27" i="11"/>
  <c r="AI41" i="11"/>
  <c r="AJ41" i="11"/>
  <c r="AJ34" i="11"/>
  <c r="AI34" i="11"/>
  <c r="AJ22" i="11"/>
  <c r="AI22" i="11"/>
  <c r="AJ36" i="11"/>
  <c r="AI36" i="11"/>
  <c r="AJ38" i="11"/>
  <c r="AI38" i="11"/>
  <c r="AI24" i="11"/>
  <c r="AJ24" i="11"/>
  <c r="BX12" i="11"/>
  <c r="BX24" i="11"/>
  <c r="BX25" i="11"/>
  <c r="BX13" i="11"/>
  <c r="BX26" i="11"/>
  <c r="BX27" i="11"/>
  <c r="BX11" i="11"/>
  <c r="BX15" i="11"/>
  <c r="BX14" i="11"/>
  <c r="BX23" i="11"/>
  <c r="BZ27" i="11"/>
  <c r="CA27" i="11" s="1"/>
  <c r="AO10" i="11"/>
  <c r="AF13" i="11"/>
  <c r="AF34" i="11"/>
  <c r="BH24" i="11"/>
  <c r="BD24" i="11"/>
  <c r="AO40" i="11"/>
  <c r="AD40" i="11"/>
  <c r="BL34" i="11"/>
  <c r="AO37" i="11"/>
  <c r="AM39" i="11"/>
  <c r="AD39" i="11"/>
  <c r="AM46" i="11"/>
  <c r="AM40" i="11"/>
  <c r="AF39" i="11"/>
  <c r="AM41" i="11"/>
  <c r="AO46" i="11"/>
  <c r="AF46" i="11"/>
  <c r="AM44" i="11"/>
  <c r="AO38" i="11"/>
  <c r="AF22" i="11"/>
  <c r="AO36" i="11"/>
  <c r="AO12" i="11"/>
  <c r="AF36" i="11"/>
  <c r="AF38" i="11"/>
  <c r="AM45" i="11"/>
  <c r="AM36" i="11"/>
  <c r="AO14" i="11"/>
  <c r="AF45" i="11"/>
  <c r="AO45" i="11"/>
  <c r="AM38" i="11"/>
  <c r="AF14" i="11"/>
  <c r="AF42" i="11"/>
  <c r="AD12" i="11"/>
  <c r="AO22" i="11"/>
  <c r="AM12" i="11"/>
  <c r="AO42" i="11"/>
  <c r="AM22" i="11"/>
  <c r="AM14" i="11"/>
  <c r="AM42" i="11"/>
  <c r="AD47" i="11"/>
  <c r="AM47" i="11"/>
  <c r="BL43" i="11"/>
  <c r="BH43" i="11"/>
  <c r="BD43" i="11"/>
  <c r="S38" i="11"/>
  <c r="AE38" i="11" s="1"/>
  <c r="S44" i="11"/>
  <c r="D35" i="13"/>
  <c r="K47" i="11" s="1"/>
  <c r="AQ47" i="11" s="1"/>
  <c r="K41" i="11"/>
  <c r="AQ41" i="11" s="1"/>
  <c r="AE47" i="11"/>
  <c r="AG47" i="11"/>
  <c r="AE42" i="11"/>
  <c r="AG42" i="11"/>
  <c r="AE46" i="11"/>
  <c r="AG46" i="11"/>
  <c r="AE45" i="11"/>
  <c r="AG45" i="11"/>
  <c r="AP42" i="11"/>
  <c r="AN42" i="11"/>
  <c r="AN45" i="11"/>
  <c r="AP45" i="11"/>
  <c r="AN44" i="11"/>
  <c r="AP44" i="11"/>
  <c r="AP43" i="11"/>
  <c r="AN43" i="11"/>
  <c r="Z47" i="11"/>
  <c r="Z41" i="11"/>
  <c r="AF41" i="11" s="1"/>
  <c r="AF43" i="11"/>
  <c r="AO43" i="11"/>
  <c r="AF44" i="11"/>
  <c r="AO44" i="11"/>
  <c r="BH14" i="11"/>
  <c r="BD14" i="11"/>
  <c r="BH25" i="11"/>
  <c r="BD25" i="11"/>
  <c r="BH35" i="11"/>
  <c r="BD35" i="11"/>
  <c r="BH27" i="11"/>
  <c r="BU27" i="11" s="1"/>
  <c r="BD27" i="11"/>
  <c r="BS27" i="11" s="1"/>
  <c r="BH15" i="11"/>
  <c r="BD15" i="11"/>
  <c r="BP37" i="11"/>
  <c r="BL22" i="11"/>
  <c r="BN37" i="11"/>
  <c r="BO37" i="11"/>
  <c r="AE10" i="11"/>
  <c r="AP12" i="11"/>
  <c r="BD26" i="11"/>
  <c r="BD13" i="11"/>
  <c r="BD34" i="11"/>
  <c r="BD22" i="11"/>
  <c r="BD23" i="11"/>
  <c r="BH34" i="11"/>
  <c r="BH26" i="11"/>
  <c r="BH22" i="11"/>
  <c r="BH23" i="11"/>
  <c r="BH13" i="11"/>
  <c r="AN37" i="11"/>
  <c r="AE39" i="11"/>
  <c r="AE36" i="11"/>
  <c r="AP14" i="11"/>
  <c r="AP10" i="11"/>
  <c r="AN11" i="11"/>
  <c r="AN39" i="11"/>
  <c r="AN13" i="11"/>
  <c r="AN38" i="11"/>
  <c r="AE40" i="11"/>
  <c r="AP15" i="11"/>
  <c r="AP41" i="11"/>
  <c r="AN36" i="11"/>
  <c r="M26" i="13"/>
  <c r="AG41" i="11"/>
  <c r="BM17" i="1"/>
  <c r="BN17" i="1" s="1"/>
  <c r="BM21" i="1"/>
  <c r="BN21" i="1" s="1"/>
  <c r="BS27" i="1"/>
  <c r="BV27" i="1" s="1"/>
  <c r="BY27" i="1" s="1"/>
  <c r="BS26" i="1"/>
  <c r="BV26" i="1" s="1"/>
  <c r="BS29" i="1"/>
  <c r="BV29" i="1" s="1"/>
  <c r="BS33" i="1"/>
  <c r="BV33" i="1" s="1"/>
  <c r="BT28" i="1"/>
  <c r="BU28" i="1" s="1"/>
  <c r="BS34" i="1"/>
  <c r="BV34" i="1" s="1"/>
  <c r="BS21" i="1"/>
  <c r="BS25" i="1"/>
  <c r="BV25" i="1" s="1"/>
  <c r="BM22" i="1"/>
  <c r="BN22" i="1" s="1"/>
  <c r="BT24" i="1"/>
  <c r="BU24" i="1" s="1"/>
  <c r="BT34" i="1"/>
  <c r="BU34" i="1" s="1"/>
  <c r="BS28" i="1"/>
  <c r="BV28" i="1" s="1"/>
  <c r="BS23" i="1"/>
  <c r="BV23" i="1" s="1"/>
  <c r="BS31" i="1"/>
  <c r="BV31" i="1" s="1"/>
  <c r="BT30" i="1"/>
  <c r="BU30" i="1" s="1"/>
  <c r="BT16" i="1"/>
  <c r="BU16" i="1" s="1"/>
  <c r="BS17" i="1"/>
  <c r="BV17" i="1" s="1"/>
  <c r="BS19" i="1"/>
  <c r="BV19" i="1" s="1"/>
  <c r="BM30" i="1"/>
  <c r="BN30" i="1" s="1"/>
  <c r="BM25" i="1"/>
  <c r="BO25" i="1" s="1"/>
  <c r="BM33" i="1"/>
  <c r="BN33" i="1" s="1"/>
  <c r="BT33" i="1"/>
  <c r="BU33" i="1" s="1"/>
  <c r="BS22" i="1"/>
  <c r="BV22" i="1" s="1"/>
  <c r="BS18" i="1"/>
  <c r="BV18" i="1" s="1"/>
  <c r="BM29" i="1"/>
  <c r="BO29" i="1" s="1"/>
  <c r="BT27" i="1"/>
  <c r="BU27" i="1" s="1"/>
  <c r="BT32" i="1"/>
  <c r="BU32" i="1" s="1"/>
  <c r="BM32" i="1"/>
  <c r="BN32" i="1" s="1"/>
  <c r="BS32" i="1"/>
  <c r="BT22" i="1"/>
  <c r="BU22" i="1" s="1"/>
  <c r="BT23" i="1"/>
  <c r="BU23" i="1" s="1"/>
  <c r="BS20" i="1"/>
  <c r="BM20" i="1"/>
  <c r="BN20" i="1" s="1"/>
  <c r="BM19" i="1"/>
  <c r="BN19" i="1" s="1"/>
  <c r="BM24" i="1"/>
  <c r="BN24" i="1" s="1"/>
  <c r="BS24" i="1"/>
  <c r="BV24" i="1" s="1"/>
  <c r="BW24" i="1" s="1"/>
  <c r="BT25" i="1"/>
  <c r="BU25" i="1" s="1"/>
  <c r="BM16" i="1"/>
  <c r="BN16" i="1" s="1"/>
  <c r="BS16" i="1"/>
  <c r="BV16" i="1" s="1"/>
  <c r="BY16" i="1" s="1"/>
  <c r="BT19" i="1"/>
  <c r="BU19" i="1" s="1"/>
  <c r="BT17" i="1"/>
  <c r="BU17" i="1" s="1"/>
  <c r="BT20" i="1"/>
  <c r="BU20" i="1" s="1"/>
  <c r="BM28" i="1"/>
  <c r="BN28" i="1" s="1"/>
  <c r="BT31" i="1"/>
  <c r="BU31" i="1" s="1"/>
  <c r="BT18" i="1"/>
  <c r="BU18" i="1" s="1"/>
  <c r="BM23" i="1"/>
  <c r="BT26" i="1"/>
  <c r="BU26" i="1" s="1"/>
  <c r="BM31" i="1"/>
  <c r="BN31" i="1" s="1"/>
  <c r="BM18" i="1"/>
  <c r="BN18" i="1" s="1"/>
  <c r="BT21" i="1"/>
  <c r="BU21" i="1" s="1"/>
  <c r="BM26" i="1"/>
  <c r="BN26" i="1" s="1"/>
  <c r="BT29" i="1"/>
  <c r="BU29" i="1" s="1"/>
  <c r="BM34" i="1"/>
  <c r="BN34" i="1" s="1"/>
  <c r="BS30" i="1"/>
  <c r="BV30" i="1" s="1"/>
  <c r="BM27" i="1"/>
  <c r="BN27" i="1" s="1"/>
  <c r="FJ20" i="1"/>
  <c r="FJ19" i="1"/>
  <c r="FJ18" i="1"/>
  <c r="FJ17" i="1"/>
  <c r="FJ16" i="1"/>
  <c r="FJ15" i="1"/>
  <c r="FR34" i="1"/>
  <c r="GK34" i="1" s="1"/>
  <c r="FR33" i="1"/>
  <c r="GK33" i="1" s="1"/>
  <c r="FR32" i="1"/>
  <c r="GK32" i="1" s="1"/>
  <c r="FR31" i="1"/>
  <c r="GK31" i="1" s="1"/>
  <c r="FR30" i="1"/>
  <c r="GK30" i="1" s="1"/>
  <c r="FR29" i="1"/>
  <c r="GK29" i="1" s="1"/>
  <c r="EI34" i="1"/>
  <c r="FJ34" i="1" s="1"/>
  <c r="EI33" i="1"/>
  <c r="FJ33" i="1" s="1"/>
  <c r="EI32" i="1"/>
  <c r="FJ32" i="1" s="1"/>
  <c r="EI31" i="1"/>
  <c r="FJ31" i="1" s="1"/>
  <c r="EI30" i="1"/>
  <c r="FJ30" i="1" s="1"/>
  <c r="EI29" i="1"/>
  <c r="FJ29" i="1" s="1"/>
  <c r="GI22" i="1"/>
  <c r="GJ22" i="1" s="1"/>
  <c r="FX26" i="1"/>
  <c r="FR26" i="1"/>
  <c r="FX25" i="1"/>
  <c r="FR25" i="1"/>
  <c r="FX24" i="1"/>
  <c r="FR24" i="1"/>
  <c r="FX23" i="1"/>
  <c r="FR23" i="1"/>
  <c r="FX22" i="1"/>
  <c r="FR22" i="1"/>
  <c r="GI21" i="1"/>
  <c r="GJ21" i="1" s="1"/>
  <c r="FX21" i="1"/>
  <c r="GC22" i="1"/>
  <c r="GD22" i="1" s="1"/>
  <c r="GC21" i="1"/>
  <c r="GD21" i="1" s="1"/>
  <c r="GJ14" i="1"/>
  <c r="GD14" i="1"/>
  <c r="GJ13" i="1"/>
  <c r="GD13" i="1"/>
  <c r="GJ12" i="1"/>
  <c r="GD12" i="1"/>
  <c r="GJ11" i="1"/>
  <c r="GD11" i="1"/>
  <c r="GJ10" i="1"/>
  <c r="GD10" i="1"/>
  <c r="GJ9" i="1"/>
  <c r="GD9" i="1"/>
  <c r="FR21" i="1"/>
  <c r="FL20" i="1"/>
  <c r="GK20" i="1" s="1"/>
  <c r="FL19" i="1"/>
  <c r="GK19" i="1" s="1"/>
  <c r="FL18" i="1"/>
  <c r="GK18" i="1" s="1"/>
  <c r="FL17" i="1"/>
  <c r="GK17" i="1" s="1"/>
  <c r="FL16" i="1"/>
  <c r="GK16" i="1" s="1"/>
  <c r="FL15" i="1"/>
  <c r="GK15" i="1" s="1"/>
  <c r="FL14" i="1"/>
  <c r="FL13" i="1"/>
  <c r="FL12" i="1"/>
  <c r="FL11" i="1"/>
  <c r="FL10" i="1"/>
  <c r="FL9" i="1"/>
  <c r="GL34" i="1"/>
  <c r="GL33" i="1"/>
  <c r="GL32" i="1"/>
  <c r="GL31" i="1"/>
  <c r="GL30" i="1"/>
  <c r="GL29" i="1"/>
  <c r="GL28" i="1"/>
  <c r="GL27" i="1"/>
  <c r="GL26" i="1"/>
  <c r="GL25" i="1"/>
  <c r="GL24" i="1"/>
  <c r="GL23" i="1"/>
  <c r="GL22" i="1"/>
  <c r="GL21" i="1"/>
  <c r="GL20" i="1"/>
  <c r="GL19" i="1"/>
  <c r="GL18" i="1"/>
  <c r="GL17" i="1"/>
  <c r="GL16" i="1"/>
  <c r="GL15" i="1"/>
  <c r="FD26" i="1"/>
  <c r="FF26" i="1" s="1"/>
  <c r="FD25" i="1"/>
  <c r="FF25" i="1" s="1"/>
  <c r="FD24" i="1"/>
  <c r="FF24" i="1" s="1"/>
  <c r="FD23" i="1"/>
  <c r="FF23" i="1" s="1"/>
  <c r="FD22" i="1"/>
  <c r="FF22" i="1" s="1"/>
  <c r="FD21" i="1"/>
  <c r="FF21" i="1" s="1"/>
  <c r="EZ22" i="1"/>
  <c r="FA22" i="1" s="1"/>
  <c r="EZ21" i="1"/>
  <c r="FA21" i="1" s="1"/>
  <c r="ET22" i="1"/>
  <c r="EU22" i="1" s="1"/>
  <c r="ET21" i="1"/>
  <c r="EU21" i="1" s="1"/>
  <c r="FW28" i="1"/>
  <c r="FX28" i="1" s="1"/>
  <c r="FW27" i="1"/>
  <c r="FX27" i="1" s="1"/>
  <c r="FQ28" i="1"/>
  <c r="FR28" i="1" s="1"/>
  <c r="FQ27" i="1"/>
  <c r="FR27" i="1" s="1"/>
  <c r="FH28" i="1"/>
  <c r="FH27" i="1"/>
  <c r="FD28" i="1"/>
  <c r="FF28" i="1" s="1"/>
  <c r="FD27" i="1"/>
  <c r="FF27" i="1" s="1"/>
  <c r="BF24" i="11"/>
  <c r="BE14" i="11"/>
  <c r="BI25" i="11"/>
  <c r="BE43" i="11"/>
  <c r="BG10" i="11"/>
  <c r="BJ23" i="11"/>
  <c r="BC38" i="11"/>
  <c r="BI27" i="11"/>
  <c r="BK10" i="11"/>
  <c r="BK36" i="11"/>
  <c r="BE15" i="11"/>
  <c r="AS12" i="14"/>
  <c r="BI34" i="11"/>
  <c r="BK42" i="11"/>
  <c r="BG45" i="11"/>
  <c r="AS11" i="14"/>
  <c r="BJ13" i="11"/>
  <c r="BF15" i="11"/>
  <c r="BF43" i="11"/>
  <c r="BK39" i="11"/>
  <c r="BI43" i="11"/>
  <c r="BG12" i="11"/>
  <c r="CD13" i="11"/>
  <c r="BJ26" i="11"/>
  <c r="BI24" i="11"/>
  <c r="BK38" i="11"/>
  <c r="BG39" i="11"/>
  <c r="BJ15" i="11"/>
  <c r="BE25" i="11"/>
  <c r="BC45" i="11"/>
  <c r="BT37" i="11"/>
  <c r="BF13" i="11"/>
  <c r="BI14" i="11"/>
  <c r="BE13" i="11"/>
  <c r="BK40" i="11"/>
  <c r="BF14" i="11"/>
  <c r="BC12" i="11"/>
  <c r="BG42" i="11"/>
  <c r="CD11" i="11"/>
  <c r="BF26" i="11"/>
  <c r="BG40" i="11"/>
  <c r="BJ34" i="11"/>
  <c r="BV43" i="11"/>
  <c r="BC42" i="11"/>
  <c r="BW37" i="11"/>
  <c r="BJ24" i="11"/>
  <c r="BJ27" i="11"/>
  <c r="BE22" i="11"/>
  <c r="BI26" i="11"/>
  <c r="BJ22" i="11"/>
  <c r="BE26" i="11"/>
  <c r="BF25" i="11"/>
  <c r="BF23" i="11"/>
  <c r="BR37" i="11"/>
  <c r="BK46" i="11"/>
  <c r="BF27" i="11"/>
  <c r="BG11" i="11"/>
  <c r="BC39" i="11"/>
  <c r="BC11" i="11"/>
  <c r="BE23" i="11"/>
  <c r="BC40" i="11"/>
  <c r="BE34" i="11"/>
  <c r="BC46" i="11"/>
  <c r="BK47" i="11"/>
  <c r="BG36" i="11"/>
  <c r="AW11" i="14"/>
  <c r="AW10" i="14"/>
  <c r="BI35" i="11"/>
  <c r="BT15" i="11"/>
  <c r="BG47" i="11"/>
  <c r="BC10" i="11"/>
  <c r="BK45" i="11"/>
  <c r="BI13" i="11"/>
  <c r="BV22" i="11"/>
  <c r="BJ43" i="11"/>
  <c r="BE35" i="11"/>
  <c r="BC47" i="11"/>
  <c r="AZ11" i="14"/>
  <c r="BJ25" i="11"/>
  <c r="BW35" i="11"/>
  <c r="BE27" i="11"/>
  <c r="BI22" i="11"/>
  <c r="BJ35" i="11"/>
  <c r="BT24" i="11"/>
  <c r="BJ14" i="11"/>
  <c r="BF22" i="11"/>
  <c r="BC36" i="11"/>
  <c r="BF35" i="11"/>
  <c r="BE24" i="11"/>
  <c r="AW12" i="14"/>
  <c r="BF34" i="11"/>
  <c r="BG46" i="11"/>
  <c r="BG38" i="11"/>
  <c r="AS10" i="14"/>
  <c r="BI23" i="11"/>
  <c r="CD14" i="11"/>
  <c r="BV34" i="11"/>
  <c r="CD15" i="11"/>
  <c r="AI11" i="11" l="1"/>
  <c r="AX12" i="14"/>
  <c r="AT12" i="14"/>
  <c r="AX11" i="14"/>
  <c r="AT11" i="14"/>
  <c r="AX10" i="14"/>
  <c r="AT10" i="14"/>
  <c r="BD11" i="11"/>
  <c r="BO11" i="11" s="1"/>
  <c r="BH11" i="11"/>
  <c r="AN12" i="14"/>
  <c r="AM12" i="14"/>
  <c r="AN11" i="14"/>
  <c r="AM11" i="14"/>
  <c r="AM10" i="14"/>
  <c r="AN10" i="14"/>
  <c r="AJ12" i="11"/>
  <c r="AI12" i="11"/>
  <c r="AJ40" i="11"/>
  <c r="AI40" i="11"/>
  <c r="AJ39" i="11"/>
  <c r="AI39" i="11"/>
  <c r="AJ47" i="11"/>
  <c r="AI47" i="11"/>
  <c r="CE14" i="11"/>
  <c r="CE15" i="11"/>
  <c r="CE13" i="11"/>
  <c r="BS37" i="11"/>
  <c r="BU37" i="11"/>
  <c r="BX37" i="11"/>
  <c r="BZ37" i="11"/>
  <c r="CA37" i="11" s="1"/>
  <c r="BX35" i="11"/>
  <c r="BN43" i="11"/>
  <c r="BU24" i="11"/>
  <c r="BN24" i="11"/>
  <c r="BP24" i="11"/>
  <c r="BO24" i="11"/>
  <c r="BU15" i="11"/>
  <c r="BH12" i="11"/>
  <c r="BD12" i="11"/>
  <c r="BP43" i="11"/>
  <c r="BL45" i="11"/>
  <c r="BD45" i="11"/>
  <c r="BH45" i="11"/>
  <c r="BL46" i="11"/>
  <c r="BD46" i="11"/>
  <c r="BH46" i="11"/>
  <c r="BL42" i="11"/>
  <c r="BH42" i="11"/>
  <c r="BD42" i="11"/>
  <c r="BL47" i="11"/>
  <c r="BD47" i="11"/>
  <c r="BH47" i="11"/>
  <c r="BO43" i="11"/>
  <c r="AG44" i="11"/>
  <c r="AE44" i="11"/>
  <c r="AF47" i="11"/>
  <c r="AO47" i="11"/>
  <c r="AO41" i="11"/>
  <c r="BN35" i="11"/>
  <c r="BO35" i="11"/>
  <c r="BP14" i="11"/>
  <c r="BN27" i="11"/>
  <c r="BN14" i="11"/>
  <c r="BP35" i="11"/>
  <c r="BO14" i="11"/>
  <c r="BN15" i="11"/>
  <c r="BP27" i="11"/>
  <c r="CB27" i="11"/>
  <c r="BP25" i="11"/>
  <c r="BO27" i="11"/>
  <c r="BP15" i="11"/>
  <c r="BO15" i="11"/>
  <c r="BO25" i="11"/>
  <c r="BP26" i="11"/>
  <c r="BL40" i="11"/>
  <c r="BL39" i="11"/>
  <c r="BL38" i="11"/>
  <c r="BL10" i="11"/>
  <c r="BL36" i="11"/>
  <c r="BP34" i="11"/>
  <c r="BP13" i="11"/>
  <c r="BO23" i="11"/>
  <c r="BP23" i="11"/>
  <c r="BO22" i="11"/>
  <c r="BP22" i="11"/>
  <c r="BO26" i="11"/>
  <c r="BO34" i="11"/>
  <c r="BO13" i="11"/>
  <c r="BN13" i="11"/>
  <c r="BH10" i="11"/>
  <c r="BD10" i="11"/>
  <c r="BH38" i="11"/>
  <c r="BH40" i="11"/>
  <c r="BH36" i="11"/>
  <c r="BH39" i="11"/>
  <c r="BD40" i="11"/>
  <c r="BD38" i="11"/>
  <c r="BD39" i="11"/>
  <c r="BD36" i="11"/>
  <c r="AG38" i="11"/>
  <c r="AE41" i="11"/>
  <c r="BO22" i="1"/>
  <c r="BP22" i="1" s="1"/>
  <c r="BW19" i="1"/>
  <c r="BX19" i="1" s="1"/>
  <c r="BW33" i="1"/>
  <c r="BX33" i="1" s="1"/>
  <c r="BW27" i="1"/>
  <c r="BO21" i="1"/>
  <c r="BP21" i="1" s="1"/>
  <c r="BQ29" i="1"/>
  <c r="BW18" i="1"/>
  <c r="BW17" i="1"/>
  <c r="BX17" i="1" s="1"/>
  <c r="BW22" i="1"/>
  <c r="BW25" i="1"/>
  <c r="BW29" i="1"/>
  <c r="BY29" i="1"/>
  <c r="BW23" i="1"/>
  <c r="BX23" i="1" s="1"/>
  <c r="BY23" i="1"/>
  <c r="BW30" i="1"/>
  <c r="BX30" i="1" s="1"/>
  <c r="BV20" i="1"/>
  <c r="BW20" i="1" s="1"/>
  <c r="BX20" i="1" s="1"/>
  <c r="BO17" i="1"/>
  <c r="BQ17" i="1" s="1"/>
  <c r="BY19" i="1"/>
  <c r="BY31" i="1"/>
  <c r="BY34" i="1"/>
  <c r="BY26" i="1"/>
  <c r="BQ25" i="1"/>
  <c r="BY25" i="1" s="1"/>
  <c r="BY17" i="1"/>
  <c r="BW28" i="1"/>
  <c r="BW31" i="1"/>
  <c r="BX31" i="1" s="1"/>
  <c r="BW34" i="1"/>
  <c r="BW26" i="1"/>
  <c r="BX26" i="1" s="1"/>
  <c r="BY30" i="1"/>
  <c r="BY28" i="1"/>
  <c r="BY33" i="1"/>
  <c r="BV21" i="1"/>
  <c r="BW21" i="1" s="1"/>
  <c r="BQ21" i="1"/>
  <c r="BV32" i="1"/>
  <c r="BW32" i="1" s="1"/>
  <c r="BX32" i="1" s="1"/>
  <c r="BO33" i="1"/>
  <c r="BO28" i="1"/>
  <c r="GM32" i="1"/>
  <c r="GN32" i="1"/>
  <c r="BX34" i="1"/>
  <c r="BO27" i="1"/>
  <c r="GM30" i="1"/>
  <c r="BO20" i="1"/>
  <c r="BP20" i="1" s="1"/>
  <c r="BO26" i="1"/>
  <c r="GK24" i="1"/>
  <c r="GN24" i="1" s="1"/>
  <c r="BO24" i="1"/>
  <c r="BP24" i="1" s="1"/>
  <c r="BN29" i="1"/>
  <c r="BP29" i="1" s="1"/>
  <c r="BN25" i="1"/>
  <c r="BP25" i="1" s="1"/>
  <c r="GK26" i="1"/>
  <c r="GN26" i="1" s="1"/>
  <c r="BO30" i="1"/>
  <c r="BP30" i="1" s="1"/>
  <c r="BO32" i="1"/>
  <c r="BP32" i="1" s="1"/>
  <c r="GK27" i="1"/>
  <c r="GN27" i="1" s="1"/>
  <c r="BX29" i="1"/>
  <c r="BY24" i="1"/>
  <c r="BX24" i="1"/>
  <c r="BX28" i="1"/>
  <c r="BO18" i="1"/>
  <c r="BQ18" i="1" s="1"/>
  <c r="BO34" i="1"/>
  <c r="BP34" i="1" s="1"/>
  <c r="BO19" i="1"/>
  <c r="BQ19" i="1" s="1"/>
  <c r="BW16" i="1"/>
  <c r="BX16" i="1" s="1"/>
  <c r="BO31" i="1"/>
  <c r="BP31" i="1" s="1"/>
  <c r="BX21" i="1"/>
  <c r="BO16" i="1"/>
  <c r="BP16" i="1" s="1"/>
  <c r="BN23" i="1"/>
  <c r="BO23" i="1"/>
  <c r="BQ23" i="1" s="1"/>
  <c r="BX27" i="1"/>
  <c r="GK28" i="1"/>
  <c r="GN28" i="1" s="1"/>
  <c r="GK25" i="1"/>
  <c r="GN25" i="1" s="1"/>
  <c r="GN33" i="1"/>
  <c r="GN30" i="1"/>
  <c r="GK23" i="1"/>
  <c r="GN23" i="1" s="1"/>
  <c r="GM16" i="1"/>
  <c r="GM33" i="1"/>
  <c r="GN34" i="1"/>
  <c r="GN29" i="1"/>
  <c r="GK22" i="1"/>
  <c r="GN22" i="1" s="1"/>
  <c r="GK21" i="1"/>
  <c r="GN21" i="1" s="1"/>
  <c r="GN31" i="1"/>
  <c r="GN15" i="1"/>
  <c r="GN16" i="1"/>
  <c r="GN17" i="1"/>
  <c r="GN19" i="1"/>
  <c r="GN20" i="1"/>
  <c r="GM18" i="1"/>
  <c r="GM17" i="1"/>
  <c r="GM34" i="1"/>
  <c r="GM15" i="1"/>
  <c r="GM20" i="1"/>
  <c r="GM19" i="1"/>
  <c r="GM29" i="1"/>
  <c r="GN18" i="1"/>
  <c r="GM31" i="1"/>
  <c r="AY12" i="14"/>
  <c r="BR12" i="11"/>
  <c r="BI45" i="11"/>
  <c r="BF46" i="11"/>
  <c r="BJ39" i="11"/>
  <c r="BW34" i="11"/>
  <c r="BF10" i="11"/>
  <c r="BF36" i="11"/>
  <c r="BR34" i="11"/>
  <c r="BJ47" i="11"/>
  <c r="BE12" i="11"/>
  <c r="BR22" i="11"/>
  <c r="BF12" i="11"/>
  <c r="BJ42" i="11"/>
  <c r="BE38" i="11"/>
  <c r="AV12" i="14"/>
  <c r="BT47" i="11"/>
  <c r="BE10" i="11"/>
  <c r="BE47" i="11"/>
  <c r="AU10" i="14"/>
  <c r="BR11" i="11"/>
  <c r="BE42" i="11"/>
  <c r="BW43" i="11"/>
  <c r="BE45" i="11"/>
  <c r="BT14" i="11"/>
  <c r="AV10" i="14"/>
  <c r="BT10" i="11"/>
  <c r="BI11" i="11"/>
  <c r="AY10" i="14"/>
  <c r="BI38" i="11"/>
  <c r="BF11" i="11"/>
  <c r="BJ12" i="11"/>
  <c r="BT22" i="11"/>
  <c r="BJ38" i="11"/>
  <c r="BE39" i="11"/>
  <c r="BT13" i="11"/>
  <c r="BW22" i="11"/>
  <c r="AZ12" i="14"/>
  <c r="BR23" i="11"/>
  <c r="CD12" i="11"/>
  <c r="BJ11" i="11"/>
  <c r="BI42" i="11"/>
  <c r="AU11" i="14"/>
  <c r="BT26" i="11"/>
  <c r="BE46" i="11"/>
  <c r="BI10" i="11"/>
  <c r="BE11" i="11"/>
  <c r="BI40" i="11"/>
  <c r="BR35" i="11"/>
  <c r="BT25" i="11"/>
  <c r="BI36" i="11"/>
  <c r="AY11" i="14"/>
  <c r="BR25" i="11"/>
  <c r="BF42" i="11"/>
  <c r="BF45" i="11"/>
  <c r="AU12" i="14"/>
  <c r="BJ45" i="11"/>
  <c r="BR26" i="11"/>
  <c r="BR13" i="11"/>
  <c r="BJ10" i="11"/>
  <c r="AV11" i="14"/>
  <c r="BT23" i="11"/>
  <c r="BI39" i="11"/>
  <c r="BR24" i="11"/>
  <c r="BE40" i="11"/>
  <c r="AZ10" i="14"/>
  <c r="BJ40" i="11"/>
  <c r="BR14" i="11"/>
  <c r="BR15" i="11"/>
  <c r="BT34" i="11"/>
  <c r="BF38" i="11"/>
  <c r="BJ36" i="11"/>
  <c r="BJ46" i="11"/>
  <c r="BT11" i="11"/>
  <c r="BI46" i="11"/>
  <c r="BR43" i="11"/>
  <c r="BT43" i="11"/>
  <c r="BI47" i="11"/>
  <c r="BF47" i="11"/>
  <c r="BT35" i="11"/>
  <c r="BN11" i="11" l="1"/>
  <c r="BP11" i="11"/>
  <c r="CE11" i="11"/>
  <c r="BS34" i="11"/>
  <c r="BU13" i="11"/>
  <c r="BQ22" i="1"/>
  <c r="BR22" i="1" s="1"/>
  <c r="BS23" i="11"/>
  <c r="BU14" i="11"/>
  <c r="BU22" i="11"/>
  <c r="BU43" i="11"/>
  <c r="BZ24" i="11"/>
  <c r="CA24" i="11" s="1"/>
  <c r="BS24" i="11"/>
  <c r="BS43" i="11"/>
  <c r="CE12" i="11"/>
  <c r="BU35" i="11"/>
  <c r="BU34" i="11"/>
  <c r="BS26" i="11"/>
  <c r="BS22" i="11"/>
  <c r="BZ14" i="11"/>
  <c r="CB14" i="11" s="1"/>
  <c r="BS14" i="11"/>
  <c r="BS15" i="11"/>
  <c r="BZ15" i="11"/>
  <c r="CA15" i="11" s="1"/>
  <c r="BS13" i="11"/>
  <c r="BZ13" i="11"/>
  <c r="CA13" i="11" s="1"/>
  <c r="BZ26" i="11"/>
  <c r="CB26" i="11" s="1"/>
  <c r="BU26" i="11"/>
  <c r="BZ35" i="11"/>
  <c r="CB35" i="11" s="1"/>
  <c r="BS35" i="11"/>
  <c r="BU25" i="11"/>
  <c r="BS25" i="11"/>
  <c r="BZ25" i="11"/>
  <c r="CB25" i="11" s="1"/>
  <c r="BU23" i="11"/>
  <c r="BZ23" i="11"/>
  <c r="CB23" i="11" s="1"/>
  <c r="BZ11" i="11"/>
  <c r="CA11" i="11" s="1"/>
  <c r="BS11" i="11"/>
  <c r="BU11" i="11"/>
  <c r="CB37" i="11"/>
  <c r="BZ22" i="11"/>
  <c r="CB22" i="11" s="1"/>
  <c r="BX22" i="11"/>
  <c r="BX43" i="11"/>
  <c r="BZ43" i="11"/>
  <c r="BZ34" i="11"/>
  <c r="CB34" i="11" s="1"/>
  <c r="BX34" i="11"/>
  <c r="BI12" i="11"/>
  <c r="BR10" i="11"/>
  <c r="BR47" i="11"/>
  <c r="BV47" i="11"/>
  <c r="BF40" i="11"/>
  <c r="BT38" i="11"/>
  <c r="BT46" i="11"/>
  <c r="BV46" i="11"/>
  <c r="BV36" i="11"/>
  <c r="BR42" i="11"/>
  <c r="BF39" i="11"/>
  <c r="BV10" i="11"/>
  <c r="BT39" i="11"/>
  <c r="BC41" i="11"/>
  <c r="BG41" i="11"/>
  <c r="BK44" i="11"/>
  <c r="BV38" i="11"/>
  <c r="BV40" i="11"/>
  <c r="BR38" i="11"/>
  <c r="BV42" i="11"/>
  <c r="BT42" i="11"/>
  <c r="BT40" i="11"/>
  <c r="BR46" i="11"/>
  <c r="BR39" i="11"/>
  <c r="BT36" i="11"/>
  <c r="BT45" i="11"/>
  <c r="BR45" i="11"/>
  <c r="BC44" i="11"/>
  <c r="BG44" i="11"/>
  <c r="BV45" i="11"/>
  <c r="BV39" i="11"/>
  <c r="BE36" i="11"/>
  <c r="BK41" i="11"/>
  <c r="BR40" i="11"/>
  <c r="BU38" i="11" l="1"/>
  <c r="BU42" i="11"/>
  <c r="BU40" i="11"/>
  <c r="BS42" i="11"/>
  <c r="BU39" i="11"/>
  <c r="CB24" i="11"/>
  <c r="BU36" i="11"/>
  <c r="BU10" i="11"/>
  <c r="BU46" i="11"/>
  <c r="BS45" i="11"/>
  <c r="CB11" i="11"/>
  <c r="CA35" i="11"/>
  <c r="BS10" i="11"/>
  <c r="CB15" i="11"/>
  <c r="BS12" i="11"/>
  <c r="BR29" i="1"/>
  <c r="BS39" i="11"/>
  <c r="CB13" i="11"/>
  <c r="CA14" i="11"/>
  <c r="BN12" i="11"/>
  <c r="BO12" i="11"/>
  <c r="BP12" i="11"/>
  <c r="BO42" i="11"/>
  <c r="BO47" i="11"/>
  <c r="BN42" i="11"/>
  <c r="BP42" i="11"/>
  <c r="BP46" i="11"/>
  <c r="BP45" i="11"/>
  <c r="BO45" i="11"/>
  <c r="BL44" i="11"/>
  <c r="BD44" i="11"/>
  <c r="BH44" i="11"/>
  <c r="BO46" i="11"/>
  <c r="BS46" i="11"/>
  <c r="BN46" i="11"/>
  <c r="BU45" i="11"/>
  <c r="BP47" i="11"/>
  <c r="BN45" i="11"/>
  <c r="BU47" i="11"/>
  <c r="BS47" i="11"/>
  <c r="CA43" i="11"/>
  <c r="CB43" i="11"/>
  <c r="BP40" i="11"/>
  <c r="BP39" i="11"/>
  <c r="BS40" i="11"/>
  <c r="BP38" i="11"/>
  <c r="BS38" i="11"/>
  <c r="BL41" i="11"/>
  <c r="BP36" i="11"/>
  <c r="BP10" i="11"/>
  <c r="BO10" i="11"/>
  <c r="BO36" i="11"/>
  <c r="BN36" i="11"/>
  <c r="BO39" i="11"/>
  <c r="BN39" i="11"/>
  <c r="BO38" i="11"/>
  <c r="BN38" i="11"/>
  <c r="BN40" i="11"/>
  <c r="BO40" i="11"/>
  <c r="BH41" i="11"/>
  <c r="BD41" i="11"/>
  <c r="BQ32" i="1"/>
  <c r="BR32" i="1" s="1"/>
  <c r="BQ20" i="1"/>
  <c r="BR20" i="1" s="1"/>
  <c r="BP17" i="1"/>
  <c r="BR17" i="1" s="1"/>
  <c r="BR21" i="1"/>
  <c r="BQ31" i="1"/>
  <c r="BR31" i="1" s="1"/>
  <c r="BQ16" i="1"/>
  <c r="BR16" i="1" s="1"/>
  <c r="BY21" i="1"/>
  <c r="BP26" i="1"/>
  <c r="BQ26" i="1"/>
  <c r="BR26" i="1" s="1"/>
  <c r="BP33" i="1"/>
  <c r="BQ33" i="1"/>
  <c r="BQ30" i="1"/>
  <c r="BR30" i="1" s="1"/>
  <c r="BY20" i="1"/>
  <c r="BQ24" i="1"/>
  <c r="BR24" i="1" s="1"/>
  <c r="BY32" i="1"/>
  <c r="BQ34" i="1"/>
  <c r="BR34" i="1" s="1"/>
  <c r="BR25" i="1"/>
  <c r="BX25" i="1" s="1"/>
  <c r="BP28" i="1"/>
  <c r="BQ28" i="1"/>
  <c r="BP27" i="1"/>
  <c r="BQ27" i="1"/>
  <c r="GO30" i="1"/>
  <c r="GO32" i="1"/>
  <c r="GO33" i="1"/>
  <c r="BP18" i="1"/>
  <c r="BR18" i="1" s="1"/>
  <c r="BP23" i="1"/>
  <c r="BR23" i="1" s="1"/>
  <c r="BY22" i="1"/>
  <c r="BX22" i="1"/>
  <c r="BP19" i="1"/>
  <c r="BR19" i="1" s="1"/>
  <c r="GO16" i="1"/>
  <c r="GO18" i="1"/>
  <c r="GO15" i="1"/>
  <c r="GO34" i="1"/>
  <c r="GO29" i="1"/>
  <c r="GO31" i="1"/>
  <c r="GO17" i="1"/>
  <c r="GO19" i="1"/>
  <c r="GO20" i="1"/>
  <c r="BW38" i="11"/>
  <c r="BF41" i="11"/>
  <c r="BW47" i="11"/>
  <c r="BW45" i="11"/>
  <c r="BT41" i="11"/>
  <c r="BJ44" i="11"/>
  <c r="BE41" i="11"/>
  <c r="BW40" i="11"/>
  <c r="BE44" i="11"/>
  <c r="BW10" i="11"/>
  <c r="BW42" i="11"/>
  <c r="BR36" i="11"/>
  <c r="BI41" i="11"/>
  <c r="BT12" i="11"/>
  <c r="BJ41" i="11"/>
  <c r="BW46" i="11"/>
  <c r="BI44" i="11"/>
  <c r="BV44" i="11"/>
  <c r="BW36" i="11"/>
  <c r="BW39" i="11"/>
  <c r="BF44" i="11"/>
  <c r="BV41" i="11"/>
  <c r="BZ47" i="11" l="1"/>
  <c r="CB47" i="11" s="1"/>
  <c r="BX47" i="11"/>
  <c r="BZ12" i="11"/>
  <c r="CB12" i="11" s="1"/>
  <c r="BU12" i="11"/>
  <c r="BS36" i="11"/>
  <c r="BZ10" i="11"/>
  <c r="CB10" i="11" s="1"/>
  <c r="BX10" i="11"/>
  <c r="BX38" i="11"/>
  <c r="BZ38" i="11"/>
  <c r="CB38" i="11" s="1"/>
  <c r="BX46" i="11"/>
  <c r="BZ46" i="11"/>
  <c r="CB46" i="11" s="1"/>
  <c r="BZ40" i="11"/>
  <c r="CA40" i="11" s="1"/>
  <c r="BX40" i="11"/>
  <c r="BZ39" i="11"/>
  <c r="CA39" i="11" s="1"/>
  <c r="BX39" i="11"/>
  <c r="BZ45" i="11"/>
  <c r="CB45" i="11" s="1"/>
  <c r="BX45" i="11"/>
  <c r="BX42" i="11"/>
  <c r="BZ42" i="11"/>
  <c r="CA42" i="11" s="1"/>
  <c r="BZ36" i="11"/>
  <c r="CA36" i="11" s="1"/>
  <c r="BX36" i="11"/>
  <c r="BU41" i="11"/>
  <c r="BO44" i="11"/>
  <c r="BN44" i="11"/>
  <c r="BP44" i="11"/>
  <c r="BP41" i="11"/>
  <c r="BO41" i="11"/>
  <c r="BR33" i="1"/>
  <c r="BR28" i="1"/>
  <c r="BR27" i="1"/>
  <c r="BY18" i="1"/>
  <c r="BX18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2" i="1"/>
  <c r="HM21" i="1"/>
  <c r="HM20" i="1"/>
  <c r="HM19" i="1"/>
  <c r="HM18" i="1"/>
  <c r="HM17" i="1"/>
  <c r="HM16" i="1"/>
  <c r="J34" i="1"/>
  <c r="HL34" i="1" s="1"/>
  <c r="J33" i="1"/>
  <c r="HL33" i="1" s="1"/>
  <c r="J32" i="1"/>
  <c r="HL32" i="1" s="1"/>
  <c r="J31" i="1"/>
  <c r="HL31" i="1" s="1"/>
  <c r="J30" i="1"/>
  <c r="HL30" i="1" s="1"/>
  <c r="J29" i="1"/>
  <c r="HL29" i="1" s="1"/>
  <c r="J28" i="1"/>
  <c r="HL28" i="1" s="1"/>
  <c r="J27" i="1"/>
  <c r="HL27" i="1" s="1"/>
  <c r="J26" i="1"/>
  <c r="HL26" i="1" s="1"/>
  <c r="J25" i="1"/>
  <c r="HL25" i="1" s="1"/>
  <c r="J24" i="1"/>
  <c r="HL24" i="1" s="1"/>
  <c r="J23" i="1"/>
  <c r="HL23" i="1" s="1"/>
  <c r="J22" i="1"/>
  <c r="HL22" i="1" s="1"/>
  <c r="J21" i="1"/>
  <c r="HL21" i="1" s="1"/>
  <c r="J20" i="1"/>
  <c r="HL20" i="1" s="1"/>
  <c r="J19" i="1"/>
  <c r="HL19" i="1" s="1"/>
  <c r="J18" i="1"/>
  <c r="HL18" i="1" s="1"/>
  <c r="J17" i="1"/>
  <c r="HL17" i="1" s="1"/>
  <c r="J16" i="1"/>
  <c r="HL16" i="1" s="1"/>
  <c r="J9" i="1"/>
  <c r="HL9" i="1" s="1"/>
  <c r="HM9" i="1"/>
  <c r="HM15" i="1"/>
  <c r="I14" i="1"/>
  <c r="HM14" i="1" s="1"/>
  <c r="I13" i="1"/>
  <c r="J13" i="1" s="1"/>
  <c r="HL13" i="1" s="1"/>
  <c r="I12" i="1"/>
  <c r="J12" i="1" s="1"/>
  <c r="HL12" i="1" s="1"/>
  <c r="I11" i="1"/>
  <c r="J11" i="1" s="1"/>
  <c r="HL11" i="1" s="1"/>
  <c r="I10" i="1"/>
  <c r="HM10" i="1" s="1"/>
  <c r="P28" i="1"/>
  <c r="AK28" i="1" s="1"/>
  <c r="P27" i="1"/>
  <c r="AK27" i="1" s="1"/>
  <c r="P26" i="1"/>
  <c r="AK26" i="1" s="1"/>
  <c r="P25" i="1"/>
  <c r="AK25" i="1" s="1"/>
  <c r="P24" i="1"/>
  <c r="AK24" i="1" s="1"/>
  <c r="P23" i="1"/>
  <c r="AK23" i="1" s="1"/>
  <c r="P22" i="1"/>
  <c r="AK22" i="1" s="1"/>
  <c r="P21" i="1"/>
  <c r="AK21" i="1" s="1"/>
  <c r="F34" i="1"/>
  <c r="F33" i="1"/>
  <c r="F32" i="1"/>
  <c r="F31" i="1"/>
  <c r="F30" i="1"/>
  <c r="F29" i="1"/>
  <c r="F26" i="1"/>
  <c r="F25" i="1"/>
  <c r="F24" i="1"/>
  <c r="F23" i="1"/>
  <c r="F22" i="1"/>
  <c r="F21" i="1"/>
  <c r="F20" i="1"/>
  <c r="F19" i="1"/>
  <c r="F18" i="1"/>
  <c r="F17" i="1"/>
  <c r="F16" i="1"/>
  <c r="F15" i="1"/>
  <c r="E28" i="1"/>
  <c r="F28" i="1" s="1"/>
  <c r="E27" i="1"/>
  <c r="F27" i="1" s="1"/>
  <c r="AT34" i="1"/>
  <c r="AT33" i="1"/>
  <c r="AT32" i="1"/>
  <c r="AT31" i="1"/>
  <c r="AT30" i="1"/>
  <c r="AT29" i="1"/>
  <c r="AT28" i="1"/>
  <c r="AU28" i="1" s="1"/>
  <c r="AT27" i="1"/>
  <c r="AU27" i="1" s="1"/>
  <c r="AT26" i="1"/>
  <c r="AT25" i="1"/>
  <c r="AT23" i="1"/>
  <c r="AT22" i="1"/>
  <c r="AT21" i="1"/>
  <c r="AT20" i="1"/>
  <c r="AT19" i="1"/>
  <c r="AT18" i="1"/>
  <c r="AT17" i="1"/>
  <c r="AT16" i="1"/>
  <c r="AT15" i="1"/>
  <c r="AT9" i="1"/>
  <c r="AR34" i="1"/>
  <c r="AS34" i="1" s="1"/>
  <c r="AQ34" i="1"/>
  <c r="AP34" i="1"/>
  <c r="AR33" i="1"/>
  <c r="AS33" i="1" s="1"/>
  <c r="AQ33" i="1"/>
  <c r="AP33" i="1"/>
  <c r="AR32" i="1"/>
  <c r="AS32" i="1" s="1"/>
  <c r="AQ32" i="1"/>
  <c r="AP32" i="1"/>
  <c r="AR31" i="1"/>
  <c r="AS31" i="1" s="1"/>
  <c r="AQ31" i="1"/>
  <c r="AP31" i="1"/>
  <c r="AR30" i="1"/>
  <c r="AS30" i="1" s="1"/>
  <c r="AQ30" i="1"/>
  <c r="AP30" i="1"/>
  <c r="AR29" i="1"/>
  <c r="AS29" i="1" s="1"/>
  <c r="AQ29" i="1"/>
  <c r="AP29" i="1"/>
  <c r="AR28" i="1"/>
  <c r="AS28" i="1" s="1"/>
  <c r="AQ28" i="1"/>
  <c r="AP28" i="1"/>
  <c r="AR27" i="1"/>
  <c r="AS27" i="1" s="1"/>
  <c r="AQ27" i="1"/>
  <c r="AP27" i="1"/>
  <c r="AR26" i="1"/>
  <c r="AS26" i="1" s="1"/>
  <c r="AQ26" i="1"/>
  <c r="AP26" i="1"/>
  <c r="AR25" i="1"/>
  <c r="AS25" i="1" s="1"/>
  <c r="AQ25" i="1"/>
  <c r="AP25" i="1"/>
  <c r="AQ24" i="1"/>
  <c r="AR23" i="1"/>
  <c r="AS23" i="1" s="1"/>
  <c r="AQ23" i="1"/>
  <c r="AP23" i="1"/>
  <c r="AR22" i="1"/>
  <c r="AS22" i="1" s="1"/>
  <c r="AQ22" i="1"/>
  <c r="AP22" i="1"/>
  <c r="AR21" i="1"/>
  <c r="AS21" i="1" s="1"/>
  <c r="AQ21" i="1"/>
  <c r="AP21" i="1"/>
  <c r="AR20" i="1"/>
  <c r="AS20" i="1" s="1"/>
  <c r="AQ20" i="1"/>
  <c r="AP20" i="1"/>
  <c r="AR19" i="1"/>
  <c r="AS19" i="1" s="1"/>
  <c r="AQ19" i="1"/>
  <c r="AP19" i="1"/>
  <c r="AR18" i="1"/>
  <c r="AS18" i="1" s="1"/>
  <c r="AQ18" i="1"/>
  <c r="AP18" i="1"/>
  <c r="AR17" i="1"/>
  <c r="AS17" i="1" s="1"/>
  <c r="AQ17" i="1"/>
  <c r="AP17" i="1"/>
  <c r="AR16" i="1"/>
  <c r="AS16" i="1" s="1"/>
  <c r="AQ16" i="1"/>
  <c r="AP16" i="1"/>
  <c r="AR9" i="1"/>
  <c r="AQ9" i="1"/>
  <c r="AP9" i="1"/>
  <c r="AQ15" i="1"/>
  <c r="AP15" i="1"/>
  <c r="BL15" i="1"/>
  <c r="BK15" i="1"/>
  <c r="BJ15" i="1"/>
  <c r="BI15" i="1"/>
  <c r="BH15" i="1"/>
  <c r="BL14" i="1"/>
  <c r="BH14" i="1"/>
  <c r="BH13" i="1"/>
  <c r="BL12" i="1"/>
  <c r="BJ9" i="1"/>
  <c r="BG15" i="1"/>
  <c r="BG9" i="1"/>
  <c r="BK9" i="1"/>
  <c r="BW44" i="11"/>
  <c r="BW41" i="11"/>
  <c r="BT44" i="11"/>
  <c r="BR41" i="11"/>
  <c r="BR44" i="11"/>
  <c r="CD10" i="11"/>
  <c r="BS41" i="11" l="1"/>
  <c r="BU44" i="11"/>
  <c r="CE10" i="11"/>
  <c r="CL10" i="11"/>
  <c r="CN10" i="11" s="1"/>
  <c r="BS44" i="11"/>
  <c r="CA12" i="11"/>
  <c r="CA38" i="11"/>
  <c r="CB36" i="11"/>
  <c r="CB40" i="11"/>
  <c r="CA45" i="11"/>
  <c r="CB39" i="11"/>
  <c r="BZ41" i="11"/>
  <c r="CB41" i="11" s="1"/>
  <c r="BX41" i="11"/>
  <c r="BZ44" i="11"/>
  <c r="CB44" i="11" s="1"/>
  <c r="BX44" i="11"/>
  <c r="CB42" i="11"/>
  <c r="CA46" i="11"/>
  <c r="HM11" i="1"/>
  <c r="HM12" i="1"/>
  <c r="J14" i="1"/>
  <c r="HL14" i="1" s="1"/>
  <c r="J15" i="1"/>
  <c r="HL15" i="1" s="1"/>
  <c r="J10" i="1"/>
  <c r="HL10" i="1" s="1"/>
  <c r="HM13" i="1"/>
  <c r="AW28" i="1"/>
  <c r="BM15" i="1"/>
  <c r="BN15" i="1" s="1"/>
  <c r="AW27" i="1"/>
  <c r="BS15" i="1"/>
  <c r="BV15" i="1" s="1"/>
  <c r="BY15" i="1" s="1"/>
  <c r="BT15" i="1"/>
  <c r="BU15" i="1" s="1"/>
  <c r="AV27" i="1"/>
  <c r="AV28" i="1"/>
  <c r="BL9" i="1"/>
  <c r="BI9" i="1"/>
  <c r="BH9" i="1"/>
  <c r="CA44" i="11" l="1"/>
  <c r="AX28" i="1"/>
  <c r="BO15" i="1"/>
  <c r="BQ15" i="1" s="1"/>
  <c r="AX27" i="1"/>
  <c r="BS9" i="1"/>
  <c r="BV9" i="1" s="1"/>
  <c r="BY9" i="1" s="1"/>
  <c r="BT9" i="1"/>
  <c r="BU9" i="1" s="1"/>
  <c r="BM9" i="1"/>
  <c r="BO9" i="1" s="1"/>
  <c r="BW15" i="1"/>
  <c r="BX15" i="1" s="1"/>
  <c r="GL9" i="1"/>
  <c r="FX14" i="1"/>
  <c r="FX13" i="1"/>
  <c r="FX12" i="1"/>
  <c r="FX11" i="1"/>
  <c r="FX10" i="1"/>
  <c r="FX9" i="1"/>
  <c r="FR14" i="1"/>
  <c r="FR13" i="1"/>
  <c r="FR12" i="1"/>
  <c r="FR11" i="1"/>
  <c r="FR10" i="1"/>
  <c r="FR9" i="1"/>
  <c r="FA14" i="1"/>
  <c r="FA13" i="1"/>
  <c r="FA12" i="1"/>
  <c r="FA11" i="1"/>
  <c r="FA10" i="1"/>
  <c r="FA9" i="1"/>
  <c r="EI11" i="1"/>
  <c r="EI9" i="1"/>
  <c r="EO11" i="1"/>
  <c r="EO9" i="1"/>
  <c r="EU13" i="1"/>
  <c r="EU12" i="1"/>
  <c r="EU11" i="1"/>
  <c r="EU10" i="1"/>
  <c r="EU9" i="1"/>
  <c r="ER14" i="1"/>
  <c r="EL14" i="1"/>
  <c r="EL13" i="1"/>
  <c r="EL12" i="1"/>
  <c r="EL10" i="1"/>
  <c r="EF14" i="1"/>
  <c r="EF13" i="1"/>
  <c r="EF12" i="1"/>
  <c r="EF10" i="1"/>
  <c r="ET14" i="1"/>
  <c r="ES14" i="1"/>
  <c r="EP14" i="1"/>
  <c r="EN14" i="1"/>
  <c r="EM14" i="1"/>
  <c r="EN13" i="1"/>
  <c r="EM13" i="1"/>
  <c r="EN12" i="1"/>
  <c r="EM12" i="1"/>
  <c r="EN10" i="1"/>
  <c r="EM10" i="1"/>
  <c r="EG14" i="1"/>
  <c r="EG13" i="1"/>
  <c r="EG12" i="1"/>
  <c r="EG10" i="1"/>
  <c r="EH14" i="1"/>
  <c r="EH13" i="1"/>
  <c r="EH12" i="1"/>
  <c r="EH10" i="1"/>
  <c r="EJ14" i="1"/>
  <c r="EJ13" i="1"/>
  <c r="EJ12" i="1"/>
  <c r="EJ10" i="1"/>
  <c r="ED14" i="1"/>
  <c r="ED13" i="1"/>
  <c r="ED12" i="1"/>
  <c r="ED10" i="1"/>
  <c r="DC14" i="1"/>
  <c r="DB14" i="1"/>
  <c r="DA14" i="1"/>
  <c r="CY14" i="1"/>
  <c r="CX14" i="1"/>
  <c r="CW14" i="1"/>
  <c r="CV14" i="1"/>
  <c r="CT14" i="1"/>
  <c r="CS14" i="1"/>
  <c r="CP14" i="1"/>
  <c r="CQ14" i="1"/>
  <c r="CR14" i="1"/>
  <c r="DE14" i="1"/>
  <c r="DF14" i="1"/>
  <c r="DG14" i="1"/>
  <c r="DH9" i="1"/>
  <c r="DH12" i="1" s="1"/>
  <c r="DH10" i="1"/>
  <c r="DH14" i="1" s="1"/>
  <c r="DD10" i="1"/>
  <c r="DD14" i="1" s="1"/>
  <c r="DD9" i="1"/>
  <c r="DD11" i="1" s="1"/>
  <c r="CZ9" i="1"/>
  <c r="CZ10" i="1"/>
  <c r="CZ14" i="1" s="1"/>
  <c r="G10" i="1"/>
  <c r="CR13" i="1"/>
  <c r="CQ13" i="1"/>
  <c r="CP13" i="1"/>
  <c r="CR12" i="1"/>
  <c r="CQ12" i="1"/>
  <c r="CP12" i="1"/>
  <c r="CR11" i="1"/>
  <c r="CQ11" i="1"/>
  <c r="CP11" i="1"/>
  <c r="DG13" i="1"/>
  <c r="DF13" i="1"/>
  <c r="DE13" i="1"/>
  <c r="DC13" i="1"/>
  <c r="DB13" i="1"/>
  <c r="DA13" i="1"/>
  <c r="CY13" i="1"/>
  <c r="CX13" i="1"/>
  <c r="CW13" i="1"/>
  <c r="CV13" i="1"/>
  <c r="CU13" i="1"/>
  <c r="CT13" i="1"/>
  <c r="CS13" i="1"/>
  <c r="DG12" i="1"/>
  <c r="DF12" i="1"/>
  <c r="DE12" i="1"/>
  <c r="DC12" i="1"/>
  <c r="DB12" i="1"/>
  <c r="DA12" i="1"/>
  <c r="CY12" i="1"/>
  <c r="CX12" i="1"/>
  <c r="CW12" i="1"/>
  <c r="CV12" i="1"/>
  <c r="CU12" i="1"/>
  <c r="CT12" i="1"/>
  <c r="CS12" i="1"/>
  <c r="DG11" i="1"/>
  <c r="DF11" i="1"/>
  <c r="DE11" i="1"/>
  <c r="DC11" i="1"/>
  <c r="DB11" i="1"/>
  <c r="DA11" i="1"/>
  <c r="CY11" i="1"/>
  <c r="CX11" i="1"/>
  <c r="CW11" i="1"/>
  <c r="CV11" i="1"/>
  <c r="CU11" i="1"/>
  <c r="CT11" i="1"/>
  <c r="CS11" i="1"/>
  <c r="CU10" i="1"/>
  <c r="CU14" i="1" s="1"/>
  <c r="CM14" i="1"/>
  <c r="CM13" i="1"/>
  <c r="CM12" i="1"/>
  <c r="CM11" i="1"/>
  <c r="CM10" i="1"/>
  <c r="CK14" i="1"/>
  <c r="CJ14" i="1"/>
  <c r="CI14" i="1"/>
  <c r="CK13" i="1"/>
  <c r="CJ13" i="1"/>
  <c r="CI13" i="1"/>
  <c r="CK12" i="1"/>
  <c r="CJ12" i="1"/>
  <c r="CI12" i="1"/>
  <c r="CK11" i="1"/>
  <c r="CJ11" i="1"/>
  <c r="CI11" i="1"/>
  <c r="CK10" i="1"/>
  <c r="CJ10" i="1"/>
  <c r="CI10" i="1"/>
  <c r="CG14" i="1"/>
  <c r="CF14" i="1"/>
  <c r="CE14" i="1"/>
  <c r="CG13" i="1"/>
  <c r="CF13" i="1"/>
  <c r="CE13" i="1"/>
  <c r="CG12" i="1"/>
  <c r="CF12" i="1"/>
  <c r="CE12" i="1"/>
  <c r="CG11" i="1"/>
  <c r="CF11" i="1"/>
  <c r="CE11" i="1"/>
  <c r="CG10" i="1"/>
  <c r="CF10" i="1"/>
  <c r="CE10" i="1"/>
  <c r="CB14" i="1"/>
  <c r="CA14" i="1"/>
  <c r="CB13" i="1"/>
  <c r="CA13" i="1"/>
  <c r="CB12" i="1"/>
  <c r="CA12" i="1"/>
  <c r="CB11" i="1"/>
  <c r="CA11" i="1"/>
  <c r="CB10" i="1"/>
  <c r="CA10" i="1"/>
  <c r="AY13" i="1"/>
  <c r="BL13" i="1" s="1"/>
  <c r="AY11" i="1"/>
  <c r="BL11" i="1" s="1"/>
  <c r="AY10" i="1"/>
  <c r="BL10" i="1" s="1"/>
  <c r="BE14" i="1"/>
  <c r="HX14" i="1" s="1"/>
  <c r="BD14" i="1"/>
  <c r="HW14" i="1" s="1"/>
  <c r="BB14" i="1"/>
  <c r="HU14" i="1" s="1"/>
  <c r="BE13" i="1"/>
  <c r="HX13" i="1" s="1"/>
  <c r="BD13" i="1"/>
  <c r="HW13" i="1" s="1"/>
  <c r="BB13" i="1"/>
  <c r="HU13" i="1" s="1"/>
  <c r="BE12" i="1"/>
  <c r="HX12" i="1" s="1"/>
  <c r="BD12" i="1"/>
  <c r="HW12" i="1" s="1"/>
  <c r="BB12" i="1"/>
  <c r="HU12" i="1" s="1"/>
  <c r="BE11" i="1"/>
  <c r="BD11" i="1"/>
  <c r="BB11" i="1"/>
  <c r="BE10" i="1"/>
  <c r="BD10" i="1"/>
  <c r="BB10" i="1"/>
  <c r="AO14" i="1"/>
  <c r="AN14" i="1"/>
  <c r="AM14" i="1"/>
  <c r="AL14" i="1"/>
  <c r="AK14" i="1"/>
  <c r="AI14" i="1"/>
  <c r="AH14" i="1"/>
  <c r="AO13" i="1"/>
  <c r="AN13" i="1"/>
  <c r="AM13" i="1"/>
  <c r="AL13" i="1"/>
  <c r="BJ13" i="1" s="1"/>
  <c r="AK13" i="1"/>
  <c r="AI13" i="1"/>
  <c r="AH13" i="1"/>
  <c r="AO12" i="1"/>
  <c r="AN12" i="1"/>
  <c r="AM12" i="1"/>
  <c r="AL12" i="1"/>
  <c r="BJ12" i="1" s="1"/>
  <c r="AK12" i="1"/>
  <c r="AI12" i="1"/>
  <c r="AH12" i="1"/>
  <c r="AO11" i="1"/>
  <c r="AN11" i="1"/>
  <c r="AM11" i="1"/>
  <c r="AL11" i="1"/>
  <c r="BJ11" i="1" s="1"/>
  <c r="AK11" i="1"/>
  <c r="AI11" i="1"/>
  <c r="AH11" i="1"/>
  <c r="AO10" i="1"/>
  <c r="AN10" i="1"/>
  <c r="AM10" i="1"/>
  <c r="AL10" i="1"/>
  <c r="BJ10" i="1" s="1"/>
  <c r="AK10" i="1"/>
  <c r="AI10" i="1"/>
  <c r="AH10" i="1"/>
  <c r="AE10" i="1"/>
  <c r="BI10" i="1" s="1"/>
  <c r="AD10" i="1"/>
  <c r="BH10" i="1" s="1"/>
  <c r="AC10" i="1"/>
  <c r="Y10" i="1"/>
  <c r="AE14" i="1"/>
  <c r="AB14" i="1"/>
  <c r="AA14" i="1"/>
  <c r="BG14" i="1" s="1"/>
  <c r="Z14" i="1"/>
  <c r="AE13" i="1"/>
  <c r="BI13" i="1" s="1"/>
  <c r="AB13" i="1"/>
  <c r="AA13" i="1"/>
  <c r="BG13" i="1" s="1"/>
  <c r="Z13" i="1"/>
  <c r="AE12" i="1"/>
  <c r="BI12" i="1" s="1"/>
  <c r="AD12" i="1"/>
  <c r="BH12" i="1" s="1"/>
  <c r="AC12" i="1"/>
  <c r="AB12" i="1"/>
  <c r="AA12" i="1"/>
  <c r="BG12" i="1" s="1"/>
  <c r="Z12" i="1"/>
  <c r="Y12" i="1"/>
  <c r="AE11" i="1"/>
  <c r="BI11" i="1" s="1"/>
  <c r="AD11" i="1"/>
  <c r="BH11" i="1" s="1"/>
  <c r="AC11" i="1"/>
  <c r="AB11" i="1"/>
  <c r="AA11" i="1"/>
  <c r="BG11" i="1" s="1"/>
  <c r="Z11" i="1"/>
  <c r="Y11" i="1"/>
  <c r="AB10" i="1"/>
  <c r="AA10" i="1"/>
  <c r="BG10" i="1" s="1"/>
  <c r="Z10" i="1"/>
  <c r="W14" i="1"/>
  <c r="V14" i="1"/>
  <c r="W13" i="1"/>
  <c r="V13" i="1"/>
  <c r="W12" i="1"/>
  <c r="V12" i="1"/>
  <c r="W11" i="1"/>
  <c r="V11" i="1"/>
  <c r="W10" i="1"/>
  <c r="V10" i="1"/>
  <c r="S14" i="1"/>
  <c r="R14" i="1"/>
  <c r="Q14" i="1"/>
  <c r="P14" i="1"/>
  <c r="O14" i="1"/>
  <c r="N14" i="1"/>
  <c r="M14" i="1"/>
  <c r="L14" i="1"/>
  <c r="GL14" i="1" s="1"/>
  <c r="H14" i="1"/>
  <c r="G14" i="1"/>
  <c r="JH14" i="1" s="1"/>
  <c r="D14" i="1"/>
  <c r="S13" i="1"/>
  <c r="R13" i="1"/>
  <c r="Q13" i="1"/>
  <c r="P13" i="1"/>
  <c r="O13" i="1"/>
  <c r="N13" i="1"/>
  <c r="M13" i="1"/>
  <c r="L13" i="1"/>
  <c r="GL13" i="1" s="1"/>
  <c r="H13" i="1"/>
  <c r="HK13" i="1" s="1"/>
  <c r="G13" i="1"/>
  <c r="JH13" i="1" s="1"/>
  <c r="D13" i="1"/>
  <c r="S12" i="1"/>
  <c r="R12" i="1"/>
  <c r="Q12" i="1"/>
  <c r="P12" i="1"/>
  <c r="O12" i="1"/>
  <c r="N12" i="1"/>
  <c r="M12" i="1"/>
  <c r="L12" i="1"/>
  <c r="GL12" i="1" s="1"/>
  <c r="H12" i="1"/>
  <c r="G12" i="1"/>
  <c r="JH12" i="1" s="1"/>
  <c r="D12" i="1"/>
  <c r="S11" i="1"/>
  <c r="R11" i="1"/>
  <c r="Q11" i="1"/>
  <c r="P11" i="1"/>
  <c r="O11" i="1"/>
  <c r="N11" i="1"/>
  <c r="M11" i="1"/>
  <c r="L11" i="1"/>
  <c r="GL11" i="1" s="1"/>
  <c r="H11" i="1"/>
  <c r="G11" i="1"/>
  <c r="D11" i="1"/>
  <c r="S10" i="1"/>
  <c r="R10" i="1"/>
  <c r="Q10" i="1"/>
  <c r="P10" i="1"/>
  <c r="O10" i="1"/>
  <c r="N10" i="1"/>
  <c r="M10" i="1"/>
  <c r="L10" i="1"/>
  <c r="GL10" i="1" s="1"/>
  <c r="H10" i="1"/>
  <c r="D10" i="1"/>
  <c r="HO14" i="1"/>
  <c r="HO12" i="1"/>
  <c r="GK11" i="1" l="1"/>
  <c r="FJ11" i="1"/>
  <c r="GM11" i="1" s="1"/>
  <c r="GK10" i="1"/>
  <c r="GN10" i="1" s="1"/>
  <c r="FJ9" i="1"/>
  <c r="GM9" i="1" s="1"/>
  <c r="GK9" i="1"/>
  <c r="GN9" i="1" s="1"/>
  <c r="GK13" i="1"/>
  <c r="GN13" i="1" s="1"/>
  <c r="GK12" i="1"/>
  <c r="GN12" i="1" s="1"/>
  <c r="GK14" i="1"/>
  <c r="GN14" i="1" s="1"/>
  <c r="BW9" i="1"/>
  <c r="BX9" i="1" s="1"/>
  <c r="BP15" i="1"/>
  <c r="BR15" i="1" s="1"/>
  <c r="DI14" i="1"/>
  <c r="AT11" i="1"/>
  <c r="BT12" i="1"/>
  <c r="BU12" i="1" s="1"/>
  <c r="DD13" i="1"/>
  <c r="DM13" i="1" s="1"/>
  <c r="BQ9" i="1"/>
  <c r="BN9" i="1"/>
  <c r="BP9" i="1" s="1"/>
  <c r="AT10" i="1"/>
  <c r="AT14" i="1"/>
  <c r="AT13" i="1"/>
  <c r="AT12" i="1"/>
  <c r="BK14" i="1"/>
  <c r="BM14" i="1" s="1"/>
  <c r="AQ14" i="1"/>
  <c r="BK10" i="1"/>
  <c r="BS10" i="1" s="1"/>
  <c r="BV10" i="1" s="1"/>
  <c r="BY10" i="1" s="1"/>
  <c r="HT10" i="1" s="1"/>
  <c r="AQ10" i="1"/>
  <c r="AR11" i="1"/>
  <c r="AP11" i="1"/>
  <c r="AR10" i="1"/>
  <c r="AP10" i="1"/>
  <c r="BK13" i="1"/>
  <c r="BS13" i="1" s="1"/>
  <c r="BV13" i="1" s="1"/>
  <c r="AQ13" i="1"/>
  <c r="BK12" i="1"/>
  <c r="BS12" i="1" s="1"/>
  <c r="BV12" i="1" s="1"/>
  <c r="AQ12" i="1"/>
  <c r="AP13" i="1"/>
  <c r="AR13" i="1"/>
  <c r="AP14" i="1"/>
  <c r="AR14" i="1"/>
  <c r="BK11" i="1"/>
  <c r="BS11" i="1" s="1"/>
  <c r="BV11" i="1" s="1"/>
  <c r="BY11" i="1" s="1"/>
  <c r="HT11" i="1" s="1"/>
  <c r="AQ11" i="1"/>
  <c r="AR12" i="1"/>
  <c r="AP12" i="1"/>
  <c r="BA14" i="1"/>
  <c r="BJ14" i="1"/>
  <c r="BT10" i="1"/>
  <c r="BU10" i="1" s="1"/>
  <c r="AF14" i="1"/>
  <c r="AG14" i="1" s="1"/>
  <c r="HJ14" i="1" s="1"/>
  <c r="BI14" i="1"/>
  <c r="BT13" i="1"/>
  <c r="BU13" i="1" s="1"/>
  <c r="BT11" i="1"/>
  <c r="BU11" i="1" s="1"/>
  <c r="BA12" i="1"/>
  <c r="DJ14" i="1"/>
  <c r="EU14" i="1"/>
  <c r="GN11" i="1"/>
  <c r="AF13" i="1"/>
  <c r="AG13" i="1" s="1"/>
  <c r="HJ13" i="1" s="1"/>
  <c r="BA13" i="1"/>
  <c r="T14" i="1"/>
  <c r="X14" i="1" s="1"/>
  <c r="T13" i="1"/>
  <c r="U13" i="1" s="1"/>
  <c r="EI14" i="1"/>
  <c r="EO14" i="1"/>
  <c r="EO13" i="1"/>
  <c r="CL14" i="1"/>
  <c r="CH14" i="1"/>
  <c r="CN14" i="1" s="1"/>
  <c r="CO14" i="1" s="1"/>
  <c r="HI14" i="1" s="1"/>
  <c r="IY14" i="1" s="1"/>
  <c r="HO13" i="1"/>
  <c r="CL13" i="1"/>
  <c r="DH11" i="1"/>
  <c r="DN11" i="1" s="1"/>
  <c r="EO12" i="1"/>
  <c r="EO10" i="1"/>
  <c r="EI10" i="1"/>
  <c r="EI12" i="1"/>
  <c r="DK12" i="1"/>
  <c r="EI13" i="1"/>
  <c r="DI12" i="1"/>
  <c r="DJ13" i="1"/>
  <c r="DK14" i="1"/>
  <c r="DK13" i="1"/>
  <c r="DJ12" i="1"/>
  <c r="DI13" i="1"/>
  <c r="DH13" i="1"/>
  <c r="DN13" i="1" s="1"/>
  <c r="DD12" i="1"/>
  <c r="DM12" i="1" s="1"/>
  <c r="DN14" i="1"/>
  <c r="HK14" i="1"/>
  <c r="DM14" i="1"/>
  <c r="CH13" i="1"/>
  <c r="CN13" i="1" s="1"/>
  <c r="CO13" i="1" s="1"/>
  <c r="HI13" i="1" s="1"/>
  <c r="IY13" i="1" s="1"/>
  <c r="CL12" i="1"/>
  <c r="CH12" i="1"/>
  <c r="CN12" i="1" s="1"/>
  <c r="CO12" i="1" s="1"/>
  <c r="HI12" i="1" s="1"/>
  <c r="IY12" i="1" s="1"/>
  <c r="DN12" i="1"/>
  <c r="HK10" i="1"/>
  <c r="JH10" i="1"/>
  <c r="HX10" i="1"/>
  <c r="HW10" i="1"/>
  <c r="HU10" i="1"/>
  <c r="HO10" i="1"/>
  <c r="DK10" i="1"/>
  <c r="DJ10" i="1"/>
  <c r="DI10" i="1"/>
  <c r="DN10" i="1"/>
  <c r="DM10" i="1"/>
  <c r="CL10" i="1"/>
  <c r="CH10" i="1"/>
  <c r="CN10" i="1" s="1"/>
  <c r="CO10" i="1" s="1"/>
  <c r="HI10" i="1" s="1"/>
  <c r="IY10" i="1" s="1"/>
  <c r="BA10" i="1"/>
  <c r="JH11" i="1"/>
  <c r="HX11" i="1"/>
  <c r="HW11" i="1"/>
  <c r="HU11" i="1"/>
  <c r="HO11" i="1"/>
  <c r="DK11" i="1"/>
  <c r="DJ11" i="1"/>
  <c r="DI11" i="1"/>
  <c r="DM11" i="1"/>
  <c r="CL11" i="1"/>
  <c r="CH11" i="1"/>
  <c r="CN11" i="1" s="1"/>
  <c r="CO11" i="1" s="1"/>
  <c r="HI11" i="1" s="1"/>
  <c r="IY11" i="1" s="1"/>
  <c r="BA11" i="1"/>
  <c r="T9" i="1"/>
  <c r="U9" i="1" s="1"/>
  <c r="FJ13" i="1" l="1"/>
  <c r="GM13" i="1" s="1"/>
  <c r="GO13" i="1" s="1"/>
  <c r="HP13" i="1" s="1"/>
  <c r="FJ14" i="1"/>
  <c r="GM14" i="1" s="1"/>
  <c r="GO14" i="1" s="1"/>
  <c r="HP14" i="1" s="1"/>
  <c r="FJ12" i="1"/>
  <c r="GM12" i="1" s="1"/>
  <c r="GO12" i="1" s="1"/>
  <c r="HP12" i="1" s="1"/>
  <c r="FJ10" i="1"/>
  <c r="GM10" i="1" s="1"/>
  <c r="GO10" i="1" s="1"/>
  <c r="HP10" i="1" s="1"/>
  <c r="BS14" i="1"/>
  <c r="BV14" i="1" s="1"/>
  <c r="BR9" i="1"/>
  <c r="DP13" i="1"/>
  <c r="BM10" i="1"/>
  <c r="BN10" i="1" s="1"/>
  <c r="BM12" i="1"/>
  <c r="BN12" i="1" s="1"/>
  <c r="BM11" i="1"/>
  <c r="BN11" i="1" s="1"/>
  <c r="BT14" i="1"/>
  <c r="BU14" i="1" s="1"/>
  <c r="BM13" i="1"/>
  <c r="BN13" i="1" s="1"/>
  <c r="BW10" i="1"/>
  <c r="BX10" i="1" s="1"/>
  <c r="BY12" i="1"/>
  <c r="HT12" i="1" s="1"/>
  <c r="BW12" i="1"/>
  <c r="BX12" i="1" s="1"/>
  <c r="IE14" i="1"/>
  <c r="BW11" i="1"/>
  <c r="BX11" i="1" s="1"/>
  <c r="BW13" i="1"/>
  <c r="BO14" i="1"/>
  <c r="BQ14" i="1" s="1"/>
  <c r="BN14" i="1"/>
  <c r="DP14" i="1"/>
  <c r="X13" i="1"/>
  <c r="U14" i="1"/>
  <c r="GO11" i="1"/>
  <c r="HP11" i="1" s="1"/>
  <c r="GO9" i="1"/>
  <c r="DQ12" i="1"/>
  <c r="DP12" i="1"/>
  <c r="DQ14" i="1"/>
  <c r="DQ13" i="1"/>
  <c r="IE13" i="1"/>
  <c r="DP11" i="1"/>
  <c r="DQ11" i="1"/>
  <c r="AF12" i="1"/>
  <c r="AG12" i="1" s="1"/>
  <c r="T12" i="1"/>
  <c r="DP10" i="1"/>
  <c r="DQ10" i="1"/>
  <c r="AF11" i="1"/>
  <c r="AG11" i="1" s="1"/>
  <c r="T11" i="1"/>
  <c r="U11" i="1" s="1"/>
  <c r="T10" i="1"/>
  <c r="U10" i="1" s="1"/>
  <c r="AF10" i="1"/>
  <c r="AG10" i="1" s="1"/>
  <c r="BO12" i="1" l="1"/>
  <c r="BP12" i="1" s="1"/>
  <c r="BO10" i="1"/>
  <c r="BP10" i="1" s="1"/>
  <c r="BO11" i="1"/>
  <c r="BP11" i="1" s="1"/>
  <c r="BW14" i="1"/>
  <c r="BO13" i="1"/>
  <c r="BP13" i="1" s="1"/>
  <c r="BP14" i="1"/>
  <c r="BR14" i="1" s="1"/>
  <c r="BX14" i="1" s="1"/>
  <c r="BY14" i="1"/>
  <c r="HT14" i="1" s="1"/>
  <c r="HJ12" i="1"/>
  <c r="IE12" i="1" s="1"/>
  <c r="HJ11" i="1"/>
  <c r="IE11" i="1" s="1"/>
  <c r="HJ10" i="1"/>
  <c r="IE10" i="1" s="1"/>
  <c r="HK11" i="1"/>
  <c r="X10" i="1"/>
  <c r="X12" i="1"/>
  <c r="U12" i="1"/>
  <c r="X11" i="1"/>
  <c r="BQ12" i="1" l="1"/>
  <c r="BR12" i="1" s="1"/>
  <c r="BQ10" i="1"/>
  <c r="BR10" i="1" s="1"/>
  <c r="BQ11" i="1"/>
  <c r="BR11" i="1" s="1"/>
  <c r="BQ13" i="1"/>
  <c r="BR13" i="1" s="1"/>
  <c r="BX13" i="1" s="1"/>
  <c r="HK12" i="1"/>
  <c r="BY13" i="1" l="1"/>
  <c r="HT13" i="1" s="1"/>
  <c r="JH9" i="1"/>
  <c r="HX9" i="1"/>
  <c r="HW9" i="1"/>
  <c r="HU9" i="1"/>
  <c r="HT9" i="1"/>
  <c r="HO9" i="1"/>
  <c r="HK9" i="1"/>
  <c r="HP9" i="1"/>
  <c r="DK9" i="1"/>
  <c r="DJ9" i="1"/>
  <c r="DI9" i="1"/>
  <c r="DN9" i="1"/>
  <c r="DM9" i="1"/>
  <c r="CL9" i="1"/>
  <c r="CH9" i="1"/>
  <c r="CN9" i="1" s="1"/>
  <c r="CO9" i="1" s="1"/>
  <c r="HI9" i="1" s="1"/>
  <c r="IY9" i="1" s="1"/>
  <c r="CC9" i="1"/>
  <c r="BC9" i="1"/>
  <c r="BA9" i="1"/>
  <c r="AJ9" i="1"/>
  <c r="AU9" i="1" s="1"/>
  <c r="AF9" i="1"/>
  <c r="AG9" i="1" s="1"/>
  <c r="HJ9" i="1" s="1"/>
  <c r="X9" i="1"/>
  <c r="F9" i="1" s="1"/>
  <c r="AW9" i="1" l="1"/>
  <c r="AV9" i="1"/>
  <c r="AJ14" i="1"/>
  <c r="AU14" i="1" s="1"/>
  <c r="AJ12" i="1"/>
  <c r="AU12" i="1" s="1"/>
  <c r="AJ10" i="1"/>
  <c r="AU10" i="1" s="1"/>
  <c r="AJ13" i="1"/>
  <c r="AU13" i="1" s="1"/>
  <c r="AJ11" i="1"/>
  <c r="AU11" i="1" s="1"/>
  <c r="HV9" i="1"/>
  <c r="BC13" i="1"/>
  <c r="HV13" i="1" s="1"/>
  <c r="BC11" i="1"/>
  <c r="HV11" i="1" s="1"/>
  <c r="BC14" i="1"/>
  <c r="HV14" i="1" s="1"/>
  <c r="BC12" i="1"/>
  <c r="HV12" i="1" s="1"/>
  <c r="BC10" i="1"/>
  <c r="HV10" i="1" s="1"/>
  <c r="F14" i="1"/>
  <c r="F12" i="1"/>
  <c r="F10" i="1"/>
  <c r="F13" i="1"/>
  <c r="F11" i="1"/>
  <c r="K12" i="1"/>
  <c r="K10" i="1"/>
  <c r="K13" i="1"/>
  <c r="K11" i="1"/>
  <c r="K14" i="1"/>
  <c r="CC12" i="1"/>
  <c r="CC11" i="1"/>
  <c r="CC13" i="1"/>
  <c r="CC14" i="1"/>
  <c r="CC10" i="1"/>
  <c r="DP9" i="1"/>
  <c r="DQ9" i="1"/>
  <c r="IE9" i="1"/>
  <c r="BF9" i="1"/>
  <c r="HW15" i="1"/>
  <c r="BC34" i="1"/>
  <c r="HV34" i="1" s="1"/>
  <c r="BC33" i="1"/>
  <c r="HV33" i="1" s="1"/>
  <c r="BC32" i="1"/>
  <c r="HV32" i="1" s="1"/>
  <c r="BC31" i="1"/>
  <c r="HV31" i="1" s="1"/>
  <c r="BC30" i="1"/>
  <c r="HV30" i="1" s="1"/>
  <c r="BC29" i="1"/>
  <c r="HV29" i="1" s="1"/>
  <c r="BC28" i="1"/>
  <c r="HV28" i="1" s="1"/>
  <c r="BC27" i="1"/>
  <c r="HV27" i="1" s="1"/>
  <c r="BC26" i="1"/>
  <c r="HV26" i="1" s="1"/>
  <c r="BC25" i="1"/>
  <c r="HV25" i="1" s="1"/>
  <c r="BC24" i="1"/>
  <c r="HV24" i="1" s="1"/>
  <c r="BC23" i="1"/>
  <c r="HV23" i="1" s="1"/>
  <c r="BC22" i="1"/>
  <c r="HV22" i="1" s="1"/>
  <c r="BC21" i="1"/>
  <c r="HV21" i="1" s="1"/>
  <c r="BC20" i="1"/>
  <c r="HV20" i="1" s="1"/>
  <c r="BC19" i="1"/>
  <c r="HV19" i="1" s="1"/>
  <c r="BC18" i="1"/>
  <c r="HV18" i="1" s="1"/>
  <c r="BC17" i="1"/>
  <c r="HV17" i="1" s="1"/>
  <c r="BC16" i="1"/>
  <c r="HV16" i="1" s="1"/>
  <c r="BC15" i="1"/>
  <c r="HV15" i="1" s="1"/>
  <c r="HX34" i="1"/>
  <c r="HW34" i="1"/>
  <c r="HU34" i="1"/>
  <c r="HX33" i="1"/>
  <c r="HW33" i="1"/>
  <c r="HU33" i="1"/>
  <c r="HX32" i="1"/>
  <c r="HW32" i="1"/>
  <c r="HU32" i="1"/>
  <c r="HX31" i="1"/>
  <c r="HW31" i="1"/>
  <c r="HU31" i="1"/>
  <c r="HX30" i="1"/>
  <c r="HW30" i="1"/>
  <c r="HU30" i="1"/>
  <c r="HX29" i="1"/>
  <c r="HW29" i="1"/>
  <c r="HU29" i="1"/>
  <c r="HX28" i="1"/>
  <c r="HW28" i="1"/>
  <c r="HU28" i="1"/>
  <c r="HX27" i="1"/>
  <c r="HW27" i="1"/>
  <c r="HU27" i="1"/>
  <c r="HX26" i="1"/>
  <c r="HW26" i="1"/>
  <c r="HU26" i="1"/>
  <c r="HX25" i="1"/>
  <c r="HW25" i="1"/>
  <c r="HU25" i="1"/>
  <c r="HX24" i="1"/>
  <c r="HW24" i="1"/>
  <c r="HU24" i="1"/>
  <c r="HX23" i="1"/>
  <c r="HW23" i="1"/>
  <c r="HU23" i="1"/>
  <c r="HX22" i="1"/>
  <c r="HW22" i="1"/>
  <c r="HU22" i="1"/>
  <c r="HX21" i="1"/>
  <c r="HW21" i="1"/>
  <c r="HU21" i="1"/>
  <c r="HX20" i="1"/>
  <c r="HW20" i="1"/>
  <c r="HU20" i="1"/>
  <c r="HX19" i="1"/>
  <c r="HW19" i="1"/>
  <c r="HU19" i="1"/>
  <c r="HX18" i="1"/>
  <c r="HW18" i="1"/>
  <c r="HU18" i="1"/>
  <c r="HX17" i="1"/>
  <c r="HW17" i="1"/>
  <c r="HU17" i="1"/>
  <c r="HX16" i="1"/>
  <c r="HW16" i="1"/>
  <c r="HU16" i="1"/>
  <c r="HU15" i="1"/>
  <c r="JH34" i="1"/>
  <c r="JH27" i="1"/>
  <c r="JH26" i="1"/>
  <c r="JH25" i="1"/>
  <c r="JH24" i="1"/>
  <c r="JH23" i="1"/>
  <c r="JH22" i="1"/>
  <c r="JH21" i="1"/>
  <c r="JH20" i="1"/>
  <c r="JH19" i="1"/>
  <c r="JH18" i="1"/>
  <c r="JH17" i="1"/>
  <c r="JH16" i="1"/>
  <c r="JH15" i="1"/>
  <c r="HT26" i="1"/>
  <c r="IK26" i="1" s="1"/>
  <c r="HS26" i="1"/>
  <c r="HO26" i="1"/>
  <c r="HK26" i="1"/>
  <c r="HT34" i="1"/>
  <c r="HO34" i="1"/>
  <c r="HK34" i="1"/>
  <c r="HT33" i="1"/>
  <c r="HO33" i="1"/>
  <c r="HY33" i="1" s="1"/>
  <c r="HK33" i="1"/>
  <c r="HT32" i="1"/>
  <c r="HO32" i="1"/>
  <c r="HK32" i="1"/>
  <c r="HT31" i="1"/>
  <c r="HO31" i="1"/>
  <c r="HK31" i="1"/>
  <c r="HT30" i="1"/>
  <c r="HO30" i="1"/>
  <c r="HY30" i="1" s="1"/>
  <c r="HK30" i="1"/>
  <c r="HT29" i="1"/>
  <c r="HO29" i="1"/>
  <c r="HK29" i="1"/>
  <c r="HT28" i="1"/>
  <c r="HO28" i="1"/>
  <c r="HK28" i="1"/>
  <c r="HT27" i="1"/>
  <c r="HO27" i="1"/>
  <c r="HY27" i="1" s="1"/>
  <c r="HK27" i="1"/>
  <c r="HY31" i="1" l="1"/>
  <c r="HY29" i="1"/>
  <c r="HY34" i="1"/>
  <c r="IB26" i="1"/>
  <c r="HY26" i="1"/>
  <c r="HY28" i="1"/>
  <c r="HY32" i="1"/>
  <c r="AX9" i="1"/>
  <c r="HS9" i="1" s="1"/>
  <c r="IK9" i="1" s="1"/>
  <c r="AW13" i="1"/>
  <c r="AW10" i="1"/>
  <c r="AW12" i="1"/>
  <c r="AV14" i="1"/>
  <c r="AW14" i="1"/>
  <c r="AV11" i="1"/>
  <c r="AW11" i="1"/>
  <c r="AV13" i="1"/>
  <c r="AV10" i="1"/>
  <c r="AV12" i="1"/>
  <c r="BF10" i="1"/>
  <c r="BF13" i="1"/>
  <c r="BF14" i="1"/>
  <c r="BF12" i="1"/>
  <c r="BF11" i="1"/>
  <c r="IL26" i="1"/>
  <c r="HT25" i="1"/>
  <c r="HS25" i="1"/>
  <c r="HO25" i="1"/>
  <c r="HY25" i="1" s="1"/>
  <c r="HK25" i="1"/>
  <c r="HT24" i="1"/>
  <c r="HS24" i="1"/>
  <c r="HO24" i="1"/>
  <c r="HY24" i="1" s="1"/>
  <c r="HK24" i="1"/>
  <c r="HT23" i="1"/>
  <c r="HS23" i="1"/>
  <c r="HO23" i="1"/>
  <c r="HY23" i="1" s="1"/>
  <c r="HK23" i="1"/>
  <c r="HT22" i="1"/>
  <c r="HS22" i="1"/>
  <c r="HO22" i="1"/>
  <c r="HY22" i="1" s="1"/>
  <c r="HK22" i="1"/>
  <c r="HT21" i="1"/>
  <c r="HS21" i="1"/>
  <c r="HO21" i="1"/>
  <c r="HY21" i="1" s="1"/>
  <c r="HK21" i="1"/>
  <c r="HT20" i="1"/>
  <c r="HS20" i="1"/>
  <c r="HO20" i="1"/>
  <c r="HF20" i="1" s="1"/>
  <c r="HY20" i="1" s="1"/>
  <c r="HK20" i="1"/>
  <c r="HT19" i="1"/>
  <c r="HS19" i="1"/>
  <c r="HO19" i="1"/>
  <c r="HF19" i="1" s="1"/>
  <c r="HY19" i="1" s="1"/>
  <c r="HK19" i="1"/>
  <c r="HT18" i="1"/>
  <c r="HS18" i="1"/>
  <c r="HO18" i="1"/>
  <c r="HF18" i="1" s="1"/>
  <c r="HY18" i="1" s="1"/>
  <c r="HK18" i="1"/>
  <c r="HT17" i="1"/>
  <c r="HS17" i="1"/>
  <c r="HO17" i="1"/>
  <c r="HF17" i="1" s="1"/>
  <c r="HY17" i="1" s="1"/>
  <c r="HK17" i="1"/>
  <c r="HT16" i="1"/>
  <c r="HS16" i="1"/>
  <c r="HO16" i="1"/>
  <c r="HF16" i="1" s="1"/>
  <c r="HY16" i="1" s="1"/>
  <c r="HK16" i="1"/>
  <c r="HT15" i="1"/>
  <c r="HS15" i="1"/>
  <c r="HO15" i="1"/>
  <c r="HF15" i="1" s="1"/>
  <c r="HY15" i="1" s="1"/>
  <c r="HK15" i="1"/>
  <c r="HP16" i="1"/>
  <c r="HP17" i="1"/>
  <c r="HP18" i="1"/>
  <c r="HP19" i="1"/>
  <c r="HP20" i="1"/>
  <c r="HP29" i="1"/>
  <c r="HP30" i="1"/>
  <c r="HP31" i="1"/>
  <c r="HP32" i="1"/>
  <c r="HP33" i="1"/>
  <c r="HP34" i="1"/>
  <c r="HP15" i="1"/>
  <c r="CL21" i="1"/>
  <c r="CL22" i="1"/>
  <c r="CL23" i="1"/>
  <c r="CL24" i="1"/>
  <c r="CL25" i="1"/>
  <c r="CL26" i="1"/>
  <c r="CH22" i="1"/>
  <c r="CH23" i="1"/>
  <c r="CH24" i="1"/>
  <c r="CH25" i="1"/>
  <c r="CH26" i="1"/>
  <c r="CH21" i="1"/>
  <c r="AN24" i="1"/>
  <c r="AR15" i="1"/>
  <c r="AS15" i="1" s="1"/>
  <c r="AI22" i="1"/>
  <c r="AJ22" i="1"/>
  <c r="AI23" i="1"/>
  <c r="AJ23" i="1"/>
  <c r="AI24" i="1"/>
  <c r="AJ24" i="1"/>
  <c r="AI25" i="1"/>
  <c r="AJ25" i="1"/>
  <c r="AI26" i="1"/>
  <c r="AJ26" i="1"/>
  <c r="AJ21" i="1"/>
  <c r="AW21" i="1" s="1"/>
  <c r="AI21" i="1"/>
  <c r="CC22" i="1"/>
  <c r="CC21" i="1"/>
  <c r="T25" i="1"/>
  <c r="U25" i="1" s="1"/>
  <c r="T24" i="1"/>
  <c r="U24" i="1" s="1"/>
  <c r="T23" i="1"/>
  <c r="U23" i="1" s="1"/>
  <c r="T22" i="1"/>
  <c r="U22" i="1" s="1"/>
  <c r="T21" i="1"/>
  <c r="U21" i="1" s="1"/>
  <c r="T26" i="1"/>
  <c r="U26" i="1" s="1"/>
  <c r="BA26" i="1"/>
  <c r="BA25" i="1"/>
  <c r="BA24" i="1"/>
  <c r="BA23" i="1"/>
  <c r="BA22" i="1"/>
  <c r="BA21" i="1"/>
  <c r="P30" i="1"/>
  <c r="P31" i="1"/>
  <c r="P32" i="1"/>
  <c r="AK32" i="1" s="1"/>
  <c r="P33" i="1"/>
  <c r="P34" i="1"/>
  <c r="P29" i="1"/>
  <c r="O30" i="1"/>
  <c r="AJ30" i="1" s="1"/>
  <c r="O31" i="1"/>
  <c r="AJ31" i="1" s="1"/>
  <c r="O32" i="1"/>
  <c r="AJ32" i="1" s="1"/>
  <c r="O33" i="1"/>
  <c r="AJ33" i="1" s="1"/>
  <c r="O34" i="1"/>
  <c r="AJ34" i="1" s="1"/>
  <c r="O29" i="1"/>
  <c r="CC29" i="1" s="1"/>
  <c r="HG15" i="1" l="1"/>
  <c r="HZ15" i="1" s="1"/>
  <c r="HG16" i="1"/>
  <c r="HZ16" i="1" s="1"/>
  <c r="HG17" i="1"/>
  <c r="HZ17" i="1" s="1"/>
  <c r="HG18" i="1"/>
  <c r="HZ18" i="1" s="1"/>
  <c r="HG19" i="1"/>
  <c r="HZ19" i="1" s="1"/>
  <c r="HG20" i="1"/>
  <c r="HZ20" i="1" s="1"/>
  <c r="AX13" i="1"/>
  <c r="HS13" i="1" s="1"/>
  <c r="IK13" i="1" s="1"/>
  <c r="AX11" i="1"/>
  <c r="HS11" i="1" s="1"/>
  <c r="IK11" i="1" s="1"/>
  <c r="CD34" i="1"/>
  <c r="AK34" i="1"/>
  <c r="AT24" i="1"/>
  <c r="AU24" i="1" s="1"/>
  <c r="AR24" i="1"/>
  <c r="AS24" i="1" s="1"/>
  <c r="AP24" i="1"/>
  <c r="AV24" i="1" s="1"/>
  <c r="CD31" i="1"/>
  <c r="AK31" i="1"/>
  <c r="CD29" i="1"/>
  <c r="AK29" i="1"/>
  <c r="AU25" i="1"/>
  <c r="AW25" i="1"/>
  <c r="AV25" i="1"/>
  <c r="CD33" i="1"/>
  <c r="AK33" i="1"/>
  <c r="CD30" i="1"/>
  <c r="AK30" i="1"/>
  <c r="AV21" i="1"/>
  <c r="AU21" i="1"/>
  <c r="AU26" i="1"/>
  <c r="AV26" i="1"/>
  <c r="AW26" i="1"/>
  <c r="AW22" i="1"/>
  <c r="AU22" i="1"/>
  <c r="AV22" i="1"/>
  <c r="AW23" i="1"/>
  <c r="AU23" i="1"/>
  <c r="AV23" i="1"/>
  <c r="AW34" i="1"/>
  <c r="AU34" i="1"/>
  <c r="AV34" i="1"/>
  <c r="AU33" i="1"/>
  <c r="AV33" i="1"/>
  <c r="AW33" i="1"/>
  <c r="AU32" i="1"/>
  <c r="AW32" i="1"/>
  <c r="AV32" i="1"/>
  <c r="AX14" i="1"/>
  <c r="HS14" i="1" s="1"/>
  <c r="IK14" i="1" s="1"/>
  <c r="AU31" i="1"/>
  <c r="AW31" i="1"/>
  <c r="AV31" i="1"/>
  <c r="AU30" i="1"/>
  <c r="AW30" i="1"/>
  <c r="AV30" i="1"/>
  <c r="AX10" i="1"/>
  <c r="HS10" i="1" s="1"/>
  <c r="IK10" i="1" s="1"/>
  <c r="AX12" i="1"/>
  <c r="HS12" i="1" s="1"/>
  <c r="IK12" i="1" s="1"/>
  <c r="IK23" i="1"/>
  <c r="IK22" i="1"/>
  <c r="IK16" i="1"/>
  <c r="IK18" i="1"/>
  <c r="IK20" i="1"/>
  <c r="IK25" i="1"/>
  <c r="IK17" i="1"/>
  <c r="IK21" i="1"/>
  <c r="IK15" i="1"/>
  <c r="IK19" i="1"/>
  <c r="IK24" i="1"/>
  <c r="AJ29" i="1"/>
  <c r="CC30" i="1"/>
  <c r="CC31" i="1"/>
  <c r="CC34" i="1"/>
  <c r="CD32" i="1"/>
  <c r="CC33" i="1"/>
  <c r="CC32" i="1"/>
  <c r="G29" i="1"/>
  <c r="JH29" i="1" s="1"/>
  <c r="G30" i="1"/>
  <c r="JH30" i="1" s="1"/>
  <c r="G31" i="1"/>
  <c r="JH31" i="1" s="1"/>
  <c r="G32" i="1"/>
  <c r="JH32" i="1" s="1"/>
  <c r="G33" i="1"/>
  <c r="JH33" i="1" s="1"/>
  <c r="BF28" i="1"/>
  <c r="BF27" i="1"/>
  <c r="BF34" i="1"/>
  <c r="BF33" i="1"/>
  <c r="BF32" i="1"/>
  <c r="BF31" i="1"/>
  <c r="BF30" i="1"/>
  <c r="BF29" i="1"/>
  <c r="CH30" i="1"/>
  <c r="CN30" i="1" s="1"/>
  <c r="CO30" i="1" s="1"/>
  <c r="CI30" i="1"/>
  <c r="CJ30" i="1"/>
  <c r="CK30" i="1"/>
  <c r="CH31" i="1"/>
  <c r="CN31" i="1" s="1"/>
  <c r="CO31" i="1" s="1"/>
  <c r="CI31" i="1"/>
  <c r="CJ31" i="1"/>
  <c r="CK31" i="1"/>
  <c r="CH32" i="1"/>
  <c r="CN32" i="1" s="1"/>
  <c r="CO32" i="1" s="1"/>
  <c r="CI32" i="1"/>
  <c r="CJ32" i="1"/>
  <c r="CK32" i="1"/>
  <c r="CH33" i="1"/>
  <c r="CN33" i="1" s="1"/>
  <c r="CO33" i="1" s="1"/>
  <c r="CI33" i="1"/>
  <c r="CJ33" i="1"/>
  <c r="CK33" i="1"/>
  <c r="CH34" i="1"/>
  <c r="CN34" i="1" s="1"/>
  <c r="CO34" i="1" s="1"/>
  <c r="HI34" i="1" s="1"/>
  <c r="IY34" i="1" s="1"/>
  <c r="CI34" i="1"/>
  <c r="CJ34" i="1"/>
  <c r="CK34" i="1"/>
  <c r="CK29" i="1"/>
  <c r="CJ29" i="1"/>
  <c r="CI29" i="1"/>
  <c r="CH29" i="1"/>
  <c r="BA34" i="1"/>
  <c r="BA33" i="1"/>
  <c r="BA32" i="1"/>
  <c r="BA31" i="1"/>
  <c r="BA30" i="1"/>
  <c r="BA29" i="1"/>
  <c r="T34" i="1"/>
  <c r="T33" i="1"/>
  <c r="T32" i="1"/>
  <c r="T31" i="1"/>
  <c r="T30" i="1"/>
  <c r="T29" i="1"/>
  <c r="AF29" i="1"/>
  <c r="AG29" i="1" s="1"/>
  <c r="HJ29" i="1" s="1"/>
  <c r="AF34" i="1"/>
  <c r="AG34" i="1" s="1"/>
  <c r="HJ34" i="1" s="1"/>
  <c r="AF33" i="1"/>
  <c r="AG33" i="1" s="1"/>
  <c r="HJ33" i="1" s="1"/>
  <c r="AF32" i="1"/>
  <c r="AG32" i="1" s="1"/>
  <c r="HJ32" i="1" s="1"/>
  <c r="AF31" i="1"/>
  <c r="AG31" i="1" s="1"/>
  <c r="HJ31" i="1" s="1"/>
  <c r="AF30" i="1"/>
  <c r="AG30" i="1" s="1"/>
  <c r="HJ30" i="1" s="1"/>
  <c r="DK34" i="1"/>
  <c r="DJ34" i="1"/>
  <c r="DI34" i="1"/>
  <c r="DH34" i="1"/>
  <c r="DN34" i="1" s="1"/>
  <c r="DD34" i="1"/>
  <c r="DM34" i="1" s="1"/>
  <c r="CZ34" i="1"/>
  <c r="DL34" i="1" s="1"/>
  <c r="DK33" i="1"/>
  <c r="DJ33" i="1"/>
  <c r="DI33" i="1"/>
  <c r="DH33" i="1"/>
  <c r="DN33" i="1" s="1"/>
  <c r="DD33" i="1"/>
  <c r="DM33" i="1" s="1"/>
  <c r="CZ33" i="1"/>
  <c r="DL33" i="1" s="1"/>
  <c r="CZ31" i="1"/>
  <c r="DL31" i="1" s="1"/>
  <c r="DD31" i="1"/>
  <c r="DM31" i="1" s="1"/>
  <c r="DH31" i="1"/>
  <c r="DN31" i="1" s="1"/>
  <c r="DI31" i="1"/>
  <c r="DJ31" i="1"/>
  <c r="DK31" i="1"/>
  <c r="CZ32" i="1"/>
  <c r="DL32" i="1" s="1"/>
  <c r="DD32" i="1"/>
  <c r="DM32" i="1" s="1"/>
  <c r="DH32" i="1"/>
  <c r="DN32" i="1" s="1"/>
  <c r="DI32" i="1"/>
  <c r="DJ32" i="1"/>
  <c r="DK32" i="1"/>
  <c r="DI30" i="1"/>
  <c r="DJ30" i="1"/>
  <c r="DK30" i="1"/>
  <c r="DH30" i="1"/>
  <c r="DN30" i="1" s="1"/>
  <c r="DD30" i="1"/>
  <c r="DM30" i="1" s="1"/>
  <c r="CZ30" i="1"/>
  <c r="DL30" i="1" s="1"/>
  <c r="DK29" i="1"/>
  <c r="DJ29" i="1"/>
  <c r="DI29" i="1"/>
  <c r="DH29" i="1"/>
  <c r="DN29" i="1" s="1"/>
  <c r="DD29" i="1"/>
  <c r="DM29" i="1" s="1"/>
  <c r="CZ29" i="1"/>
  <c r="DL29" i="1" s="1"/>
  <c r="T28" i="1"/>
  <c r="G28" i="1"/>
  <c r="JH28" i="1" s="1"/>
  <c r="CN21" i="1"/>
  <c r="CO21" i="1" s="1"/>
  <c r="GX21" i="1" s="1"/>
  <c r="CN22" i="1"/>
  <c r="CO22" i="1" s="1"/>
  <c r="GX22" i="1" s="1"/>
  <c r="CN23" i="1"/>
  <c r="CO23" i="1" s="1"/>
  <c r="GX23" i="1" s="1"/>
  <c r="CN24" i="1"/>
  <c r="CO24" i="1" s="1"/>
  <c r="GX24" i="1" s="1"/>
  <c r="CN25" i="1"/>
  <c r="CO25" i="1" s="1"/>
  <c r="GX25" i="1" s="1"/>
  <c r="CN26" i="1"/>
  <c r="CO26" i="1" s="1"/>
  <c r="GX26" i="1" s="1"/>
  <c r="CL28" i="1"/>
  <c r="CL27" i="1"/>
  <c r="CH28" i="1"/>
  <c r="CN28" i="1" s="1"/>
  <c r="CO28" i="1" s="1"/>
  <c r="CH27" i="1"/>
  <c r="HS28" i="1"/>
  <c r="IK28" i="1" s="1"/>
  <c r="BA28" i="1"/>
  <c r="BA27" i="1"/>
  <c r="HS27" i="1"/>
  <c r="IK27" i="1" s="1"/>
  <c r="T27" i="1"/>
  <c r="CZ28" i="1"/>
  <c r="DL28" i="1" s="1"/>
  <c r="DD28" i="1"/>
  <c r="DM28" i="1" s="1"/>
  <c r="DH28" i="1"/>
  <c r="DN28" i="1" s="1"/>
  <c r="DI28" i="1"/>
  <c r="DJ28" i="1"/>
  <c r="DK28" i="1"/>
  <c r="DK27" i="1"/>
  <c r="DJ27" i="1"/>
  <c r="DI27" i="1"/>
  <c r="CZ27" i="1"/>
  <c r="DL27" i="1" s="1"/>
  <c r="DD27" i="1"/>
  <c r="DM27" i="1" s="1"/>
  <c r="DH27" i="1"/>
  <c r="DN27" i="1" s="1"/>
  <c r="DK20" i="1"/>
  <c r="DJ20" i="1"/>
  <c r="DI20" i="1"/>
  <c r="DK19" i="1"/>
  <c r="DJ19" i="1"/>
  <c r="DI19" i="1"/>
  <c r="DK18" i="1"/>
  <c r="DJ18" i="1"/>
  <c r="DI18" i="1"/>
  <c r="DK17" i="1"/>
  <c r="DJ17" i="1"/>
  <c r="DI17" i="1"/>
  <c r="DK16" i="1"/>
  <c r="DJ16" i="1"/>
  <c r="DI16" i="1"/>
  <c r="DK15" i="1"/>
  <c r="DJ15" i="1"/>
  <c r="DI15" i="1"/>
  <c r="CZ17" i="1"/>
  <c r="DL17" i="1" s="1"/>
  <c r="DD17" i="1"/>
  <c r="DM17" i="1" s="1"/>
  <c r="CZ18" i="1"/>
  <c r="DL18" i="1" s="1"/>
  <c r="DD18" i="1"/>
  <c r="DM18" i="1" s="1"/>
  <c r="CZ19" i="1"/>
  <c r="DL19" i="1" s="1"/>
  <c r="DD19" i="1"/>
  <c r="DM19" i="1" s="1"/>
  <c r="CZ20" i="1"/>
  <c r="DL20" i="1" s="1"/>
  <c r="DD20" i="1"/>
  <c r="DM20" i="1" s="1"/>
  <c r="CZ16" i="1"/>
  <c r="DL16" i="1" s="1"/>
  <c r="CZ15" i="1"/>
  <c r="DL15" i="1" s="1"/>
  <c r="DD16" i="1"/>
  <c r="DM16" i="1" s="1"/>
  <c r="DD15" i="1"/>
  <c r="DM15" i="1" s="1"/>
  <c r="DH20" i="1"/>
  <c r="DN20" i="1" s="1"/>
  <c r="DH19" i="1"/>
  <c r="DN19" i="1" s="1"/>
  <c r="DH18" i="1"/>
  <c r="DN18" i="1" s="1"/>
  <c r="DH17" i="1"/>
  <c r="DN17" i="1" s="1"/>
  <c r="DH16" i="1"/>
  <c r="DN16" i="1" s="1"/>
  <c r="DH15" i="1"/>
  <c r="DN15" i="1" s="1"/>
  <c r="DH26" i="1"/>
  <c r="DN26" i="1" s="1"/>
  <c r="DH25" i="1"/>
  <c r="DN25" i="1" s="1"/>
  <c r="DH24" i="1"/>
  <c r="DN24" i="1" s="1"/>
  <c r="DH23" i="1"/>
  <c r="DN23" i="1" s="1"/>
  <c r="DH22" i="1"/>
  <c r="DN22" i="1" s="1"/>
  <c r="DH21" i="1"/>
  <c r="DN21" i="1" s="1"/>
  <c r="DD26" i="1"/>
  <c r="DM26" i="1" s="1"/>
  <c r="DD25" i="1"/>
  <c r="DM25" i="1" s="1"/>
  <c r="DD24" i="1"/>
  <c r="DM24" i="1" s="1"/>
  <c r="DD23" i="1"/>
  <c r="DM23" i="1" s="1"/>
  <c r="DD22" i="1"/>
  <c r="DM22" i="1" s="1"/>
  <c r="DD21" i="1"/>
  <c r="DM21" i="1" s="1"/>
  <c r="CZ26" i="1"/>
  <c r="DL26" i="1" s="1"/>
  <c r="CZ25" i="1"/>
  <c r="DL25" i="1" s="1"/>
  <c r="CZ24" i="1"/>
  <c r="DL24" i="1" s="1"/>
  <c r="CZ23" i="1"/>
  <c r="DL23" i="1" s="1"/>
  <c r="CZ22" i="1"/>
  <c r="DL22" i="1" s="1"/>
  <c r="CZ21" i="1"/>
  <c r="DL21" i="1" s="1"/>
  <c r="DI22" i="1"/>
  <c r="DJ22" i="1"/>
  <c r="DK22" i="1"/>
  <c r="DI23" i="1"/>
  <c r="DJ23" i="1"/>
  <c r="DK23" i="1"/>
  <c r="DI24" i="1"/>
  <c r="DJ24" i="1"/>
  <c r="DK24" i="1"/>
  <c r="DI25" i="1"/>
  <c r="DJ25" i="1"/>
  <c r="DK25" i="1"/>
  <c r="DI26" i="1"/>
  <c r="DJ26" i="1"/>
  <c r="DK26" i="1"/>
  <c r="DK21" i="1"/>
  <c r="DJ21" i="1"/>
  <c r="DI21" i="1"/>
  <c r="C3" i="1"/>
  <c r="T16" i="1"/>
  <c r="T17" i="1"/>
  <c r="T18" i="1"/>
  <c r="T19" i="1"/>
  <c r="T20" i="1"/>
  <c r="CL20" i="1"/>
  <c r="CL19" i="1"/>
  <c r="CL18" i="1"/>
  <c r="CL17" i="1"/>
  <c r="CL16" i="1"/>
  <c r="CL15" i="1"/>
  <c r="CH15" i="1"/>
  <c r="CN15" i="1" s="1"/>
  <c r="CO15" i="1" s="1"/>
  <c r="CH20" i="1"/>
  <c r="CN20" i="1" s="1"/>
  <c r="CO20" i="1" s="1"/>
  <c r="CC20" i="1"/>
  <c r="CH19" i="1"/>
  <c r="CC19" i="1"/>
  <c r="CH18" i="1"/>
  <c r="CC18" i="1"/>
  <c r="CH17" i="1"/>
  <c r="CC17" i="1"/>
  <c r="CH16" i="1"/>
  <c r="CC16" i="1"/>
  <c r="CC15" i="1"/>
  <c r="AJ16" i="1"/>
  <c r="AJ17" i="1"/>
  <c r="AJ18" i="1"/>
  <c r="AJ19" i="1"/>
  <c r="AJ20" i="1"/>
  <c r="AJ15" i="1"/>
  <c r="T15" i="1"/>
  <c r="U15" i="1" s="1"/>
  <c r="W15" i="1" s="1"/>
  <c r="P15" i="1" s="1"/>
  <c r="AK15" i="1" s="1"/>
  <c r="X26" i="1"/>
  <c r="X25" i="1"/>
  <c r="X24" i="1"/>
  <c r="X23" i="1"/>
  <c r="X22" i="1"/>
  <c r="X21" i="1"/>
  <c r="CN17" i="1" l="1"/>
  <c r="CO17" i="1" s="1"/>
  <c r="DY17" i="1"/>
  <c r="DZ17" i="1" s="1"/>
  <c r="CN19" i="1"/>
  <c r="CO19" i="1" s="1"/>
  <c r="DY19" i="1"/>
  <c r="DZ19" i="1" s="1"/>
  <c r="CN18" i="1"/>
  <c r="CO18" i="1" s="1"/>
  <c r="DY18" i="1"/>
  <c r="DZ18" i="1" s="1"/>
  <c r="DO15" i="1"/>
  <c r="CN16" i="1"/>
  <c r="CO16" i="1" s="1"/>
  <c r="HI16" i="1" s="1"/>
  <c r="IY16" i="1" s="1"/>
  <c r="DY16" i="1"/>
  <c r="DZ16" i="1" s="1"/>
  <c r="HI15" i="1"/>
  <c r="IY15" i="1" s="1"/>
  <c r="FG27" i="1"/>
  <c r="FI27" i="1" s="1"/>
  <c r="FJ27" i="1" s="1"/>
  <c r="GM27" i="1" s="1"/>
  <c r="GO27" i="1" s="1"/>
  <c r="HP27" i="1" s="1"/>
  <c r="FG25" i="1"/>
  <c r="FI25" i="1" s="1"/>
  <c r="FJ25" i="1" s="1"/>
  <c r="GM25" i="1" s="1"/>
  <c r="GO25" i="1" s="1"/>
  <c r="HP25" i="1" s="1"/>
  <c r="FG26" i="1"/>
  <c r="FI26" i="1" s="1"/>
  <c r="FJ26" i="1" s="1"/>
  <c r="GM26" i="1" s="1"/>
  <c r="GO26" i="1" s="1"/>
  <c r="HP26" i="1" s="1"/>
  <c r="FG24" i="1"/>
  <c r="FI24" i="1" s="1"/>
  <c r="FJ24" i="1" s="1"/>
  <c r="GM24" i="1" s="1"/>
  <c r="GO24" i="1" s="1"/>
  <c r="HP24" i="1" s="1"/>
  <c r="FG22" i="1"/>
  <c r="FI22" i="1" s="1"/>
  <c r="FJ22" i="1" s="1"/>
  <c r="GM22" i="1" s="1"/>
  <c r="GO22" i="1" s="1"/>
  <c r="HP22" i="1" s="1"/>
  <c r="FG28" i="1"/>
  <c r="FI28" i="1" s="1"/>
  <c r="FJ28" i="1" s="1"/>
  <c r="GM28" i="1" s="1"/>
  <c r="GO28" i="1" s="1"/>
  <c r="HP28" i="1" s="1"/>
  <c r="FG21" i="1"/>
  <c r="FG23" i="1"/>
  <c r="FI23" i="1" s="1"/>
  <c r="FJ23" i="1" s="1"/>
  <c r="GM23" i="1" s="1"/>
  <c r="GO23" i="1" s="1"/>
  <c r="HP23" i="1" s="1"/>
  <c r="HI18" i="1"/>
  <c r="IY18" i="1" s="1"/>
  <c r="HI19" i="1"/>
  <c r="IY19" i="1" s="1"/>
  <c r="HI20" i="1"/>
  <c r="IY20" i="1" s="1"/>
  <c r="AX25" i="1"/>
  <c r="AX23" i="1"/>
  <c r="AX22" i="1"/>
  <c r="AU16" i="1"/>
  <c r="AV16" i="1"/>
  <c r="AW24" i="1"/>
  <c r="AX24" i="1" s="1"/>
  <c r="AV19" i="1"/>
  <c r="AU19" i="1"/>
  <c r="U34" i="1"/>
  <c r="X34" i="1"/>
  <c r="AX30" i="1"/>
  <c r="HS30" i="1" s="1"/>
  <c r="IK30" i="1" s="1"/>
  <c r="AU17" i="1"/>
  <c r="AV17" i="1"/>
  <c r="AU20" i="1"/>
  <c r="AV20" i="1"/>
  <c r="U33" i="1"/>
  <c r="X33" i="1"/>
  <c r="AU18" i="1"/>
  <c r="AV18" i="1"/>
  <c r="AX26" i="1"/>
  <c r="U30" i="1"/>
  <c r="X30" i="1"/>
  <c r="U31" i="1"/>
  <c r="X31" i="1"/>
  <c r="AX34" i="1"/>
  <c r="HS34" i="1" s="1"/>
  <c r="IK34" i="1" s="1"/>
  <c r="U29" i="1"/>
  <c r="X29" i="1"/>
  <c r="AX21" i="1"/>
  <c r="AV15" i="1"/>
  <c r="AU15" i="1"/>
  <c r="AW15" i="1"/>
  <c r="U27" i="1"/>
  <c r="X27" i="1"/>
  <c r="U28" i="1"/>
  <c r="X28" i="1"/>
  <c r="U32" i="1"/>
  <c r="X32" i="1"/>
  <c r="AX33" i="1"/>
  <c r="HS33" i="1" s="1"/>
  <c r="IK33" i="1" s="1"/>
  <c r="AX32" i="1"/>
  <c r="HS32" i="1" s="1"/>
  <c r="IK32" i="1" s="1"/>
  <c r="AV29" i="1"/>
  <c r="AU29" i="1"/>
  <c r="AW29" i="1"/>
  <c r="AX31" i="1"/>
  <c r="HS31" i="1" s="1"/>
  <c r="IK31" i="1" s="1"/>
  <c r="HI24" i="1"/>
  <c r="IY24" i="1" s="1"/>
  <c r="HI23" i="1"/>
  <c r="IY23" i="1" s="1"/>
  <c r="HI22" i="1"/>
  <c r="IY22" i="1" s="1"/>
  <c r="HI32" i="1"/>
  <c r="IY32" i="1" s="1"/>
  <c r="HI30" i="1"/>
  <c r="HI28" i="1"/>
  <c r="IY28" i="1" s="1"/>
  <c r="HI26" i="1"/>
  <c r="IY26" i="1" s="1"/>
  <c r="HI33" i="1"/>
  <c r="HI31" i="1"/>
  <c r="IY31" i="1" s="1"/>
  <c r="HI21" i="1"/>
  <c r="IY21" i="1" s="1"/>
  <c r="HI17" i="1"/>
  <c r="IY17" i="1" s="1"/>
  <c r="HI25" i="1"/>
  <c r="IY25" i="1" s="1"/>
  <c r="U19" i="1"/>
  <c r="W19" i="1" s="1"/>
  <c r="P19" i="1" s="1"/>
  <c r="AK19" i="1" s="1"/>
  <c r="AW19" i="1" s="1"/>
  <c r="U20" i="1"/>
  <c r="W20" i="1" s="1"/>
  <c r="P20" i="1" s="1"/>
  <c r="AK20" i="1" s="1"/>
  <c r="AW20" i="1" s="1"/>
  <c r="U18" i="1"/>
  <c r="W18" i="1" s="1"/>
  <c r="P18" i="1" s="1"/>
  <c r="AK18" i="1" s="1"/>
  <c r="AW18" i="1" s="1"/>
  <c r="U16" i="1"/>
  <c r="W16" i="1" s="1"/>
  <c r="P16" i="1" s="1"/>
  <c r="AK16" i="1" s="1"/>
  <c r="AW16" i="1" s="1"/>
  <c r="U17" i="1"/>
  <c r="W17" i="1" s="1"/>
  <c r="P17" i="1" s="1"/>
  <c r="AK17" i="1" s="1"/>
  <c r="AW17" i="1" s="1"/>
  <c r="IE34" i="1"/>
  <c r="CL34" i="1"/>
  <c r="CL30" i="1"/>
  <c r="DO31" i="1"/>
  <c r="DP28" i="1"/>
  <c r="DP32" i="1"/>
  <c r="CL33" i="1"/>
  <c r="CL32" i="1"/>
  <c r="CL29" i="1"/>
  <c r="CN29" i="1" s="1"/>
  <c r="CO29" i="1" s="1"/>
  <c r="CL31" i="1"/>
  <c r="DP29" i="1"/>
  <c r="DO26" i="1"/>
  <c r="DO22" i="1"/>
  <c r="DQ33" i="1"/>
  <c r="DO23" i="1"/>
  <c r="DP17" i="1"/>
  <c r="DQ32" i="1"/>
  <c r="DQ22" i="1"/>
  <c r="DQ31" i="1"/>
  <c r="DP21" i="1"/>
  <c r="DO33" i="1"/>
  <c r="DQ30" i="1"/>
  <c r="DO30" i="1"/>
  <c r="DQ23" i="1"/>
  <c r="DQ19" i="1"/>
  <c r="DQ29" i="1"/>
  <c r="DP33" i="1"/>
  <c r="DP34" i="1"/>
  <c r="DO29" i="1"/>
  <c r="DO34" i="1"/>
  <c r="DO32" i="1"/>
  <c r="DP23" i="1"/>
  <c r="DQ34" i="1"/>
  <c r="DQ17" i="1"/>
  <c r="DP30" i="1"/>
  <c r="DP31" i="1"/>
  <c r="DO21" i="1"/>
  <c r="DQ15" i="1"/>
  <c r="DQ28" i="1"/>
  <c r="DP24" i="1"/>
  <c r="DO24" i="1"/>
  <c r="DP15" i="1"/>
  <c r="DP26" i="1"/>
  <c r="DQ21" i="1"/>
  <c r="CN27" i="1"/>
  <c r="CO27" i="1" s="1"/>
  <c r="DP19" i="1"/>
  <c r="DQ24" i="1"/>
  <c r="DP20" i="1"/>
  <c r="DQ25" i="1"/>
  <c r="DP18" i="1"/>
  <c r="DQ20" i="1"/>
  <c r="DO27" i="1"/>
  <c r="DP22" i="1"/>
  <c r="DQ26" i="1"/>
  <c r="DP16" i="1"/>
  <c r="DQ18" i="1"/>
  <c r="DQ16" i="1"/>
  <c r="DP25" i="1"/>
  <c r="DO25" i="1"/>
  <c r="DP27" i="1"/>
  <c r="DO28" i="1"/>
  <c r="DQ27" i="1"/>
  <c r="AF28" i="1"/>
  <c r="AG28" i="1" s="1"/>
  <c r="FI21" i="1" l="1"/>
  <c r="FJ21" i="1" s="1"/>
  <c r="GM21" i="1" s="1"/>
  <c r="GO21" i="1" s="1"/>
  <c r="HP21" i="1" s="1"/>
  <c r="EA19" i="1"/>
  <c r="EA18" i="1"/>
  <c r="EA17" i="1"/>
  <c r="DR16" i="1"/>
  <c r="DT16" i="1" s="1"/>
  <c r="EA16" i="1"/>
  <c r="IE33" i="1"/>
  <c r="IY33" i="1"/>
  <c r="IE30" i="1"/>
  <c r="IY30" i="1"/>
  <c r="AX15" i="1"/>
  <c r="AX17" i="1"/>
  <c r="AX18" i="1"/>
  <c r="AX20" i="1"/>
  <c r="AX19" i="1"/>
  <c r="AX29" i="1"/>
  <c r="HS29" i="1" s="1"/>
  <c r="IK29" i="1" s="1"/>
  <c r="AX16" i="1"/>
  <c r="HJ28" i="1"/>
  <c r="IE28" i="1" s="1"/>
  <c r="IE32" i="1"/>
  <c r="IE31" i="1"/>
  <c r="HI29" i="1"/>
  <c r="HI27" i="1"/>
  <c r="IY27" i="1" s="1"/>
  <c r="DR23" i="1"/>
  <c r="DR32" i="1"/>
  <c r="DR17" i="1"/>
  <c r="DT17" i="1" s="1"/>
  <c r="DR30" i="1"/>
  <c r="DR19" i="1"/>
  <c r="DT19" i="1" s="1"/>
  <c r="DR15" i="1"/>
  <c r="DT15" i="1" s="1"/>
  <c r="DR31" i="1"/>
  <c r="DR22" i="1"/>
  <c r="DR34" i="1"/>
  <c r="DR21" i="1"/>
  <c r="DR26" i="1"/>
  <c r="DR33" i="1"/>
  <c r="DR29" i="1"/>
  <c r="DR28" i="1"/>
  <c r="DR20" i="1"/>
  <c r="DR25" i="1"/>
  <c r="DR27" i="1"/>
  <c r="DR24" i="1"/>
  <c r="DR18" i="1"/>
  <c r="DT18" i="1" s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A20" i="1"/>
  <c r="BA19" i="1"/>
  <c r="BA18" i="1"/>
  <c r="BA17" i="1"/>
  <c r="BA16" i="1"/>
  <c r="BA15" i="1"/>
  <c r="AF27" i="1"/>
  <c r="AG27" i="1" s="1"/>
  <c r="AF26" i="1"/>
  <c r="AF25" i="1"/>
  <c r="AF24" i="1"/>
  <c r="AF23" i="1"/>
  <c r="AF22" i="1"/>
  <c r="AF21" i="1"/>
  <c r="AF20" i="1"/>
  <c r="AF19" i="1"/>
  <c r="AF18" i="1"/>
  <c r="AF17" i="1"/>
  <c r="AF16" i="1"/>
  <c r="AF15" i="1"/>
  <c r="HQ28" i="1" l="1"/>
  <c r="HN28" i="1" s="1"/>
  <c r="IF28" i="1" s="1"/>
  <c r="IB28" i="1" s="1"/>
  <c r="IL28" i="1" s="1"/>
  <c r="HQ29" i="1"/>
  <c r="HN29" i="1" s="1"/>
  <c r="HQ21" i="1"/>
  <c r="HN21" i="1" s="1"/>
  <c r="HQ32" i="1"/>
  <c r="HN32" i="1" s="1"/>
  <c r="HQ30" i="1"/>
  <c r="HN30" i="1" s="1"/>
  <c r="HQ26" i="1"/>
  <c r="HN26" i="1" s="1"/>
  <c r="HQ24" i="1"/>
  <c r="HN24" i="1" s="1"/>
  <c r="HQ31" i="1"/>
  <c r="HN31" i="1" s="1"/>
  <c r="HQ33" i="1"/>
  <c r="HN33" i="1" s="1"/>
  <c r="IC33" i="1" s="1"/>
  <c r="HQ27" i="1"/>
  <c r="HN27" i="1" s="1"/>
  <c r="IF27" i="1" s="1"/>
  <c r="IB27" i="1" s="1"/>
  <c r="IL27" i="1" s="1"/>
  <c r="HQ34" i="1"/>
  <c r="HN34" i="1" s="1"/>
  <c r="HQ23" i="1"/>
  <c r="HN23" i="1" s="1"/>
  <c r="HQ25" i="1"/>
  <c r="HN25" i="1" s="1"/>
  <c r="HQ22" i="1"/>
  <c r="HN22" i="1" s="1"/>
  <c r="HQ19" i="1"/>
  <c r="HQ20" i="1"/>
  <c r="HQ18" i="1"/>
  <c r="HQ17" i="1"/>
  <c r="HQ15" i="1"/>
  <c r="IE29" i="1"/>
  <c r="IY29" i="1"/>
  <c r="IZ29" i="1"/>
  <c r="IC27" i="1"/>
  <c r="IH27" i="1" s="1"/>
  <c r="HJ27" i="1"/>
  <c r="IE27" i="1" s="1"/>
  <c r="AG21" i="1"/>
  <c r="AG22" i="1"/>
  <c r="AG26" i="1"/>
  <c r="AG23" i="1"/>
  <c r="AG25" i="1"/>
  <c r="AG24" i="1"/>
  <c r="AG17" i="1"/>
  <c r="AG19" i="1"/>
  <c r="AG20" i="1"/>
  <c r="AG15" i="1"/>
  <c r="HJ15" i="1" s="1"/>
  <c r="AG16" i="1"/>
  <c r="AG18" i="1"/>
  <c r="HR28" i="1" l="1"/>
  <c r="IZ28" i="1"/>
  <c r="JA28" i="1" s="1"/>
  <c r="HN20" i="1"/>
  <c r="IC20" i="1" s="1"/>
  <c r="HN19" i="1"/>
  <c r="IZ19" i="1" s="1"/>
  <c r="JA19" i="1" s="1"/>
  <c r="HN15" i="1"/>
  <c r="IZ15" i="1" s="1"/>
  <c r="JA15" i="1" s="1"/>
  <c r="HN17" i="1"/>
  <c r="IM17" i="1" s="1"/>
  <c r="HN18" i="1"/>
  <c r="IZ18" i="1" s="1"/>
  <c r="JA18" i="1" s="1"/>
  <c r="IF25" i="1"/>
  <c r="IB25" i="1" s="1"/>
  <c r="IL25" i="1" s="1"/>
  <c r="HZ25" i="1"/>
  <c r="IM25" i="1" s="1"/>
  <c r="IF21" i="1"/>
  <c r="IB21" i="1" s="1"/>
  <c r="IL21" i="1" s="1"/>
  <c r="HZ21" i="1"/>
  <c r="IM21" i="1" s="1"/>
  <c r="IC31" i="1"/>
  <c r="IH31" i="1" s="1"/>
  <c r="HZ31" i="1"/>
  <c r="IM31" i="1" s="1"/>
  <c r="IZ24" i="1"/>
  <c r="JA24" i="1" s="1"/>
  <c r="HZ24" i="1"/>
  <c r="IM24" i="1" s="1"/>
  <c r="IC22" i="1"/>
  <c r="IH22" i="1" s="1"/>
  <c r="HZ22" i="1"/>
  <c r="IM22" i="1" s="1"/>
  <c r="IC32" i="1"/>
  <c r="IH32" i="1" s="1"/>
  <c r="HZ32" i="1"/>
  <c r="IZ27" i="1"/>
  <c r="JA27" i="1" s="1"/>
  <c r="HZ27" i="1"/>
  <c r="IM27" i="1" s="1"/>
  <c r="HR29" i="1"/>
  <c r="HZ29" i="1"/>
  <c r="IM29" i="1" s="1"/>
  <c r="HR26" i="1"/>
  <c r="HZ26" i="1"/>
  <c r="IZ30" i="1"/>
  <c r="JA30" i="1" s="1"/>
  <c r="HZ30" i="1"/>
  <c r="IC23" i="1"/>
  <c r="IH23" i="1" s="1"/>
  <c r="HZ23" i="1"/>
  <c r="IM23" i="1" s="1"/>
  <c r="IZ34" i="1"/>
  <c r="JA34" i="1" s="1"/>
  <c r="HZ34" i="1"/>
  <c r="IM34" i="1" s="1"/>
  <c r="IZ33" i="1"/>
  <c r="JA33" i="1" s="1"/>
  <c r="HZ33" i="1"/>
  <c r="IM33" i="1" s="1"/>
  <c r="IC28" i="1"/>
  <c r="II28" i="1" s="1"/>
  <c r="HZ28" i="1"/>
  <c r="IM28" i="1" s="1"/>
  <c r="IF34" i="1"/>
  <c r="IB34" i="1" s="1"/>
  <c r="IL34" i="1" s="1"/>
  <c r="HR34" i="1"/>
  <c r="IZ26" i="1"/>
  <c r="JA26" i="1" s="1"/>
  <c r="IF26" i="1"/>
  <c r="HR31" i="1"/>
  <c r="IJ31" i="1" s="1"/>
  <c r="IQ31" i="1" s="1"/>
  <c r="IF31" i="1"/>
  <c r="IB31" i="1" s="1"/>
  <c r="IL31" i="1" s="1"/>
  <c r="IC26" i="1"/>
  <c r="IH26" i="1" s="1"/>
  <c r="HR33" i="1"/>
  <c r="IC24" i="1"/>
  <c r="IG24" i="1" s="1"/>
  <c r="IO24" i="1" s="1"/>
  <c r="HR24" i="1"/>
  <c r="IF33" i="1"/>
  <c r="IB33" i="1" s="1"/>
  <c r="IL33" i="1" s="1"/>
  <c r="IC29" i="1"/>
  <c r="IG29" i="1" s="1"/>
  <c r="IF29" i="1"/>
  <c r="IB29" i="1" s="1"/>
  <c r="IL29" i="1" s="1"/>
  <c r="IF24" i="1"/>
  <c r="IB24" i="1" s="1"/>
  <c r="IL24" i="1" s="1"/>
  <c r="HR27" i="1"/>
  <c r="IJ27" i="1" s="1"/>
  <c r="IP27" i="1" s="1"/>
  <c r="IZ25" i="1"/>
  <c r="JA25" i="1" s="1"/>
  <c r="IC25" i="1"/>
  <c r="IH25" i="1" s="1"/>
  <c r="HR30" i="1"/>
  <c r="HR32" i="1"/>
  <c r="IC34" i="1"/>
  <c r="II34" i="1" s="1"/>
  <c r="IM32" i="1"/>
  <c r="IF30" i="1"/>
  <c r="IB30" i="1" s="1"/>
  <c r="IL30" i="1" s="1"/>
  <c r="IC30" i="1"/>
  <c r="IG30" i="1" s="1"/>
  <c r="IM30" i="1"/>
  <c r="HR25" i="1"/>
  <c r="IC21" i="1"/>
  <c r="IH21" i="1" s="1"/>
  <c r="HR21" i="1"/>
  <c r="IZ21" i="1"/>
  <c r="JA21" i="1" s="1"/>
  <c r="IF23" i="1"/>
  <c r="IB23" i="1" s="1"/>
  <c r="IL23" i="1" s="1"/>
  <c r="IF22" i="1"/>
  <c r="IB22" i="1" s="1"/>
  <c r="IL22" i="1" s="1"/>
  <c r="HR23" i="1"/>
  <c r="IZ22" i="1"/>
  <c r="JA22" i="1" s="1"/>
  <c r="IZ31" i="1"/>
  <c r="JA31" i="1" s="1"/>
  <c r="HR22" i="1"/>
  <c r="IZ23" i="1"/>
  <c r="JA23" i="1" s="1"/>
  <c r="IJ33" i="1"/>
  <c r="IQ33" i="1" s="1"/>
  <c r="IZ32" i="1"/>
  <c r="JA32" i="1" s="1"/>
  <c r="IM26" i="1"/>
  <c r="HR20" i="1"/>
  <c r="IF32" i="1"/>
  <c r="IZ20" i="1"/>
  <c r="JA20" i="1" s="1"/>
  <c r="IM15" i="1"/>
  <c r="IG33" i="1"/>
  <c r="JA29" i="1"/>
  <c r="II33" i="1"/>
  <c r="IH33" i="1"/>
  <c r="IG27" i="1"/>
  <c r="IO27" i="1" s="1"/>
  <c r="II27" i="1"/>
  <c r="II29" i="1"/>
  <c r="HJ18" i="1"/>
  <c r="IE18" i="1" s="1"/>
  <c r="HJ16" i="1"/>
  <c r="IE16" i="1" s="1"/>
  <c r="HJ20" i="1"/>
  <c r="IE20" i="1" s="1"/>
  <c r="HJ19" i="1"/>
  <c r="IE19" i="1" s="1"/>
  <c r="HJ17" i="1"/>
  <c r="IE17" i="1" s="1"/>
  <c r="HJ24" i="1"/>
  <c r="IE24" i="1" s="1"/>
  <c r="HJ25" i="1"/>
  <c r="IE25" i="1" s="1"/>
  <c r="HJ23" i="1"/>
  <c r="IE23" i="1" s="1"/>
  <c r="HJ26" i="1"/>
  <c r="IE26" i="1" s="1"/>
  <c r="HJ22" i="1"/>
  <c r="IE22" i="1" s="1"/>
  <c r="HJ21" i="1"/>
  <c r="IE21" i="1" s="1"/>
  <c r="IE15" i="1"/>
  <c r="IU27" i="1"/>
  <c r="IU33" i="1"/>
  <c r="IR27" i="1"/>
  <c r="IR29" i="1"/>
  <c r="IU29" i="1"/>
  <c r="IR32" i="1"/>
  <c r="IU32" i="1"/>
  <c r="IR33" i="1"/>
  <c r="II31" i="1" l="1"/>
  <c r="IF19" i="1"/>
  <c r="IB19" i="1" s="1"/>
  <c r="IL19" i="1" s="1"/>
  <c r="IG34" i="1"/>
  <c r="IO34" i="1" s="1"/>
  <c r="JD34" i="1" s="1"/>
  <c r="IJ28" i="1"/>
  <c r="IQ28" i="1" s="1"/>
  <c r="IJ29" i="1"/>
  <c r="IP29" i="1" s="1"/>
  <c r="JE29" i="1" s="1"/>
  <c r="IC15" i="1"/>
  <c r="IH15" i="1" s="1"/>
  <c r="IG22" i="1"/>
  <c r="IO22" i="1" s="1"/>
  <c r="JD22" i="1" s="1"/>
  <c r="IG26" i="1"/>
  <c r="IO26" i="1" s="1"/>
  <c r="HR18" i="1"/>
  <c r="IF17" i="1"/>
  <c r="IB17" i="1" s="1"/>
  <c r="IL17" i="1" s="1"/>
  <c r="II32" i="1"/>
  <c r="IG32" i="1"/>
  <c r="IO32" i="1" s="1"/>
  <c r="JD32" i="1" s="1"/>
  <c r="IJ32" i="1"/>
  <c r="IQ32" i="1" s="1"/>
  <c r="IF15" i="1"/>
  <c r="IB15" i="1" s="1"/>
  <c r="HR15" i="1"/>
  <c r="IJ15" i="1" s="1"/>
  <c r="IQ15" i="1" s="1"/>
  <c r="IF20" i="1"/>
  <c r="IB20" i="1" s="1"/>
  <c r="IL20" i="1" s="1"/>
  <c r="IM18" i="1"/>
  <c r="IC18" i="1"/>
  <c r="II18" i="1" s="1"/>
  <c r="IF18" i="1"/>
  <c r="IB18" i="1" s="1"/>
  <c r="IL18" i="1" s="1"/>
  <c r="II20" i="1"/>
  <c r="IG20" i="1"/>
  <c r="IH20" i="1"/>
  <c r="HR19" i="1"/>
  <c r="IC17" i="1"/>
  <c r="IZ17" i="1"/>
  <c r="JA17" i="1" s="1"/>
  <c r="IJ22" i="1"/>
  <c r="IT22" i="1" s="1"/>
  <c r="JD26" i="1"/>
  <c r="II22" i="1"/>
  <c r="II21" i="1"/>
  <c r="IM19" i="1"/>
  <c r="IC19" i="1"/>
  <c r="II19" i="1" s="1"/>
  <c r="IJ20" i="1"/>
  <c r="IQ20" i="1" s="1"/>
  <c r="II23" i="1"/>
  <c r="HR17" i="1"/>
  <c r="IM20" i="1"/>
  <c r="IH29" i="1"/>
  <c r="JD27" i="1"/>
  <c r="IG28" i="1"/>
  <c r="IH28" i="1"/>
  <c r="IJ23" i="1"/>
  <c r="IQ23" i="1" s="1"/>
  <c r="JD24" i="1"/>
  <c r="IG31" i="1"/>
  <c r="IO31" i="1" s="1"/>
  <c r="JD31" i="1" s="1"/>
  <c r="IG23" i="1"/>
  <c r="IH30" i="1"/>
  <c r="IT31" i="1"/>
  <c r="JB31" i="1" s="1"/>
  <c r="IT29" i="1"/>
  <c r="IJ25" i="1"/>
  <c r="IQ25" i="1" s="1"/>
  <c r="IT33" i="1"/>
  <c r="JB33" i="1" s="1"/>
  <c r="IH34" i="1"/>
  <c r="II26" i="1"/>
  <c r="II24" i="1"/>
  <c r="II25" i="1"/>
  <c r="IJ24" i="1"/>
  <c r="IP24" i="1" s="1"/>
  <c r="JE24" i="1" s="1"/>
  <c r="IJ30" i="1"/>
  <c r="IP30" i="1" s="1"/>
  <c r="JE30" i="1" s="1"/>
  <c r="IP31" i="1"/>
  <c r="JE31" i="1" s="1"/>
  <c r="IG25" i="1"/>
  <c r="IH24" i="1"/>
  <c r="IJ26" i="1"/>
  <c r="IP26" i="1" s="1"/>
  <c r="JE26" i="1" s="1"/>
  <c r="IJ21" i="1"/>
  <c r="IP21" i="1" s="1"/>
  <c r="JE21" i="1" s="1"/>
  <c r="II30" i="1"/>
  <c r="IG21" i="1"/>
  <c r="IJ34" i="1"/>
  <c r="IO30" i="1"/>
  <c r="JD30" i="1" s="1"/>
  <c r="JC32" i="1"/>
  <c r="IP33" i="1"/>
  <c r="JE33" i="1" s="1"/>
  <c r="IB32" i="1"/>
  <c r="IL32" i="1" s="1"/>
  <c r="II15" i="1"/>
  <c r="JC33" i="1"/>
  <c r="IO33" i="1"/>
  <c r="JD33" i="1" s="1"/>
  <c r="JC27" i="1"/>
  <c r="IQ27" i="1"/>
  <c r="IV27" i="1" s="1"/>
  <c r="IX27" i="1" s="1"/>
  <c r="JG27" i="1" s="1"/>
  <c r="JI27" i="1" s="1"/>
  <c r="IT27" i="1"/>
  <c r="JE27" i="1"/>
  <c r="JC29" i="1"/>
  <c r="IO29" i="1"/>
  <c r="JD29" i="1" s="1"/>
  <c r="IU15" i="1"/>
  <c r="IR30" i="1"/>
  <c r="IR21" i="1"/>
  <c r="IR15" i="1"/>
  <c r="IR20" i="1"/>
  <c r="IU21" i="1"/>
  <c r="IU31" i="1"/>
  <c r="IR24" i="1"/>
  <c r="IR25" i="1"/>
  <c r="IU22" i="1"/>
  <c r="IR26" i="1"/>
  <c r="IR31" i="1"/>
  <c r="IR28" i="1"/>
  <c r="IU25" i="1"/>
  <c r="IR23" i="1"/>
  <c r="IR34" i="1"/>
  <c r="IU26" i="1"/>
  <c r="IU34" i="1"/>
  <c r="IU23" i="1"/>
  <c r="IU28" i="1"/>
  <c r="IR22" i="1"/>
  <c r="IU30" i="1"/>
  <c r="IU24" i="1"/>
  <c r="IU20" i="1"/>
  <c r="IG15" i="1" l="1"/>
  <c r="IT28" i="1"/>
  <c r="JB28" i="1" s="1"/>
  <c r="IQ29" i="1"/>
  <c r="IV29" i="1" s="1"/>
  <c r="IX29" i="1" s="1"/>
  <c r="JG29" i="1" s="1"/>
  <c r="JI29" i="1" s="1"/>
  <c r="IP28" i="1"/>
  <c r="JE28" i="1" s="1"/>
  <c r="IP22" i="1"/>
  <c r="JE22" i="1" s="1"/>
  <c r="JF22" i="1" s="1"/>
  <c r="IP20" i="1"/>
  <c r="JE20" i="1" s="1"/>
  <c r="IT32" i="1"/>
  <c r="JB32" i="1" s="1"/>
  <c r="IP32" i="1"/>
  <c r="JE32" i="1" s="1"/>
  <c r="IV33" i="1"/>
  <c r="IX33" i="1" s="1"/>
  <c r="JG33" i="1" s="1"/>
  <c r="JI33" i="1" s="1"/>
  <c r="IJ18" i="1"/>
  <c r="IP18" i="1" s="1"/>
  <c r="JE18" i="1" s="1"/>
  <c r="IT21" i="1"/>
  <c r="IT20" i="1"/>
  <c r="JB20" i="1" s="1"/>
  <c r="IP25" i="1"/>
  <c r="JE25" i="1" s="1"/>
  <c r="IH18" i="1"/>
  <c r="IQ24" i="1"/>
  <c r="IV24" i="1" s="1"/>
  <c r="IX24" i="1" s="1"/>
  <c r="JG24" i="1" s="1"/>
  <c r="JI24" i="1" s="1"/>
  <c r="IG18" i="1"/>
  <c r="IO18" i="1" s="1"/>
  <c r="JD18" i="1" s="1"/>
  <c r="JC22" i="1"/>
  <c r="JC20" i="1"/>
  <c r="IT23" i="1"/>
  <c r="JB23" i="1" s="1"/>
  <c r="JF26" i="1"/>
  <c r="IJ17" i="1"/>
  <c r="IQ22" i="1"/>
  <c r="JB22" i="1" s="1"/>
  <c r="IH17" i="1"/>
  <c r="II17" i="1"/>
  <c r="IG17" i="1"/>
  <c r="IJ19" i="1"/>
  <c r="IH19" i="1"/>
  <c r="IO20" i="1"/>
  <c r="JD20" i="1" s="1"/>
  <c r="IP23" i="1"/>
  <c r="JE23" i="1" s="1"/>
  <c r="IG19" i="1"/>
  <c r="IO19" i="1" s="1"/>
  <c r="JD19" i="1" s="1"/>
  <c r="JC28" i="1"/>
  <c r="JC23" i="1"/>
  <c r="JC31" i="1"/>
  <c r="JF24" i="1"/>
  <c r="JF27" i="1"/>
  <c r="IO23" i="1"/>
  <c r="IO28" i="1"/>
  <c r="JF30" i="1"/>
  <c r="IT30" i="1"/>
  <c r="IV31" i="1"/>
  <c r="IX31" i="1" s="1"/>
  <c r="JG31" i="1" s="1"/>
  <c r="JI31" i="1" s="1"/>
  <c r="JF29" i="1"/>
  <c r="JF33" i="1"/>
  <c r="JF32" i="1"/>
  <c r="JC26" i="1"/>
  <c r="JC25" i="1"/>
  <c r="JC30" i="1"/>
  <c r="JC24" i="1"/>
  <c r="JC34" i="1"/>
  <c r="JC21" i="1"/>
  <c r="IQ21" i="1"/>
  <c r="JB21" i="1" s="1"/>
  <c r="IT25" i="1"/>
  <c r="JB25" i="1" s="1"/>
  <c r="JF31" i="1"/>
  <c r="IT26" i="1"/>
  <c r="IQ26" i="1"/>
  <c r="IO25" i="1"/>
  <c r="JD25" i="1" s="1"/>
  <c r="IQ30" i="1"/>
  <c r="IV30" i="1" s="1"/>
  <c r="IX30" i="1" s="1"/>
  <c r="JG30" i="1" s="1"/>
  <c r="JI30" i="1" s="1"/>
  <c r="IT24" i="1"/>
  <c r="JB24" i="1" s="1"/>
  <c r="IP34" i="1"/>
  <c r="JE34" i="1" s="1"/>
  <c r="JF34" i="1" s="1"/>
  <c r="IT34" i="1"/>
  <c r="IQ34" i="1"/>
  <c r="IO21" i="1"/>
  <c r="IT15" i="1"/>
  <c r="JB15" i="1" s="1"/>
  <c r="JC15" i="1"/>
  <c r="IO15" i="1"/>
  <c r="JD15" i="1" s="1"/>
  <c r="JB27" i="1"/>
  <c r="IU18" i="1"/>
  <c r="IR18" i="1"/>
  <c r="IU17" i="1"/>
  <c r="IR19" i="1"/>
  <c r="IU19" i="1"/>
  <c r="IR17" i="1"/>
  <c r="JB29" i="1" l="1"/>
  <c r="IV32" i="1"/>
  <c r="IX32" i="1" s="1"/>
  <c r="JG32" i="1" s="1"/>
  <c r="JI32" i="1" s="1"/>
  <c r="IT18" i="1"/>
  <c r="JF18" i="1"/>
  <c r="JF20" i="1"/>
  <c r="IQ18" i="1"/>
  <c r="IV20" i="1"/>
  <c r="JF25" i="1"/>
  <c r="JC18" i="1"/>
  <c r="JC19" i="1"/>
  <c r="JC17" i="1"/>
  <c r="IV22" i="1"/>
  <c r="IX22" i="1" s="1"/>
  <c r="JG22" i="1" s="1"/>
  <c r="JI22" i="1" s="1"/>
  <c r="IT19" i="1"/>
  <c r="IP19" i="1"/>
  <c r="JE19" i="1" s="1"/>
  <c r="JF19" i="1" s="1"/>
  <c r="IQ19" i="1"/>
  <c r="IO17" i="1"/>
  <c r="IQ17" i="1"/>
  <c r="IT17" i="1"/>
  <c r="IP17" i="1"/>
  <c r="JE17" i="1" s="1"/>
  <c r="JD28" i="1"/>
  <c r="JF28" i="1" s="1"/>
  <c r="IV28" i="1"/>
  <c r="IX28" i="1" s="1"/>
  <c r="JG28" i="1" s="1"/>
  <c r="JI28" i="1" s="1"/>
  <c r="JD23" i="1"/>
  <c r="JF23" i="1" s="1"/>
  <c r="IV23" i="1"/>
  <c r="IX23" i="1" s="1"/>
  <c r="JG23" i="1" s="1"/>
  <c r="JI23" i="1" s="1"/>
  <c r="IV25" i="1"/>
  <c r="IX25" i="1" s="1"/>
  <c r="JG25" i="1" s="1"/>
  <c r="JI25" i="1" s="1"/>
  <c r="JB30" i="1"/>
  <c r="IV34" i="1"/>
  <c r="IX34" i="1" s="1"/>
  <c r="JG34" i="1" s="1"/>
  <c r="JI34" i="1" s="1"/>
  <c r="JB34" i="1"/>
  <c r="JD21" i="1"/>
  <c r="JF21" i="1" s="1"/>
  <c r="IV21" i="1"/>
  <c r="IX21" i="1" s="1"/>
  <c r="JG21" i="1" s="1"/>
  <c r="JI21" i="1" s="1"/>
  <c r="JB26" i="1"/>
  <c r="IV26" i="1"/>
  <c r="IX26" i="1" s="1"/>
  <c r="JG26" i="1" s="1"/>
  <c r="JI26" i="1" s="1"/>
  <c r="IL15" i="1"/>
  <c r="IP15" i="1" s="1"/>
  <c r="JE15" i="1" s="1"/>
  <c r="JF15" i="1" s="1"/>
  <c r="JB18" i="1" l="1"/>
  <c r="IV18" i="1"/>
  <c r="IV19" i="1"/>
  <c r="JB19" i="1"/>
  <c r="JD17" i="1"/>
  <c r="JF17" i="1" s="1"/>
  <c r="IV17" i="1"/>
  <c r="JB17" i="1"/>
  <c r="IV15" i="1"/>
  <c r="IX15" i="1" s="1"/>
  <c r="JG15" i="1" s="1"/>
  <c r="JI15" i="1" s="1"/>
  <c r="IX18" i="1" l="1"/>
  <c r="JG18" i="1" s="1"/>
  <c r="JI18" i="1" s="1"/>
  <c r="IX17" i="1"/>
  <c r="JG17" i="1" s="1"/>
  <c r="JI17" i="1" s="1"/>
  <c r="IX20" i="1" l="1"/>
  <c r="JG20" i="1" s="1"/>
  <c r="JI20" i="1" s="1"/>
  <c r="IX19" i="1"/>
  <c r="JG19" i="1" s="1"/>
  <c r="JI19" i="1" s="1"/>
  <c r="DL10" i="1" l="1"/>
  <c r="DO10" i="1" s="1"/>
  <c r="DR10" i="1" s="1"/>
  <c r="HQ10" i="1" s="1"/>
  <c r="HN10" i="1" s="1"/>
  <c r="IZ10" i="1" s="1"/>
  <c r="JA10" i="1" s="1"/>
  <c r="DL9" i="1"/>
  <c r="DO9" i="1" s="1"/>
  <c r="DR9" i="1" s="1"/>
  <c r="HQ9" i="1" s="1"/>
  <c r="HN9" i="1" s="1"/>
  <c r="CZ13" i="1"/>
  <c r="DL13" i="1" s="1"/>
  <c r="DO13" i="1" s="1"/>
  <c r="DR13" i="1" s="1"/>
  <c r="HQ13" i="1" s="1"/>
  <c r="HN13" i="1" s="1"/>
  <c r="IZ13" i="1" s="1"/>
  <c r="JA13" i="1" s="1"/>
  <c r="CZ11" i="1"/>
  <c r="DL11" i="1" s="1"/>
  <c r="DO11" i="1" s="1"/>
  <c r="DR11" i="1" s="1"/>
  <c r="HQ11" i="1" s="1"/>
  <c r="HN11" i="1" s="1"/>
  <c r="IZ11" i="1" s="1"/>
  <c r="JA11" i="1" s="1"/>
  <c r="DL14" i="1"/>
  <c r="DO14" i="1" s="1"/>
  <c r="DR14" i="1" s="1"/>
  <c r="HQ14" i="1" s="1"/>
  <c r="HN14" i="1" s="1"/>
  <c r="IZ14" i="1" s="1"/>
  <c r="JA14" i="1" s="1"/>
  <c r="CZ12" i="1"/>
  <c r="DL12" i="1" s="1"/>
  <c r="DO12" i="1" s="1"/>
  <c r="DR12" i="1" s="1"/>
  <c r="HQ12" i="1" s="1"/>
  <c r="HN12" i="1" s="1"/>
  <c r="IZ12" i="1" s="1"/>
  <c r="JA12" i="1" s="1"/>
  <c r="IF9" i="1" l="1"/>
  <c r="IB9" i="1" s="1"/>
  <c r="IL9" i="1" s="1"/>
  <c r="IZ9" i="1"/>
  <c r="JA9" i="1" s="1"/>
  <c r="HR9" i="1"/>
  <c r="IC9" i="1"/>
  <c r="II9" i="1" s="1"/>
  <c r="HZ9" i="1"/>
  <c r="IM9" i="1" s="1"/>
  <c r="HR12" i="1"/>
  <c r="IC12" i="1"/>
  <c r="II12" i="1" s="1"/>
  <c r="HZ12" i="1"/>
  <c r="IM12" i="1" s="1"/>
  <c r="IF12" i="1"/>
  <c r="IB12" i="1" s="1"/>
  <c r="IL12" i="1" s="1"/>
  <c r="HR14" i="1"/>
  <c r="HZ14" i="1"/>
  <c r="IM14" i="1" s="1"/>
  <c r="IF14" i="1"/>
  <c r="IB14" i="1" s="1"/>
  <c r="IL14" i="1" s="1"/>
  <c r="IC14" i="1"/>
  <c r="II14" i="1" s="1"/>
  <c r="HR13" i="1"/>
  <c r="IC13" i="1"/>
  <c r="HZ13" i="1"/>
  <c r="IM13" i="1" s="1"/>
  <c r="IF13" i="1"/>
  <c r="IB13" i="1" s="1"/>
  <c r="IL13" i="1" s="1"/>
  <c r="HR10" i="1"/>
  <c r="IC10" i="1"/>
  <c r="II10" i="1" s="1"/>
  <c r="HZ10" i="1"/>
  <c r="IM10" i="1" s="1"/>
  <c r="IF10" i="1"/>
  <c r="IB10" i="1" s="1"/>
  <c r="IL10" i="1" s="1"/>
  <c r="HR11" i="1"/>
  <c r="IC11" i="1"/>
  <c r="II11" i="1" s="1"/>
  <c r="IF11" i="1"/>
  <c r="IB11" i="1" s="1"/>
  <c r="IL11" i="1" s="1"/>
  <c r="HZ11" i="1"/>
  <c r="IM11" i="1" s="1"/>
  <c r="IJ9" i="1" l="1"/>
  <c r="IT9" i="1" s="1"/>
  <c r="IH9" i="1"/>
  <c r="IG9" i="1"/>
  <c r="IJ12" i="1"/>
  <c r="IQ12" i="1" s="1"/>
  <c r="IJ14" i="1"/>
  <c r="IP14" i="1" s="1"/>
  <c r="JE14" i="1" s="1"/>
  <c r="IJ10" i="1"/>
  <c r="IP10" i="1" s="1"/>
  <c r="JE10" i="1" s="1"/>
  <c r="IJ13" i="1"/>
  <c r="IP13" i="1" s="1"/>
  <c r="JE13" i="1" s="1"/>
  <c r="IJ11" i="1"/>
  <c r="IP11" i="1" s="1"/>
  <c r="JE11" i="1" s="1"/>
  <c r="IH11" i="1"/>
  <c r="IG11" i="1"/>
  <c r="IH14" i="1"/>
  <c r="IG14" i="1"/>
  <c r="IH12" i="1"/>
  <c r="IG12" i="1"/>
  <c r="IH13" i="1"/>
  <c r="IG13" i="1"/>
  <c r="II13" i="1"/>
  <c r="IH10" i="1"/>
  <c r="IG10" i="1"/>
  <c r="IU10" i="1"/>
  <c r="IR13" i="1"/>
  <c r="IU12" i="1"/>
  <c r="IR12" i="1"/>
  <c r="IU11" i="1"/>
  <c r="IR14" i="1"/>
  <c r="IR11" i="1"/>
  <c r="IR10" i="1"/>
  <c r="IR9" i="1"/>
  <c r="IU14" i="1"/>
  <c r="IU9" i="1"/>
  <c r="IU13" i="1"/>
  <c r="IQ9" i="1" l="1"/>
  <c r="JB9" i="1" s="1"/>
  <c r="IP9" i="1"/>
  <c r="JE9" i="1" s="1"/>
  <c r="JC9" i="1"/>
  <c r="IO9" i="1"/>
  <c r="JD9" i="1" s="1"/>
  <c r="IT12" i="1"/>
  <c r="JB12" i="1" s="1"/>
  <c r="IQ14" i="1"/>
  <c r="IT14" i="1"/>
  <c r="IQ10" i="1"/>
  <c r="IP12" i="1"/>
  <c r="JE12" i="1" s="1"/>
  <c r="IT10" i="1"/>
  <c r="IT13" i="1"/>
  <c r="IQ13" i="1"/>
  <c r="IQ11" i="1"/>
  <c r="IT11" i="1"/>
  <c r="JC14" i="1"/>
  <c r="JC12" i="1"/>
  <c r="JC10" i="1"/>
  <c r="JC11" i="1"/>
  <c r="JC13" i="1"/>
  <c r="IO14" i="1"/>
  <c r="JD14" i="1" s="1"/>
  <c r="JF14" i="1" s="1"/>
  <c r="IO12" i="1"/>
  <c r="JD12" i="1" s="1"/>
  <c r="IO10" i="1"/>
  <c r="JD10" i="1" s="1"/>
  <c r="JF10" i="1" s="1"/>
  <c r="IO11" i="1"/>
  <c r="JD11" i="1" s="1"/>
  <c r="JF11" i="1" s="1"/>
  <c r="IO13" i="1"/>
  <c r="JD13" i="1" s="1"/>
  <c r="JF13" i="1" s="1"/>
  <c r="JF9" i="1" l="1"/>
  <c r="IV9" i="1"/>
  <c r="IX9" i="1" s="1"/>
  <c r="JG9" i="1" s="1"/>
  <c r="JI9" i="1" s="1"/>
  <c r="JB14" i="1"/>
  <c r="JB10" i="1"/>
  <c r="IV14" i="1"/>
  <c r="IX14" i="1" s="1"/>
  <c r="JG14" i="1" s="1"/>
  <c r="JI14" i="1" s="1"/>
  <c r="JB11" i="1"/>
  <c r="JB13" i="1"/>
  <c r="JF12" i="1"/>
  <c r="IV11" i="1"/>
  <c r="IX11" i="1" s="1"/>
  <c r="JG11" i="1" s="1"/>
  <c r="JI11" i="1" s="1"/>
  <c r="IV13" i="1"/>
  <c r="IX13" i="1" s="1"/>
  <c r="JG13" i="1" s="1"/>
  <c r="JI13" i="1" s="1"/>
  <c r="IV10" i="1"/>
  <c r="IX10" i="1" s="1"/>
  <c r="JG10" i="1" s="1"/>
  <c r="JI10" i="1" s="1"/>
  <c r="IV12" i="1"/>
  <c r="IX12" i="1" s="1"/>
  <c r="JG12" i="1" s="1"/>
  <c r="JI12" i="1" s="1"/>
  <c r="HQ16" i="1" l="1"/>
  <c r="HN16" i="1" s="1"/>
  <c r="IM16" i="1" l="1"/>
  <c r="HR16" i="1"/>
  <c r="IF16" i="1"/>
  <c r="IZ16" i="1"/>
  <c r="JA16" i="1" s="1"/>
  <c r="IC16" i="1"/>
  <c r="IH16" i="1" l="1"/>
  <c r="IG16" i="1"/>
  <c r="II16" i="1"/>
  <c r="IB16" i="1"/>
  <c r="IL16" i="1" s="1"/>
  <c r="IJ16" i="1"/>
  <c r="IQ16" i="1" s="1"/>
  <c r="IU16" i="1"/>
  <c r="IR16" i="1"/>
  <c r="JC16" i="1" l="1"/>
  <c r="IP16" i="1"/>
  <c r="JE16" i="1" s="1"/>
  <c r="IT16" i="1"/>
  <c r="JB16" i="1" s="1"/>
  <c r="IO16" i="1"/>
  <c r="JD16" i="1" l="1"/>
  <c r="JF16" i="1" s="1"/>
  <c r="IV16" i="1"/>
  <c r="IX16" i="1" s="1"/>
  <c r="JG16" i="1" s="1"/>
  <c r="JI16" i="1" s="1"/>
  <c r="V3" i="19" l="1"/>
  <c r="AA3" i="19"/>
  <c r="Z3" i="19"/>
  <c r="Y3" i="19"/>
  <c r="AB3" i="19"/>
</calcChain>
</file>

<file path=xl/comments1.xml><?xml version="1.0" encoding="utf-8"?>
<comments xmlns="http://schemas.openxmlformats.org/spreadsheetml/2006/main">
  <authors>
    <author>Ben Sitler</author>
  </authors>
  <commentList>
    <comment ref="CO21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EESD reporte 696E11</t>
        </r>
      </text>
    </comment>
  </commentList>
</comments>
</file>

<file path=xl/comments2.xml><?xml version="1.0" encoding="utf-8"?>
<comments xmlns="http://schemas.openxmlformats.org/spreadsheetml/2006/main">
  <authors>
    <author>Ben Sitler</author>
  </authors>
  <commentList>
    <comment ref="G16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measured to gussets</t>
        </r>
      </text>
    </comment>
    <comment ref="R16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416 vs 427 
excludes Lin</t>
        </r>
      </text>
    </comment>
    <comment ref="X16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Initial stiffness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Difference in measurement 416 vs 427</t>
        </r>
      </text>
    </comment>
    <comment ref="O17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Tada used extra yield lines</t>
        </r>
      </text>
    </comment>
  </commentList>
</comments>
</file>

<file path=xl/comments3.xml><?xml version="1.0" encoding="utf-8"?>
<comments xmlns="http://schemas.openxmlformats.org/spreadsheetml/2006/main">
  <authors>
    <author>Ben Sitler</author>
  </authors>
  <commentList>
    <comment ref="AZ28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Cut Beam</t>
        </r>
      </text>
    </comment>
    <comment ref="BJ28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Beam is cut</t>
        </r>
      </text>
    </comment>
    <comment ref="BQ28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Beam is cut</t>
        </r>
      </text>
    </comment>
  </commentList>
</comments>
</file>

<file path=xl/comments4.xml><?xml version="1.0" encoding="utf-8"?>
<comments xmlns="http://schemas.openxmlformats.org/spreadsheetml/2006/main">
  <authors>
    <author>Ben Sitler</author>
  </authors>
  <commentList>
    <comment ref="F21" authorId="0" shapeId="0">
      <text>
        <r>
          <rPr>
            <b/>
            <sz val="9"/>
            <color indexed="81"/>
            <rFont val="Tahoma"/>
            <family val="2"/>
          </rPr>
          <t>Ben Sitler:</t>
        </r>
        <r>
          <rPr>
            <sz val="9"/>
            <color indexed="81"/>
            <rFont val="Tahoma"/>
            <family val="2"/>
          </rPr>
          <t xml:space="preserve">
Refer Mihara (2014) pg 4-78. Mortar bearing action</t>
        </r>
      </text>
    </comment>
  </commentList>
</comments>
</file>

<file path=xl/sharedStrings.xml><?xml version="1.0" encoding="utf-8"?>
<sst xmlns="http://schemas.openxmlformats.org/spreadsheetml/2006/main" count="3236" uniqueCount="589">
  <si>
    <t>Author</t>
  </si>
  <si>
    <t>Year</t>
  </si>
  <si>
    <t>Specimen</t>
  </si>
  <si>
    <t>Area</t>
  </si>
  <si>
    <t>fy</t>
  </si>
  <si>
    <t>fu</t>
  </si>
  <si>
    <t>β</t>
  </si>
  <si>
    <t>Pmax</t>
  </si>
  <si>
    <t>Pcr</t>
  </si>
  <si>
    <t>mm2</t>
  </si>
  <si>
    <t>Mpa</t>
  </si>
  <si>
    <t>kN</t>
  </si>
  <si>
    <t>Okazaki</t>
  </si>
  <si>
    <t>Specimen 2</t>
  </si>
  <si>
    <t>Takeuchi</t>
  </si>
  <si>
    <t>MRL2.0S1</t>
  </si>
  <si>
    <t>MRL2.0S2</t>
  </si>
  <si>
    <t>MCL2.0S2</t>
  </si>
  <si>
    <t>MRL1.0S1</t>
  </si>
  <si>
    <t>MRL1.0S2</t>
  </si>
  <si>
    <t>Roeder &amp; Christopulos</t>
  </si>
  <si>
    <t>BRB1</t>
  </si>
  <si>
    <t>BRB2</t>
  </si>
  <si>
    <t>BRB3</t>
  </si>
  <si>
    <t>BRB4</t>
  </si>
  <si>
    <t>E</t>
  </si>
  <si>
    <t>Ic</t>
  </si>
  <si>
    <t>Ir</t>
  </si>
  <si>
    <t>Lc</t>
  </si>
  <si>
    <t>L0</t>
  </si>
  <si>
    <t>Kr</t>
  </si>
  <si>
    <t>Kc</t>
  </si>
  <si>
    <t>Mr</t>
  </si>
  <si>
    <t>ΔDY</t>
  </si>
  <si>
    <t>Δ0</t>
  </si>
  <si>
    <t>Lin</t>
  </si>
  <si>
    <t>Bn</t>
  </si>
  <si>
    <t>mm4</t>
  </si>
  <si>
    <t>mm</t>
  </si>
  <si>
    <t>kNm</t>
  </si>
  <si>
    <t>%</t>
  </si>
  <si>
    <t>θ</t>
  </si>
  <si>
    <t>γ</t>
  </si>
  <si>
    <t>ξ</t>
  </si>
  <si>
    <t>κr</t>
  </si>
  <si>
    <t>s</t>
  </si>
  <si>
    <t>e</t>
  </si>
  <si>
    <t>Kg</t>
  </si>
  <si>
    <t>Kf</t>
  </si>
  <si>
    <t>kNm/rad</t>
  </si>
  <si>
    <t>Δslack</t>
  </si>
  <si>
    <r>
      <t>N</t>
    </r>
    <r>
      <rPr>
        <vertAlign val="subscript"/>
        <sz val="10"/>
        <rFont val="Calibri"/>
        <family val="2"/>
      </rPr>
      <t>cr,c</t>
    </r>
    <r>
      <rPr>
        <sz val="10"/>
        <rFont val="Calibri"/>
        <family val="2"/>
      </rPr>
      <t>/N</t>
    </r>
    <r>
      <rPr>
        <vertAlign val="subscript"/>
        <sz val="10"/>
        <rFont val="Calibri"/>
        <family val="2"/>
      </rPr>
      <t>cr,0</t>
    </r>
  </si>
  <si>
    <r>
      <t>M</t>
    </r>
    <r>
      <rPr>
        <vertAlign val="subscript"/>
        <sz val="10"/>
        <rFont val="Calibri"/>
        <family val="2"/>
      </rPr>
      <t>r</t>
    </r>
    <r>
      <rPr>
        <sz val="10"/>
        <rFont val="Calibri"/>
        <family val="2"/>
      </rPr>
      <t>/ξL</t>
    </r>
    <r>
      <rPr>
        <vertAlign val="subscript"/>
        <sz val="10"/>
        <rFont val="Calibri"/>
        <family val="2"/>
      </rPr>
      <t>0</t>
    </r>
    <r>
      <rPr>
        <sz val="10"/>
        <rFont val="Calibri"/>
        <family val="2"/>
      </rPr>
      <t>N</t>
    </r>
    <r>
      <rPr>
        <vertAlign val="subscript"/>
        <sz val="10"/>
        <rFont val="Calibri"/>
        <family val="2"/>
      </rPr>
      <t>cr,0</t>
    </r>
  </si>
  <si>
    <r>
      <t>M</t>
    </r>
    <r>
      <rPr>
        <vertAlign val="subscript"/>
        <sz val="10"/>
        <rFont val="Calibri"/>
        <family val="2"/>
      </rPr>
      <t>r,0</t>
    </r>
    <r>
      <rPr>
        <sz val="10"/>
        <rFont val="Calibri"/>
        <family val="2"/>
      </rPr>
      <t>/ξL</t>
    </r>
    <r>
      <rPr>
        <vertAlign val="subscript"/>
        <sz val="10"/>
        <rFont val="Calibri"/>
        <family val="2"/>
      </rPr>
      <t>0</t>
    </r>
    <r>
      <rPr>
        <sz val="10"/>
        <rFont val="Calibri"/>
        <family val="2"/>
      </rPr>
      <t>N</t>
    </r>
    <r>
      <rPr>
        <vertAlign val="subscript"/>
        <sz val="10"/>
        <rFont val="Calibri"/>
        <family val="2"/>
      </rPr>
      <t>cr,0</t>
    </r>
  </si>
  <si>
    <r>
      <t>N</t>
    </r>
    <r>
      <rPr>
        <vertAlign val="subscript"/>
        <sz val="10"/>
        <rFont val="Calibri"/>
        <family val="2"/>
      </rPr>
      <t>cr</t>
    </r>
    <r>
      <rPr>
        <sz val="10"/>
        <rFont val="Calibri"/>
        <family val="2"/>
      </rPr>
      <t>/N</t>
    </r>
    <r>
      <rPr>
        <vertAlign val="subscript"/>
        <sz val="10"/>
        <rFont val="Calibri"/>
        <family val="2"/>
      </rPr>
      <t>cr,0</t>
    </r>
  </si>
  <si>
    <r>
      <t>k</t>
    </r>
    <r>
      <rPr>
        <vertAlign val="subscript"/>
        <sz val="10"/>
        <rFont val="Calibri"/>
        <family val="2"/>
      </rPr>
      <t>p</t>
    </r>
  </si>
  <si>
    <r>
      <t>N</t>
    </r>
    <r>
      <rPr>
        <vertAlign val="subscript"/>
        <sz val="10"/>
        <rFont val="Calibri"/>
        <family val="2"/>
      </rPr>
      <t>cr</t>
    </r>
  </si>
  <si>
    <r>
      <t>N</t>
    </r>
    <r>
      <rPr>
        <vertAlign val="subscript"/>
        <sz val="10"/>
        <rFont val="Calibri"/>
        <family val="2"/>
      </rPr>
      <t>cr,0</t>
    </r>
  </si>
  <si>
    <t>-</t>
  </si>
  <si>
    <t>κc</t>
  </si>
  <si>
    <t>δ0</t>
  </si>
  <si>
    <r>
      <t>N</t>
    </r>
    <r>
      <rPr>
        <vertAlign val="subscript"/>
        <sz val="10"/>
        <rFont val="Calibri"/>
        <family val="2"/>
      </rPr>
      <t>cr,c</t>
    </r>
  </si>
  <si>
    <r>
      <t>N</t>
    </r>
    <r>
      <rPr>
        <vertAlign val="subscript"/>
        <sz val="10"/>
        <rFont val="Calibri"/>
        <family val="2"/>
      </rPr>
      <t>cr,e</t>
    </r>
  </si>
  <si>
    <r>
      <t>M</t>
    </r>
    <r>
      <rPr>
        <vertAlign val="subscript"/>
        <sz val="10"/>
        <rFont val="Calibri"/>
        <family val="2"/>
      </rPr>
      <t>r</t>
    </r>
    <r>
      <rPr>
        <sz val="10"/>
        <rFont val="Calibri"/>
        <family val="2"/>
      </rPr>
      <t>-M</t>
    </r>
    <r>
      <rPr>
        <vertAlign val="subscript"/>
        <sz val="10"/>
        <rFont val="Calibri"/>
        <family val="2"/>
      </rPr>
      <t>r,0</t>
    </r>
  </si>
  <si>
    <r>
      <t>N</t>
    </r>
    <r>
      <rPr>
        <vertAlign val="subscript"/>
        <sz val="10"/>
        <rFont val="Calibri"/>
        <family val="2"/>
      </rPr>
      <t>cr</t>
    </r>
    <r>
      <rPr>
        <sz val="10"/>
        <rFont val="Calibri"/>
        <family val="2"/>
      </rPr>
      <t>/P</t>
    </r>
    <r>
      <rPr>
        <vertAlign val="subscript"/>
        <sz val="10"/>
        <rFont val="Calibri"/>
        <family val="2"/>
      </rPr>
      <t>cr</t>
    </r>
  </si>
  <si>
    <t>Core</t>
  </si>
  <si>
    <t>Restrainer</t>
  </si>
  <si>
    <t>Shape</t>
  </si>
  <si>
    <t>Material</t>
  </si>
  <si>
    <t>tr</t>
  </si>
  <si>
    <t>Br</t>
  </si>
  <si>
    <t>Dr</t>
  </si>
  <si>
    <t>Neck</t>
  </si>
  <si>
    <t>Dn</t>
  </si>
  <si>
    <t>tn</t>
  </si>
  <si>
    <t>ω</t>
  </si>
  <si>
    <t>L-RN'2</t>
  </si>
  <si>
    <t>L-RN0</t>
  </si>
  <si>
    <t>H-RN2</t>
  </si>
  <si>
    <t>M-CN2</t>
  </si>
  <si>
    <t>L-RF2</t>
  </si>
  <si>
    <t>L-CC2</t>
  </si>
  <si>
    <t>MRL1.0S1H</t>
  </si>
  <si>
    <t>Type</t>
  </si>
  <si>
    <t>Diagonal</t>
  </si>
  <si>
    <t>Chevron</t>
  </si>
  <si>
    <t>BRB6</t>
  </si>
  <si>
    <t>I</t>
  </si>
  <si>
    <t>rad</t>
  </si>
  <si>
    <t>Ncr</t>
  </si>
  <si>
    <t>Rectangle</t>
  </si>
  <si>
    <t>RHS</t>
  </si>
  <si>
    <t>CHS</t>
  </si>
  <si>
    <t>STKR400</t>
  </si>
  <si>
    <t>SN400B</t>
  </si>
  <si>
    <t>Cruciform</t>
  </si>
  <si>
    <t>Lin,B</t>
  </si>
  <si>
    <t>Lin,D</t>
  </si>
  <si>
    <t>Gusset</t>
  </si>
  <si>
    <t>t</t>
  </si>
  <si>
    <t>L</t>
  </si>
  <si>
    <t>Mp,neck</t>
  </si>
  <si>
    <t>Lin/D</t>
  </si>
  <si>
    <t>a</t>
  </si>
  <si>
    <t>Mr,rest</t>
  </si>
  <si>
    <t>Framing</t>
  </si>
  <si>
    <t>Lengths</t>
  </si>
  <si>
    <t>Column 1</t>
  </si>
  <si>
    <t>End</t>
  </si>
  <si>
    <t>m</t>
  </si>
  <si>
    <t>Column 2</t>
  </si>
  <si>
    <t>Beam 1</t>
  </si>
  <si>
    <t>Beam 2</t>
  </si>
  <si>
    <t>Tor Beam</t>
  </si>
  <si>
    <t>J</t>
  </si>
  <si>
    <t>Slab</t>
  </si>
  <si>
    <t>Kxx</t>
  </si>
  <si>
    <t>Kzz</t>
  </si>
  <si>
    <t>Ts</t>
  </si>
  <si>
    <t>Splice</t>
  </si>
  <si>
    <t>I1</t>
  </si>
  <si>
    <t>I2</t>
  </si>
  <si>
    <t>EIc</t>
  </si>
  <si>
    <t>EIr</t>
  </si>
  <si>
    <t>G</t>
  </si>
  <si>
    <t>MPa</t>
  </si>
  <si>
    <t>Nmm2</t>
  </si>
  <si>
    <t>Specimen 1</t>
  </si>
  <si>
    <t>B</t>
  </si>
  <si>
    <t>D</t>
  </si>
  <si>
    <t>(w.r.t. out-of-plane)</t>
  </si>
  <si>
    <t>βNcu</t>
  </si>
  <si>
    <t>Ws,D</t>
  </si>
  <si>
    <t>Ws,B</t>
  </si>
  <si>
    <t>Connection</t>
  </si>
  <si>
    <t>Restrainer End</t>
  </si>
  <si>
    <t>Result</t>
  </si>
  <si>
    <t>Root gap</t>
  </si>
  <si>
    <r>
      <rPr>
        <vertAlign val="subscript"/>
        <sz val="11"/>
        <color theme="1"/>
        <rFont val="Calibri"/>
        <family val="2"/>
        <scheme val="minor"/>
      </rPr>
      <t>AB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</si>
  <si>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Panel AB</t>
  </si>
  <si>
    <r>
      <rPr>
        <vertAlign val="subscript"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A</t>
    </r>
  </si>
  <si>
    <r>
      <rPr>
        <vertAlign val="subscript"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C</t>
    </r>
  </si>
  <si>
    <r>
      <rPr>
        <vertAlign val="subscript"/>
        <sz val="11"/>
        <color theme="1"/>
        <rFont val="Calibri"/>
        <family val="2"/>
        <scheme val="minor"/>
      </rPr>
      <t>BD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B</t>
    </r>
  </si>
  <si>
    <r>
      <rPr>
        <vertAlign val="subscript"/>
        <sz val="11"/>
        <color theme="1"/>
        <rFont val="Calibri"/>
        <family val="2"/>
        <scheme val="minor"/>
      </rPr>
      <t>BD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D</t>
    </r>
  </si>
  <si>
    <r>
      <t>AR</t>
    </r>
    <r>
      <rPr>
        <vertAlign val="subscript"/>
        <sz val="11"/>
        <color theme="1"/>
        <rFont val="Calibri"/>
        <family val="2"/>
        <scheme val="minor"/>
      </rPr>
      <t>AB</t>
    </r>
  </si>
  <si>
    <r>
      <t>AR</t>
    </r>
    <r>
      <rPr>
        <vertAlign val="subscript"/>
        <sz val="11"/>
        <color theme="1"/>
        <rFont val="Calibri"/>
        <family val="2"/>
        <scheme val="minor"/>
      </rPr>
      <t>AC</t>
    </r>
  </si>
  <si>
    <r>
      <t>AR</t>
    </r>
    <r>
      <rPr>
        <vertAlign val="subscript"/>
        <sz val="11"/>
        <color theme="1"/>
        <rFont val="Calibri"/>
        <family val="2"/>
        <scheme val="minor"/>
      </rPr>
      <t>BD</t>
    </r>
  </si>
  <si>
    <r>
      <t>K</t>
    </r>
    <r>
      <rPr>
        <vertAlign val="subscript"/>
        <sz val="11"/>
        <color theme="1"/>
        <rFont val="Calibri"/>
        <family val="2"/>
        <scheme val="minor"/>
      </rPr>
      <t>BD</t>
    </r>
  </si>
  <si>
    <r>
      <t>K</t>
    </r>
    <r>
      <rPr>
        <vertAlign val="subscript"/>
        <sz val="11"/>
        <color theme="1"/>
        <rFont val="Calibri"/>
        <family val="2"/>
        <scheme val="minor"/>
      </rPr>
      <t>AB</t>
    </r>
  </si>
  <si>
    <r>
      <t>K</t>
    </r>
    <r>
      <rPr>
        <vertAlign val="subscript"/>
        <sz val="11"/>
        <color theme="1"/>
        <rFont val="Calibri"/>
        <family val="2"/>
        <scheme val="minor"/>
      </rPr>
      <t>AC</t>
    </r>
  </si>
  <si>
    <r>
      <rPr>
        <vertAlign val="subscript"/>
        <sz val="11"/>
        <color theme="1"/>
        <rFont val="Calibri"/>
        <family val="2"/>
        <scheme val="minor"/>
      </rPr>
      <t>AB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B</t>
    </r>
  </si>
  <si>
    <t>N/mm</t>
  </si>
  <si>
    <t>Nmm</t>
  </si>
  <si>
    <r>
      <t>EI</t>
    </r>
    <r>
      <rPr>
        <vertAlign val="subscript"/>
        <sz val="11"/>
        <color theme="1"/>
        <rFont val="Calibri"/>
        <family val="2"/>
        <scheme val="minor"/>
      </rPr>
      <t>AB</t>
    </r>
  </si>
  <si>
    <r>
      <t>EI</t>
    </r>
    <r>
      <rPr>
        <vertAlign val="subscript"/>
        <sz val="11"/>
        <color theme="1"/>
        <rFont val="Calibri"/>
        <family val="2"/>
        <scheme val="minor"/>
      </rPr>
      <t>AC</t>
    </r>
  </si>
  <si>
    <r>
      <t>EI</t>
    </r>
    <r>
      <rPr>
        <vertAlign val="subscript"/>
        <sz val="11"/>
        <color theme="1"/>
        <rFont val="Calibri"/>
        <family val="2"/>
        <scheme val="minor"/>
      </rPr>
      <t>BD</t>
    </r>
  </si>
  <si>
    <r>
      <t>l</t>
    </r>
    <r>
      <rPr>
        <vertAlign val="subscript"/>
        <sz val="11"/>
        <color theme="1"/>
        <rFont val="Calibri"/>
        <family val="2"/>
        <scheme val="minor"/>
      </rPr>
      <t>AB</t>
    </r>
    <r>
      <rPr>
        <sz val="11"/>
        <color theme="1"/>
        <rFont val="Calibri"/>
        <family val="2"/>
        <scheme val="minor"/>
      </rPr>
      <t xml:space="preserve"> (l</t>
    </r>
    <r>
      <rPr>
        <vertAlign val="subscript"/>
        <sz val="11"/>
        <color theme="1"/>
        <rFont val="Calibri"/>
        <family val="2"/>
        <scheme val="minor"/>
      </rPr>
      <t>13</t>
    </r>
    <r>
      <rPr>
        <sz val="11"/>
        <color theme="1"/>
        <rFont val="Calibri"/>
        <family val="2"/>
        <scheme val="minor"/>
      </rPr>
      <t>)</t>
    </r>
  </si>
  <si>
    <r>
      <t>l</t>
    </r>
    <r>
      <rPr>
        <vertAlign val="subscript"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 xml:space="preserve"> (l</t>
    </r>
    <r>
      <rPr>
        <vertAlign val="subscript"/>
        <sz val="11"/>
        <color theme="1"/>
        <rFont val="Calibri"/>
        <family val="2"/>
        <scheme val="minor"/>
      </rPr>
      <t>23</t>
    </r>
    <r>
      <rPr>
        <sz val="11"/>
        <color theme="1"/>
        <rFont val="Calibri"/>
        <family val="2"/>
        <scheme val="minor"/>
      </rPr>
      <t>)</t>
    </r>
  </si>
  <si>
    <r>
      <t>l</t>
    </r>
    <r>
      <rPr>
        <vertAlign val="subscript"/>
        <sz val="11"/>
        <color theme="1"/>
        <rFont val="Calibri"/>
        <family val="2"/>
        <scheme val="minor"/>
      </rPr>
      <t>BD</t>
    </r>
    <r>
      <rPr>
        <sz val="11"/>
        <color theme="1"/>
        <rFont val="Calibri"/>
        <family val="2"/>
        <scheme val="minor"/>
      </rPr>
      <t xml:space="preserve"> (l</t>
    </r>
    <r>
      <rPr>
        <vertAlign val="subscript"/>
        <sz val="11"/>
        <color theme="1"/>
        <rFont val="Calibri"/>
        <family val="2"/>
        <scheme val="minor"/>
      </rPr>
      <t>34</t>
    </r>
    <r>
      <rPr>
        <sz val="11"/>
        <color theme="1"/>
        <rFont val="Calibri"/>
        <family val="2"/>
        <scheme val="minor"/>
      </rPr>
      <t>)</t>
    </r>
  </si>
  <si>
    <r>
      <t>t</t>
    </r>
    <r>
      <rPr>
        <vertAlign val="subscript"/>
        <sz val="11"/>
        <color theme="1"/>
        <rFont val="Calibri"/>
        <family val="2"/>
        <scheme val="minor"/>
      </rPr>
      <t>BD</t>
    </r>
  </si>
  <si>
    <r>
      <t>t</t>
    </r>
    <r>
      <rPr>
        <vertAlign val="subscript"/>
        <sz val="11"/>
        <color theme="1"/>
        <rFont val="Calibri"/>
        <family val="2"/>
        <scheme val="minor"/>
      </rPr>
      <t>AC</t>
    </r>
  </si>
  <si>
    <r>
      <t>t</t>
    </r>
    <r>
      <rPr>
        <vertAlign val="subscript"/>
        <sz val="11"/>
        <color theme="1"/>
        <rFont val="Calibri"/>
        <family val="2"/>
        <scheme val="minor"/>
      </rPr>
      <t>AB</t>
    </r>
  </si>
  <si>
    <t>Panel AC</t>
  </si>
  <si>
    <t>Panel BD</t>
  </si>
  <si>
    <t>Horiz Stiff.</t>
  </si>
  <si>
    <t>Vert Stiff.</t>
  </si>
  <si>
    <t>SS400B</t>
  </si>
  <si>
    <t>SS400</t>
  </si>
  <si>
    <t>Inc Splice?</t>
  </si>
  <si>
    <t>No</t>
  </si>
  <si>
    <t>Taper</t>
  </si>
  <si>
    <t>deg</t>
  </si>
  <si>
    <t>BRB5(Ref)</t>
  </si>
  <si>
    <t>SN400B/A572</t>
  </si>
  <si>
    <t>Confirmed on drawing.  100% confident</t>
  </si>
  <si>
    <t>Ambiguous or absent from drawing.  Best estimate provided</t>
  </si>
  <si>
    <t>Not relevant, or calculated value</t>
  </si>
  <si>
    <t>27/45</t>
  </si>
  <si>
    <t>tn,D</t>
  </si>
  <si>
    <t>tn,B</t>
  </si>
  <si>
    <t>Crfm+Ribs</t>
  </si>
  <si>
    <t>Collar</t>
  </si>
  <si>
    <t>OVERRIDES</t>
  </si>
  <si>
    <t>EIc/Lc</t>
  </si>
  <si>
    <t>ΔDY'</t>
  </si>
  <si>
    <t>Δ0'</t>
  </si>
  <si>
    <t>SYM</t>
  </si>
  <si>
    <t>ASYM</t>
  </si>
  <si>
    <r>
      <t>N</t>
    </r>
    <r>
      <rPr>
        <vertAlign val="subscript"/>
        <sz val="10"/>
        <rFont val="Calibri"/>
        <family val="2"/>
      </rPr>
      <t>cr,e</t>
    </r>
    <r>
      <rPr>
        <sz val="10"/>
        <rFont val="Calibri"/>
        <family val="2"/>
      </rPr>
      <t>/N</t>
    </r>
    <r>
      <rPr>
        <vertAlign val="subscript"/>
        <sz val="10"/>
        <rFont val="Calibri"/>
        <family val="2"/>
      </rPr>
      <t>cr,0</t>
    </r>
  </si>
  <si>
    <t>Example</t>
  </si>
  <si>
    <t>UBB400-126-2</t>
  </si>
  <si>
    <t>Ny</t>
  </si>
  <si>
    <t>Lin/D=2</t>
  </si>
  <si>
    <t>Stiffeners</t>
  </si>
  <si>
    <t>All</t>
  </si>
  <si>
    <t>SHS250x16</t>
  </si>
  <si>
    <t>Fixed</t>
  </si>
  <si>
    <t>Pinned</t>
  </si>
  <si>
    <t>H450x200x14x9</t>
  </si>
  <si>
    <t>Yes</t>
  </si>
  <si>
    <r>
      <t>sin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/Kzz</t>
    </r>
  </si>
  <si>
    <r>
      <t>cos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/Kxx</t>
    </r>
  </si>
  <si>
    <t>rad/kNm</t>
  </si>
  <si>
    <t>kNm2</t>
  </si>
  <si>
    <t>κf</t>
  </si>
  <si>
    <t>κg</t>
  </si>
  <si>
    <t>δ,CHS</t>
  </si>
  <si>
    <t>θ,CHS</t>
  </si>
  <si>
    <t>Mr,CHS</t>
  </si>
  <si>
    <t>δ,RHS</t>
  </si>
  <si>
    <t>θ,RHS</t>
  </si>
  <si>
    <t>Mr,RHS</t>
  </si>
  <si>
    <t>fyr</t>
  </si>
  <si>
    <t>a,RHS</t>
  </si>
  <si>
    <t>a.CHS</t>
  </si>
  <si>
    <t>Kr,RHS</t>
  </si>
  <si>
    <t>Kr,CHS</t>
  </si>
  <si>
    <t>δ0,CHS</t>
  </si>
  <si>
    <t>N*/Ny</t>
  </si>
  <si>
    <t>A</t>
  </si>
  <si>
    <t>Aw</t>
  </si>
  <si>
    <t>N*/Ny-Nwy</t>
  </si>
  <si>
    <t>mm3</t>
  </si>
  <si>
    <t>S(plastic)</t>
  </si>
  <si>
    <t>P*</t>
  </si>
  <si>
    <t>Lf</t>
  </si>
  <si>
    <t>Lg</t>
  </si>
  <si>
    <r>
      <t>M</t>
    </r>
    <r>
      <rPr>
        <vertAlign val="subscript"/>
        <sz val="10"/>
        <rFont val="Calibri"/>
        <family val="2"/>
      </rPr>
      <t>r</t>
    </r>
    <r>
      <rPr>
        <sz val="10"/>
        <rFont val="Calibri"/>
        <family val="2"/>
      </rPr>
      <t/>
    </r>
  </si>
  <si>
    <r>
      <t>M</t>
    </r>
    <r>
      <rPr>
        <vertAlign val="subscript"/>
        <sz val="10"/>
        <rFont val="Calibri"/>
        <family val="2"/>
      </rPr>
      <t>r,0</t>
    </r>
  </si>
  <si>
    <t>Г</t>
  </si>
  <si>
    <t>If</t>
  </si>
  <si>
    <t>mm6</t>
  </si>
  <si>
    <t>H300x150x9x6.5</t>
  </si>
  <si>
    <t>1/mm</t>
  </si>
  <si>
    <t>H300x200x16x9</t>
  </si>
  <si>
    <t>H150x50x9x9</t>
  </si>
  <si>
    <t>Rigid</t>
  </si>
  <si>
    <t>Beam 3</t>
  </si>
  <si>
    <t>Beam 4</t>
  </si>
  <si>
    <t>W12x72</t>
  </si>
  <si>
    <t>Axis</t>
  </si>
  <si>
    <t>Minor</t>
  </si>
  <si>
    <t>Major</t>
  </si>
  <si>
    <t>W16x42</t>
  </si>
  <si>
    <t>FE</t>
  </si>
  <si>
    <t>P</t>
  </si>
  <si>
    <t>Disp</t>
  </si>
  <si>
    <t>Flexural Disp.</t>
  </si>
  <si>
    <t>Z(elastic)</t>
  </si>
  <si>
    <t>θ0</t>
  </si>
  <si>
    <t>Kinoshita</t>
  </si>
  <si>
    <t>File</t>
  </si>
  <si>
    <t>Gusset - High (Takeuchi 2014).gwb</t>
  </si>
  <si>
    <t>Gusset - Low (Takeuchi 2014).gwb</t>
  </si>
  <si>
    <t>Neck Insert</t>
  </si>
  <si>
    <t>Takeuchi 2014</t>
  </si>
  <si>
    <t>Takeuchi 2016</t>
  </si>
  <si>
    <t>Okazaki 2012</t>
  </si>
  <si>
    <t>E (MPa)</t>
  </si>
  <si>
    <t>Mp,rest</t>
  </si>
  <si>
    <t>Aw/A</t>
  </si>
  <si>
    <t>N*</t>
  </si>
  <si>
    <t>My</t>
  </si>
  <si>
    <t>Mp</t>
  </si>
  <si>
    <t>My,N</t>
  </si>
  <si>
    <t>%My</t>
  </si>
  <si>
    <t>%Mp</t>
  </si>
  <si>
    <t>Mp,N</t>
  </si>
  <si>
    <t>N/Ny</t>
  </si>
  <si>
    <t>S</t>
  </si>
  <si>
    <t>Z</t>
  </si>
  <si>
    <t>Yield (Linear NM)</t>
  </si>
  <si>
    <t>Plastic (AIJ)</t>
  </si>
  <si>
    <t>Plastic (Exact)</t>
  </si>
  <si>
    <t>Restrainer Stiffness</t>
  </si>
  <si>
    <t>Cruciform Insert - Restrainer End Stiffness (Matsui 2010)</t>
  </si>
  <si>
    <t>Cruciform Insert - NM Capacity (AIJ)</t>
  </si>
  <si>
    <t>Input Data</t>
  </si>
  <si>
    <t>fy,n</t>
  </si>
  <si>
    <t>Flexural stiffness of restrainer steel casing, excluding mortar</t>
  </si>
  <si>
    <t>Effective rotational stiffness of restrainer moment transfer detail</t>
  </si>
  <si>
    <t>Plastic moment transfer capacity of restrainer moment transfer detail</t>
  </si>
  <si>
    <t>Plastic moment (reduced for NM interaction) of neck, using exact formula and N*=min(Ncr, βNcu)</t>
  </si>
  <si>
    <t>Notes:</t>
  </si>
  <si>
    <t>ID</t>
  </si>
  <si>
    <t>Bc</t>
  </si>
  <si>
    <t>tc</t>
  </si>
  <si>
    <t>fy,c</t>
  </si>
  <si>
    <t>M1</t>
  </si>
  <si>
    <t>M2</t>
  </si>
  <si>
    <t>M3</t>
  </si>
  <si>
    <t>Mc</t>
  </si>
  <si>
    <t>Kr2</t>
  </si>
  <si>
    <t>θy2</t>
  </si>
  <si>
    <t>θy1</t>
  </si>
  <si>
    <t>tg</t>
  </si>
  <si>
    <t>wb</t>
  </si>
  <si>
    <t>we</t>
  </si>
  <si>
    <t>ws</t>
  </si>
  <si>
    <t>hc</t>
  </si>
  <si>
    <t>he</t>
  </si>
  <si>
    <t>hs</t>
  </si>
  <si>
    <r>
      <t>θ</t>
    </r>
    <r>
      <rPr>
        <vertAlign val="subscript"/>
        <sz val="11"/>
        <color theme="1"/>
        <rFont val="Calibri"/>
        <family val="2"/>
        <scheme val="minor"/>
      </rPr>
      <t>B</t>
    </r>
  </si>
  <si>
    <r>
      <t>θ</t>
    </r>
    <r>
      <rPr>
        <vertAlign val="subscript"/>
        <sz val="11"/>
        <color theme="1"/>
        <rFont val="Calibri"/>
        <family val="2"/>
        <scheme val="minor"/>
      </rPr>
      <t>A</t>
    </r>
  </si>
  <si>
    <t>K</t>
  </si>
  <si>
    <t>ts</t>
  </si>
  <si>
    <t>kN/mm</t>
  </si>
  <si>
    <r>
      <t>t</t>
    </r>
    <r>
      <rPr>
        <vertAlign val="subscript"/>
        <sz val="11"/>
        <color theme="1"/>
        <rFont val="Calibri"/>
        <family val="2"/>
        <scheme val="minor"/>
      </rPr>
      <t>s,AD</t>
    </r>
  </si>
  <si>
    <r>
      <t>t</t>
    </r>
    <r>
      <rPr>
        <vertAlign val="subscript"/>
        <sz val="11"/>
        <color theme="1"/>
        <rFont val="Calibri"/>
        <family val="2"/>
        <scheme val="minor"/>
      </rPr>
      <t>s,AC</t>
    </r>
  </si>
  <si>
    <r>
      <t>t</t>
    </r>
    <r>
      <rPr>
        <vertAlign val="subscript"/>
        <sz val="11"/>
        <color theme="1"/>
        <rFont val="Calibri"/>
        <family val="2"/>
        <scheme val="minor"/>
      </rPr>
      <t>s,AB</t>
    </r>
  </si>
  <si>
    <t>ns</t>
  </si>
  <si>
    <t>Lj</t>
  </si>
  <si>
    <t>L13</t>
  </si>
  <si>
    <t>L23</t>
  </si>
  <si>
    <t>L34</t>
  </si>
  <si>
    <t>abHa</t>
  </si>
  <si>
    <t>abHb</t>
  </si>
  <si>
    <t>acHa</t>
  </si>
  <si>
    <t>acHc</t>
  </si>
  <si>
    <t>bdHb</t>
  </si>
  <si>
    <t>bdHd</t>
  </si>
  <si>
    <t>v</t>
  </si>
  <si>
    <t>kab</t>
  </si>
  <si>
    <t>kac</t>
  </si>
  <si>
    <t>kbd</t>
  </si>
  <si>
    <t>Kab</t>
  </si>
  <si>
    <t>Kac</t>
  </si>
  <si>
    <t>Kbd</t>
  </si>
  <si>
    <t>Kg*</t>
  </si>
  <si>
    <t>Test</t>
  </si>
  <si>
    <t>Kg*/err</t>
  </si>
  <si>
    <t>Kinoshita No2</t>
  </si>
  <si>
    <t>Stiffener</t>
  </si>
  <si>
    <t>No Stiffener</t>
  </si>
  <si>
    <t>No. 1</t>
  </si>
  <si>
    <t>No. 2</t>
  </si>
  <si>
    <t>No. 3</t>
  </si>
  <si>
    <t>No. 4</t>
  </si>
  <si>
    <t>No. 5</t>
  </si>
  <si>
    <t>No. 6</t>
  </si>
  <si>
    <t>No. 7</t>
  </si>
  <si>
    <t>C</t>
  </si>
  <si>
    <t>No. 8</t>
  </si>
  <si>
    <t>No. 9</t>
  </si>
  <si>
    <t>err</t>
  </si>
  <si>
    <t>Kino.</t>
  </si>
  <si>
    <t>δ</t>
  </si>
  <si>
    <r>
      <t>K</t>
    </r>
    <r>
      <rPr>
        <vertAlign val="subscript"/>
        <sz val="11"/>
        <color theme="1"/>
        <rFont val="Calibri"/>
        <family val="2"/>
      </rPr>
      <t>FE</t>
    </r>
  </si>
  <si>
    <r>
      <t>δ</t>
    </r>
    <r>
      <rPr>
        <vertAlign val="subscript"/>
        <sz val="11"/>
        <color theme="1"/>
        <rFont val="Calibri"/>
        <family val="2"/>
      </rPr>
      <t>EI</t>
    </r>
  </si>
  <si>
    <t>Mp,g</t>
  </si>
  <si>
    <t>Kg1</t>
  </si>
  <si>
    <t>Mp,g1</t>
  </si>
  <si>
    <t>Kg2</t>
  </si>
  <si>
    <t>Mp,g2</t>
  </si>
  <si>
    <t>gusset rotational stiffness</t>
  </si>
  <si>
    <t>Lc1</t>
  </si>
  <si>
    <t>Lc2</t>
  </si>
  <si>
    <t>Upper Connection</t>
  </si>
  <si>
    <t>Lower (Beam-Column) Connection</t>
  </si>
  <si>
    <t>Hinge</t>
  </si>
  <si>
    <t>Insert</t>
  </si>
  <si>
    <t>Lc'</t>
  </si>
  <si>
    <t>Kg'</t>
  </si>
  <si>
    <t>%Lf</t>
  </si>
  <si>
    <t>End Fixity</t>
  </si>
  <si>
    <r>
      <rPr>
        <b/>
        <sz val="11"/>
        <color theme="1"/>
        <rFont val="Calibri"/>
        <family val="2"/>
      </rPr>
      <t>∑</t>
    </r>
    <r>
      <rPr>
        <b/>
        <sz val="11"/>
        <color theme="1"/>
        <rFont val="Calibri"/>
        <family val="2"/>
        <scheme val="minor"/>
      </rPr>
      <t>Kzz</t>
    </r>
  </si>
  <si>
    <t>∑Kxx</t>
  </si>
  <si>
    <t>I/H Section</t>
  </si>
  <si>
    <t>tf</t>
  </si>
  <si>
    <t>tw</t>
  </si>
  <si>
    <t>I (Major)</t>
  </si>
  <si>
    <t>I (Minor)</t>
  </si>
  <si>
    <t>J (Approx)</t>
  </si>
  <si>
    <t>CHS Section</t>
  </si>
  <si>
    <t>RHS Section</t>
  </si>
  <si>
    <t>td</t>
  </si>
  <si>
    <t>tb</t>
  </si>
  <si>
    <t>J (approx)</t>
  </si>
  <si>
    <t>J: RHS Roarke tbl10.1.15</t>
  </si>
  <si>
    <t>J: CHS Roarke tbl10.1.13</t>
  </si>
  <si>
    <t>J: H/I Roarke tbl10.2.6</t>
  </si>
  <si>
    <t>cm4</t>
  </si>
  <si>
    <t>Beam (Torsion)</t>
  </si>
  <si>
    <t>Pinned: Roarke tbl 8.1.3e</t>
  </si>
  <si>
    <t>Fixed: Roarke tbl 8.1.3c</t>
  </si>
  <si>
    <t>G (MPa)</t>
  </si>
  <si>
    <t>Transverse Beams</t>
  </si>
  <si>
    <t>Columns (Beam-Column Only)</t>
  </si>
  <si>
    <t>Torsion Beam (Chevron Beam Connection only)</t>
  </si>
  <si>
    <t>Diaphragm</t>
  </si>
  <si>
    <t>Strongfloor</t>
  </si>
  <si>
    <t>Minor axis stiffness of in-plane beams</t>
  </si>
  <si>
    <t>Minor axis stiffness of transverse beams</t>
  </si>
  <si>
    <t>(full span)</t>
  </si>
  <si>
    <t>K(Flexure)=C*EI/L</t>
  </si>
  <si>
    <t>%L</t>
  </si>
  <si>
    <t>One-way</t>
  </si>
  <si>
    <t>Kf1</t>
  </si>
  <si>
    <t>Kf2</t>
  </si>
  <si>
    <t>Both Ends</t>
  </si>
  <si>
    <t>Upper(Beam)</t>
  </si>
  <si>
    <t>Lower(Beam-Col)</t>
  </si>
  <si>
    <t>Framing - Upper (Beam) Connection</t>
  </si>
  <si>
    <t>Framing - Lower (Beam-Column) Connection</t>
  </si>
  <si>
    <t>Beam Connection (Upper)</t>
  </si>
  <si>
    <t>Beam-Column Connection (Lower)</t>
  </si>
  <si>
    <t>Upper (Beam) Connection</t>
  </si>
  <si>
    <t>Rotation about end of insert (Lg+Lin)</t>
  </si>
  <si>
    <t>Rotation about end of restrainer casing (Lg)</t>
  </si>
  <si>
    <t>Desc</t>
  </si>
  <si>
    <t>H300x200x16x9 Cut</t>
  </si>
  <si>
    <t>elastic</t>
  </si>
  <si>
    <t>yield1</t>
  </si>
  <si>
    <t>yield2</t>
  </si>
  <si>
    <t>core</t>
  </si>
  <si>
    <t>total</t>
  </si>
  <si>
    <t>initial stiffness</t>
  </si>
  <si>
    <t>yield1 rot</t>
  </si>
  <si>
    <t>stage 2 stiffness</t>
  </si>
  <si>
    <t>yield2 rot</t>
  </si>
  <si>
    <t>%K</t>
  </si>
  <si>
    <t>Cw</t>
  </si>
  <si>
    <t>cm6</t>
  </si>
  <si>
    <t>Warping Rest</t>
  </si>
  <si>
    <t>Rotational stiffness of adjacent framing</t>
  </si>
  <si>
    <t>distance between framing - gusset centroid (point of rotation)</t>
  </si>
  <si>
    <t>K(Torsion)=2GJa/(cosh…) Takeuchi 2016 Eqn.C2 (also SCI P385, SCI P057, AISC DG9)</t>
  </si>
  <si>
    <t>Splice Plates</t>
  </si>
  <si>
    <t>Calc Methods</t>
  </si>
  <si>
    <t>Method</t>
  </si>
  <si>
    <t>Handed</t>
  </si>
  <si>
    <t>Axial Demand</t>
  </si>
  <si>
    <t>Lg2</t>
  </si>
  <si>
    <t>Lg1</t>
  </si>
  <si>
    <t>Reference</t>
  </si>
  <si>
    <r>
      <t>γ</t>
    </r>
    <r>
      <rPr>
        <vertAlign val="subscript"/>
        <sz val="11"/>
        <color theme="1"/>
        <rFont val="Calibri"/>
        <family val="2"/>
        <scheme val="minor"/>
      </rPr>
      <t>1</t>
    </r>
  </si>
  <si>
    <r>
      <t>ξ</t>
    </r>
    <r>
      <rPr>
        <vertAlign val="subscript"/>
        <sz val="11"/>
        <color theme="1"/>
        <rFont val="Calibri"/>
        <family val="2"/>
      </rPr>
      <t>1</t>
    </r>
  </si>
  <si>
    <r>
      <t>κ</t>
    </r>
    <r>
      <rPr>
        <vertAlign val="subscript"/>
        <sz val="11"/>
        <color theme="1"/>
        <rFont val="Calibri"/>
        <family val="2"/>
        <scheme val="minor"/>
      </rPr>
      <t>Rr1</t>
    </r>
  </si>
  <si>
    <r>
      <t>κ</t>
    </r>
    <r>
      <rPr>
        <vertAlign val="subscript"/>
        <sz val="11"/>
        <color theme="1"/>
        <rFont val="Calibri"/>
        <family val="2"/>
        <scheme val="minor"/>
      </rPr>
      <t>Rg1</t>
    </r>
  </si>
  <si>
    <r>
      <t>θ</t>
    </r>
    <r>
      <rPr>
        <vertAlign val="subscript"/>
        <sz val="11"/>
        <color theme="1"/>
        <rFont val="Calibri"/>
        <family val="2"/>
        <scheme val="minor"/>
      </rPr>
      <t>r1</t>
    </r>
  </si>
  <si>
    <r>
      <t>θ</t>
    </r>
    <r>
      <rPr>
        <vertAlign val="subscript"/>
        <sz val="11"/>
        <color theme="1"/>
        <rFont val="Calibri"/>
        <family val="2"/>
        <scheme val="minor"/>
      </rPr>
      <t>g1</t>
    </r>
  </si>
  <si>
    <r>
      <t>γ</t>
    </r>
    <r>
      <rPr>
        <vertAlign val="subscript"/>
        <sz val="11"/>
        <color theme="1"/>
        <rFont val="Calibri"/>
        <family val="2"/>
        <scheme val="minor"/>
      </rPr>
      <t>2</t>
    </r>
  </si>
  <si>
    <r>
      <t>ξ</t>
    </r>
    <r>
      <rPr>
        <vertAlign val="subscript"/>
        <sz val="11"/>
        <color theme="1"/>
        <rFont val="Calibri"/>
        <family val="2"/>
      </rPr>
      <t>2</t>
    </r>
  </si>
  <si>
    <r>
      <t>κ</t>
    </r>
    <r>
      <rPr>
        <vertAlign val="subscript"/>
        <sz val="11"/>
        <color theme="1"/>
        <rFont val="Calibri"/>
        <family val="2"/>
        <scheme val="minor"/>
      </rPr>
      <t>Rr2</t>
    </r>
  </si>
  <si>
    <r>
      <t>κ</t>
    </r>
    <r>
      <rPr>
        <vertAlign val="subscript"/>
        <sz val="11"/>
        <color theme="1"/>
        <rFont val="Calibri"/>
        <family val="2"/>
        <scheme val="minor"/>
      </rPr>
      <t>Rg2</t>
    </r>
  </si>
  <si>
    <r>
      <t>θ</t>
    </r>
    <r>
      <rPr>
        <vertAlign val="subscript"/>
        <sz val="11"/>
        <color theme="1"/>
        <rFont val="Calibri"/>
        <family val="2"/>
        <scheme val="minor"/>
      </rPr>
      <t>r2</t>
    </r>
  </si>
  <si>
    <r>
      <t>θ</t>
    </r>
    <r>
      <rPr>
        <vertAlign val="subscript"/>
        <sz val="11"/>
        <color theme="1"/>
        <rFont val="Calibri"/>
        <family val="2"/>
        <scheme val="minor"/>
      </rPr>
      <t>g2</t>
    </r>
  </si>
  <si>
    <t>Restrainer End to Gusset Center of Rotation (Flange)</t>
  </si>
  <si>
    <t>Restrainer End to Beam Center of Rotation (Beam Centroid)</t>
  </si>
  <si>
    <t>Center of rotation: Restrainer end (+0) or Insert end (+Lin)</t>
  </si>
  <si>
    <t>Insert length</t>
  </si>
  <si>
    <t>Lr</t>
  </si>
  <si>
    <t>Full Length</t>
  </si>
  <si>
    <t>Change units</t>
  </si>
  <si>
    <t>Upper (Beam)</t>
  </si>
  <si>
    <t>Lower (Beam-Col)</t>
  </si>
  <si>
    <t>Connection Stiffness</t>
  </si>
  <si>
    <t>Section Properties</t>
  </si>
  <si>
    <t>tw/tb</t>
  </si>
  <si>
    <t>Section</t>
  </si>
  <si>
    <t>Iyy</t>
  </si>
  <si>
    <t>Izz</t>
  </si>
  <si>
    <t>SHS</t>
  </si>
  <si>
    <t>t/tf/td</t>
  </si>
  <si>
    <t>GSA</t>
  </si>
  <si>
    <t>Calculated</t>
  </si>
  <si>
    <t>Error</t>
  </si>
  <si>
    <t>Gusset - Kinoshita's method</t>
  </si>
  <si>
    <r>
      <t>L</t>
    </r>
    <r>
      <rPr>
        <vertAlign val="subscript"/>
        <sz val="11"/>
        <color theme="1"/>
        <rFont val="Calibri"/>
        <family val="2"/>
        <scheme val="minor"/>
      </rPr>
      <t>gusset</t>
    </r>
  </si>
  <si>
    <r>
      <t>L</t>
    </r>
    <r>
      <rPr>
        <vertAlign val="subscript"/>
        <sz val="11"/>
        <color theme="1"/>
        <rFont val="Calibri"/>
        <family val="2"/>
        <scheme val="minor"/>
      </rPr>
      <t>root</t>
    </r>
  </si>
  <si>
    <r>
      <t>L</t>
    </r>
    <r>
      <rPr>
        <vertAlign val="subscript"/>
        <sz val="11"/>
        <color theme="1"/>
        <rFont val="Calibri"/>
        <family val="2"/>
        <scheme val="minor"/>
      </rPr>
      <t>neck</t>
    </r>
  </si>
  <si>
    <r>
      <t>L</t>
    </r>
    <r>
      <rPr>
        <vertAlign val="subscript"/>
        <sz val="11"/>
        <color theme="1"/>
        <rFont val="Calibri"/>
        <family val="2"/>
        <scheme val="minor"/>
      </rPr>
      <t>frame</t>
    </r>
  </si>
  <si>
    <t>Lg(+Lin)</t>
  </si>
  <si>
    <r>
      <rPr>
        <sz val="11"/>
        <color theme="1"/>
        <rFont val="Calibri"/>
        <family val="2"/>
      </rPr>
      <t>∑</t>
    </r>
    <r>
      <rPr>
        <sz val="11"/>
        <color theme="1"/>
        <rFont val="Calibri"/>
        <family val="2"/>
        <scheme val="minor"/>
      </rPr>
      <t>Lin</t>
    </r>
  </si>
  <si>
    <t>Lr'</t>
  </si>
  <si>
    <t>βNu</t>
  </si>
  <si>
    <t>ωβ</t>
  </si>
  <si>
    <t>HSS200x9</t>
  </si>
  <si>
    <t>Adj Frame</t>
  </si>
  <si>
    <r>
      <t>L</t>
    </r>
    <r>
      <rPr>
        <vertAlign val="subscript"/>
        <sz val="11"/>
        <color theme="1"/>
        <rFont val="Calibri"/>
        <family val="2"/>
        <scheme val="minor"/>
      </rPr>
      <t>0</t>
    </r>
  </si>
  <si>
    <r>
      <t>EI</t>
    </r>
    <r>
      <rPr>
        <vertAlign val="subscript"/>
        <sz val="11"/>
        <color theme="1"/>
        <rFont val="Calibri"/>
        <family val="2"/>
        <scheme val="minor"/>
      </rPr>
      <t>c</t>
    </r>
  </si>
  <si>
    <r>
      <t>EI</t>
    </r>
    <r>
      <rPr>
        <vertAlign val="subscript"/>
        <sz val="11"/>
        <color theme="1"/>
        <rFont val="Calibri"/>
        <family val="2"/>
        <scheme val="minor"/>
      </rPr>
      <t>r</t>
    </r>
  </si>
  <si>
    <r>
      <t>K</t>
    </r>
    <r>
      <rPr>
        <vertAlign val="subscript"/>
        <sz val="11"/>
        <color theme="1"/>
        <rFont val="Calibri"/>
        <family val="2"/>
        <scheme val="minor"/>
      </rPr>
      <t>f1</t>
    </r>
  </si>
  <si>
    <r>
      <t>K</t>
    </r>
    <r>
      <rPr>
        <vertAlign val="subscript"/>
        <sz val="11"/>
        <color theme="1"/>
        <rFont val="Calibri"/>
        <family val="2"/>
        <scheme val="minor"/>
      </rPr>
      <t>f2</t>
    </r>
  </si>
  <si>
    <r>
      <t>K</t>
    </r>
    <r>
      <rPr>
        <vertAlign val="subscript"/>
        <sz val="11"/>
        <color theme="1"/>
        <rFont val="Calibri"/>
        <family val="2"/>
        <scheme val="minor"/>
      </rPr>
      <t>g1</t>
    </r>
  </si>
  <si>
    <r>
      <t>K</t>
    </r>
    <r>
      <rPr>
        <vertAlign val="subscript"/>
        <sz val="11"/>
        <color theme="1"/>
        <rFont val="Calibri"/>
        <family val="2"/>
        <scheme val="minor"/>
      </rPr>
      <t>g2</t>
    </r>
  </si>
  <si>
    <r>
      <t>L</t>
    </r>
    <r>
      <rPr>
        <vertAlign val="subscript"/>
        <sz val="11"/>
        <color theme="1"/>
        <rFont val="Calibri"/>
        <family val="2"/>
        <scheme val="minor"/>
      </rPr>
      <t>g1</t>
    </r>
  </si>
  <si>
    <r>
      <t>L</t>
    </r>
    <r>
      <rPr>
        <vertAlign val="subscript"/>
        <sz val="11"/>
        <color theme="1"/>
        <rFont val="Calibri"/>
        <family val="2"/>
        <scheme val="minor"/>
      </rPr>
      <t>g2</t>
    </r>
  </si>
  <si>
    <r>
      <t>M</t>
    </r>
    <r>
      <rPr>
        <vertAlign val="subscript"/>
        <sz val="11"/>
        <color theme="1"/>
        <rFont val="Calibri"/>
        <family val="2"/>
        <scheme val="minor"/>
      </rPr>
      <t>p,g1</t>
    </r>
  </si>
  <si>
    <r>
      <t>M</t>
    </r>
    <r>
      <rPr>
        <vertAlign val="subscript"/>
        <sz val="11"/>
        <color theme="1"/>
        <rFont val="Calibri"/>
        <family val="2"/>
        <scheme val="minor"/>
      </rPr>
      <t>p,g2</t>
    </r>
  </si>
  <si>
    <r>
      <t>K</t>
    </r>
    <r>
      <rPr>
        <vertAlign val="subscript"/>
        <sz val="11"/>
        <color theme="1"/>
        <rFont val="Calibri"/>
        <family val="2"/>
        <scheme val="minor"/>
      </rPr>
      <t>r</t>
    </r>
  </si>
  <si>
    <r>
      <t>M</t>
    </r>
    <r>
      <rPr>
        <vertAlign val="subscript"/>
        <sz val="11"/>
        <color theme="1"/>
        <rFont val="Calibri"/>
        <family val="2"/>
        <scheme val="minor"/>
      </rPr>
      <t>p,rest</t>
    </r>
  </si>
  <si>
    <r>
      <t>M</t>
    </r>
    <r>
      <rPr>
        <vertAlign val="subscript"/>
        <sz val="11"/>
        <color theme="1"/>
        <rFont val="Calibri"/>
        <family val="2"/>
        <scheme val="minor"/>
      </rPr>
      <t>p,neck</t>
    </r>
  </si>
  <si>
    <r>
      <t>a</t>
    </r>
    <r>
      <rPr>
        <vertAlign val="subscript"/>
        <sz val="11"/>
        <color theme="1"/>
        <rFont val="Calibri"/>
        <family val="2"/>
        <scheme val="minor"/>
      </rPr>
      <t>r1</t>
    </r>
  </si>
  <si>
    <r>
      <t>a</t>
    </r>
    <r>
      <rPr>
        <vertAlign val="subscript"/>
        <sz val="11"/>
        <color theme="1"/>
        <rFont val="Calibri"/>
        <family val="2"/>
        <scheme val="minor"/>
      </rPr>
      <t>r2</t>
    </r>
  </si>
  <si>
    <t>Imperf</t>
  </si>
  <si>
    <t>2s/Lin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</si>
  <si>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0</t>
    </r>
  </si>
  <si>
    <r>
      <t>M</t>
    </r>
    <r>
      <rPr>
        <vertAlign val="subscript"/>
        <sz val="11"/>
        <color theme="1"/>
        <rFont val="Calibri"/>
        <family val="2"/>
        <scheme val="minor"/>
      </rPr>
      <t>0,g</t>
    </r>
  </si>
  <si>
    <r>
      <t>M</t>
    </r>
    <r>
      <rPr>
        <vertAlign val="subscript"/>
        <sz val="11"/>
        <color theme="1"/>
        <rFont val="Calibri"/>
        <family val="2"/>
        <scheme val="minor"/>
      </rPr>
      <t>0,r</t>
    </r>
  </si>
  <si>
    <t>Drift</t>
  </si>
  <si>
    <r>
      <t>N</t>
    </r>
    <r>
      <rPr>
        <vertAlign val="subscript"/>
        <sz val="11"/>
        <color theme="1"/>
        <rFont val="Calibri"/>
        <family val="2"/>
        <scheme val="minor"/>
      </rPr>
      <t>cr,0</t>
    </r>
  </si>
  <si>
    <t>cr</t>
  </si>
  <si>
    <t>cg</t>
  </si>
  <si>
    <r>
      <t>N</t>
    </r>
    <r>
      <rPr>
        <vertAlign val="subscript"/>
        <sz val="11"/>
        <color theme="1"/>
        <rFont val="Calibri"/>
        <family val="2"/>
        <scheme val="minor"/>
      </rPr>
      <t>cr,b</t>
    </r>
  </si>
  <si>
    <t>Symmetric Mode</t>
  </si>
  <si>
    <t>Anti-symmetric Mode</t>
  </si>
  <si>
    <r>
      <t>N</t>
    </r>
    <r>
      <rPr>
        <vertAlign val="subscript"/>
        <sz val="11"/>
        <color theme="1"/>
        <rFont val="Calibri"/>
        <family val="2"/>
        <scheme val="minor"/>
      </rPr>
      <t>cr</t>
    </r>
  </si>
  <si>
    <t>SF (Ncr)</t>
  </si>
  <si>
    <t>SF (βNu)</t>
  </si>
  <si>
    <t>Cantilever</t>
  </si>
  <si>
    <r>
      <t>N</t>
    </r>
    <r>
      <rPr>
        <vertAlign val="subscript"/>
        <sz val="11"/>
        <color theme="1"/>
        <rFont val="Calibri"/>
        <family val="2"/>
        <scheme val="minor"/>
      </rPr>
      <t>cr,B</t>
    </r>
    <r>
      <rPr>
        <sz val="11"/>
        <color theme="1"/>
        <rFont val="Calibri"/>
        <family val="2"/>
        <scheme val="minor"/>
      </rPr>
      <t>/N</t>
    </r>
    <r>
      <rPr>
        <vertAlign val="subscript"/>
        <sz val="11"/>
        <color theme="1"/>
        <rFont val="Calibri"/>
        <family val="2"/>
        <scheme val="minor"/>
      </rPr>
      <t>cr,R</t>
    </r>
  </si>
  <si>
    <t>Stats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</si>
  <si>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r</t>
    </r>
  </si>
  <si>
    <r>
      <t>N</t>
    </r>
    <r>
      <rPr>
        <vertAlign val="subscript"/>
        <sz val="11"/>
        <color theme="1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>/N</t>
    </r>
    <r>
      <rPr>
        <vertAlign val="subscript"/>
        <sz val="11"/>
        <color theme="1"/>
        <rFont val="Calibri"/>
        <family val="2"/>
        <scheme val="minor"/>
      </rPr>
      <t>cr,B</t>
    </r>
  </si>
  <si>
    <t>Symmetric</t>
  </si>
  <si>
    <t>Asymmetric</t>
  </si>
  <si>
    <t>(ignore Mp,rest)</t>
  </si>
  <si>
    <t>(ingore lower connection)</t>
  </si>
  <si>
    <t>Nc</t>
  </si>
  <si>
    <t>Christopulos 2005 (elastic frame)</t>
  </si>
  <si>
    <t>Christopulos 2005 (yielded frame)</t>
  </si>
  <si>
    <t>fu/fy</t>
  </si>
  <si>
    <t>fu,r</t>
  </si>
  <si>
    <t>Plastic (AIJ-Takeuchi)</t>
  </si>
  <si>
    <t>AIJ-Takeuchi</t>
  </si>
  <si>
    <t>Yield</t>
  </si>
  <si>
    <t>AIJ</t>
  </si>
  <si>
    <t>Exact</t>
  </si>
  <si>
    <t>NZ</t>
  </si>
  <si>
    <t>Plastic (NZ)</t>
  </si>
  <si>
    <t>Initial</t>
  </si>
  <si>
    <t>Secant</t>
  </si>
  <si>
    <t>Stiffness</t>
  </si>
  <si>
    <t>%Ncr0</t>
  </si>
  <si>
    <t>%Nyr</t>
  </si>
  <si>
    <t>Buckling</t>
  </si>
  <si>
    <t>λ</t>
  </si>
  <si>
    <t>strut curve</t>
  </si>
  <si>
    <t>c</t>
  </si>
  <si>
    <t>a0</t>
  </si>
  <si>
    <t>b</t>
  </si>
  <si>
    <t>d</t>
  </si>
  <si>
    <t>Eurocode 3</t>
  </si>
  <si>
    <t>BS5950</t>
  </si>
  <si>
    <t>Euler</t>
  </si>
  <si>
    <t>fcr/fy</t>
  </si>
  <si>
    <t>Elastic Buckling</t>
  </si>
  <si>
    <t>Previous Proposal (Takeuchi EESD 2014)</t>
  </si>
  <si>
    <t>New Proposal (Sitler IABSE 2017)</t>
  </si>
  <si>
    <t>Critical Section</t>
  </si>
  <si>
    <r>
      <t>W</t>
    </r>
    <r>
      <rPr>
        <vertAlign val="subscript"/>
        <sz val="11"/>
        <color theme="1"/>
        <rFont val="Calibri"/>
        <family val="2"/>
        <scheme val="minor"/>
      </rPr>
      <t>whitmore</t>
    </r>
  </si>
  <si>
    <t>Modified</t>
  </si>
  <si>
    <t>Channel</t>
  </si>
  <si>
    <t>C300x50x9x9</t>
  </si>
  <si>
    <t>C150x50x9x9</t>
  </si>
  <si>
    <t>(fixed edge model)</t>
  </si>
  <si>
    <t>∞</t>
  </si>
  <si>
    <r>
      <t>N</t>
    </r>
    <r>
      <rPr>
        <vertAlign val="subscript"/>
        <sz val="11"/>
        <color theme="1"/>
        <rFont val="Calibri"/>
        <family val="2"/>
        <scheme val="minor"/>
      </rPr>
      <t>lim1</t>
    </r>
  </si>
  <si>
    <r>
      <t>N</t>
    </r>
    <r>
      <rPr>
        <vertAlign val="subscript"/>
        <sz val="11"/>
        <color theme="1"/>
        <rFont val="Calibri"/>
        <family val="2"/>
        <scheme val="minor"/>
      </rPr>
      <t>lim2</t>
    </r>
  </si>
  <si>
    <r>
      <t>Δ</t>
    </r>
    <r>
      <rPr>
        <vertAlign val="subscript"/>
        <sz val="11"/>
        <color theme="1"/>
        <rFont val="Calibri"/>
        <family val="2"/>
      </rPr>
      <t>r,sym</t>
    </r>
  </si>
  <si>
    <r>
      <t>Δ</t>
    </r>
    <r>
      <rPr>
        <vertAlign val="subscript"/>
        <sz val="11"/>
        <color theme="1"/>
        <rFont val="Calibri"/>
        <family val="2"/>
      </rPr>
      <t>r,asym</t>
    </r>
  </si>
  <si>
    <r>
      <t>Δ</t>
    </r>
    <r>
      <rPr>
        <vertAlign val="subscript"/>
        <sz val="11"/>
        <color theme="1"/>
        <rFont val="Calibri"/>
        <family val="2"/>
        <scheme val="minor"/>
      </rPr>
      <t>in</t>
    </r>
  </si>
  <si>
    <r>
      <t>Δ</t>
    </r>
    <r>
      <rPr>
        <vertAlign val="subscript"/>
        <sz val="11"/>
        <color theme="1"/>
        <rFont val="Calibri"/>
        <family val="2"/>
        <scheme val="minor"/>
      </rPr>
      <t>0</t>
    </r>
  </si>
  <si>
    <t>〒198-0024 Tōkyō-to, Oume-shi, Shinmachi, 8 Chome−1−3</t>
  </si>
  <si>
    <t>Eic</t>
  </si>
  <si>
    <t>N/mm2</t>
  </si>
  <si>
    <t>Strut Curve</t>
  </si>
  <si>
    <t>Ncr_BS5950</t>
  </si>
  <si>
    <t>Ncr_AISC360</t>
  </si>
  <si>
    <t>Ncr_EC3</t>
  </si>
  <si>
    <t>Ncr_NZS3404</t>
  </si>
  <si>
    <r>
      <rPr>
        <sz val="11"/>
        <color theme="1"/>
        <rFont val="Times New Roman"/>
        <family val="1"/>
      </rPr>
      <t>α</t>
    </r>
    <r>
      <rPr>
        <sz val="11"/>
        <color theme="1"/>
        <rFont val="Calibri"/>
        <family val="2"/>
      </rPr>
      <t>b</t>
    </r>
  </si>
  <si>
    <t>sym</t>
  </si>
  <si>
    <t>asym</t>
  </si>
  <si>
    <t>one</t>
  </si>
  <si>
    <t>chev</t>
  </si>
  <si>
    <t>mode</t>
  </si>
  <si>
    <t>κg2</t>
  </si>
  <si>
    <t>κr2</t>
  </si>
  <si>
    <t>ξ2</t>
  </si>
  <si>
    <t>γ2</t>
  </si>
  <si>
    <t>Spreadsheet</t>
  </si>
  <si>
    <t>C# addin</t>
  </si>
  <si>
    <t>error</t>
  </si>
  <si>
    <t>error %</t>
  </si>
  <si>
    <t>C# Addin</t>
  </si>
  <si>
    <t>chev{2}</t>
  </si>
  <si>
    <t>chev{1}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</si>
</sst>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%"/>
    <numFmt numFmtId="166" formatCode="0.0%"/>
    <numFmt numFmtId="167" formatCode="0.0########,&quot;E9&quot;"/>
    <numFmt numFmtId="168" formatCode="#,##0.0"/>
    <numFmt numFmtId="169" formatCode="#,##0.000"/>
    <numFmt numFmtId="170" formatCode="0.000"/>
    <numFmt numFmtId="171" formatCode="0.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Calibri"/>
      <family val="2"/>
    </font>
    <font>
      <vertAlign val="subscript"/>
      <sz val="10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Times New Roman"/>
      <family val="1"/>
    </font>
    <font>
      <sz val="11"/>
      <color theme="0" tint="-0.34998626667073579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1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>
      <alignment vertical="center"/>
    </xf>
  </cellStyleXfs>
  <cellXfs count="653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0" fontId="0" fillId="5" borderId="1" xfId="0" applyNumberFormat="1" applyFill="1" applyBorder="1" applyAlignment="1">
      <alignment horizontal="center"/>
    </xf>
    <xf numFmtId="165" fontId="5" fillId="5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" fontId="12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4" fontId="0" fillId="0" borderId="0" xfId="0" applyNumberFormat="1" applyBorder="1" applyAlignment="1">
      <alignment horizontal="center"/>
    </xf>
    <xf numFmtId="11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1" fontId="8" fillId="3" borderId="1" xfId="0" applyNumberFormat="1" applyFont="1" applyFill="1" applyBorder="1" applyAlignment="1">
      <alignment horizontal="center"/>
    </xf>
    <xf numFmtId="4" fontId="12" fillId="0" borderId="1" xfId="0" applyNumberFormat="1" applyFont="1" applyBorder="1" applyAlignment="1">
      <alignment horizontal="center"/>
    </xf>
    <xf numFmtId="11" fontId="12" fillId="0" borderId="1" xfId="0" applyNumberFormat="1" applyFont="1" applyBorder="1" applyAlignment="1">
      <alignment horizontal="center"/>
    </xf>
    <xf numFmtId="164" fontId="8" fillId="3" borderId="1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1" fontId="8" fillId="3" borderId="0" xfId="0" applyNumberFormat="1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1" fontId="8" fillId="3" borderId="0" xfId="0" applyNumberFormat="1" applyFon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6" fontId="8" fillId="0" borderId="0" xfId="0" applyNumberFormat="1" applyFont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164" fontId="8" fillId="3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1" fontId="0" fillId="0" borderId="0" xfId="0" applyNumberFormat="1" applyFill="1" applyBorder="1" applyAlignment="1">
      <alignment horizontal="center"/>
    </xf>
    <xf numFmtId="11" fontId="12" fillId="3" borderId="0" xfId="0" applyNumberFormat="1" applyFont="1" applyFill="1" applyBorder="1" applyAlignment="1">
      <alignment horizontal="center"/>
    </xf>
    <xf numFmtId="11" fontId="12" fillId="3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left"/>
    </xf>
    <xf numFmtId="1" fontId="8" fillId="0" borderId="0" xfId="0" applyNumberFormat="1" applyFont="1" applyFill="1" applyBorder="1" applyAlignment="1">
      <alignment horizontal="center"/>
    </xf>
    <xf numFmtId="11" fontId="7" fillId="3" borderId="1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4" fontId="12" fillId="0" borderId="0" xfId="0" applyNumberFormat="1" applyFont="1" applyBorder="1" applyAlignment="1">
      <alignment horizontal="center"/>
    </xf>
    <xf numFmtId="11" fontId="12" fillId="0" borderId="0" xfId="0" applyNumberFormat="1" applyFont="1" applyBorder="1" applyAlignment="1">
      <alignment horizontal="center"/>
    </xf>
    <xf numFmtId="11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1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0" fontId="0" fillId="5" borderId="0" xfId="0" applyNumberFormat="1" applyFill="1" applyBorder="1" applyAlignment="1">
      <alignment horizontal="center"/>
    </xf>
    <xf numFmtId="4" fontId="0" fillId="5" borderId="0" xfId="0" applyNumberFormat="1" applyFill="1" applyBorder="1" applyAlignment="1">
      <alignment horizontal="center"/>
    </xf>
    <xf numFmtId="165" fontId="5" fillId="5" borderId="0" xfId="0" applyNumberFormat="1" applyFont="1" applyFill="1" applyBorder="1" applyAlignment="1">
      <alignment horizontal="center"/>
    </xf>
    <xf numFmtId="9" fontId="0" fillId="3" borderId="0" xfId="0" applyNumberFormat="1" applyFill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1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11" fontId="0" fillId="2" borderId="1" xfId="0" applyNumberFormat="1" applyFill="1" applyBorder="1" applyAlignment="1">
      <alignment horizontal="center"/>
    </xf>
    <xf numFmtId="11" fontId="0" fillId="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" fontId="7" fillId="3" borderId="1" xfId="0" applyNumberFormat="1" applyFon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0" fontId="7" fillId="0" borderId="0" xfId="0" applyNumberFormat="1" applyFont="1" applyBorder="1" applyAlignment="1">
      <alignment horizontal="center"/>
    </xf>
    <xf numFmtId="10" fontId="7" fillId="0" borderId="1" xfId="0" applyNumberFormat="1" applyFon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64" fontId="12" fillId="3" borderId="1" xfId="0" applyNumberFormat="1" applyFont="1" applyFill="1" applyBorder="1" applyAlignment="1">
      <alignment horizontal="center"/>
    </xf>
    <xf numFmtId="11" fontId="12" fillId="0" borderId="1" xfId="0" applyNumberFormat="1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11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1" fontId="12" fillId="5" borderId="1" xfId="0" applyNumberFormat="1" applyFont="1" applyFill="1" applyBorder="1" applyAlignment="1">
      <alignment horizontal="center"/>
    </xf>
    <xf numFmtId="1" fontId="12" fillId="5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12" fillId="2" borderId="1" xfId="0" applyNumberFormat="1" applyFont="1" applyFill="1" applyBorder="1" applyAlignment="1">
      <alignment horizontal="center"/>
    </xf>
    <xf numFmtId="164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164" fontId="12" fillId="2" borderId="1" xfId="0" applyNumberFormat="1" applyFont="1" applyFill="1" applyBorder="1" applyAlignment="1">
      <alignment horizontal="center"/>
    </xf>
    <xf numFmtId="164" fontId="12" fillId="4" borderId="1" xfId="0" applyNumberFormat="1" applyFont="1" applyFill="1" applyBorder="1" applyAlignment="1">
      <alignment horizontal="center"/>
    </xf>
    <xf numFmtId="10" fontId="12" fillId="5" borderId="1" xfId="0" applyNumberFormat="1" applyFont="1" applyFill="1" applyBorder="1" applyAlignment="1">
      <alignment horizontal="center"/>
    </xf>
    <xf numFmtId="4" fontId="12" fillId="5" borderId="1" xfId="0" applyNumberFormat="1" applyFont="1" applyFill="1" applyBorder="1" applyAlignment="1">
      <alignment horizontal="center"/>
    </xf>
    <xf numFmtId="166" fontId="12" fillId="5" borderId="1" xfId="0" applyNumberFormat="1" applyFont="1" applyFill="1" applyBorder="1" applyAlignment="1">
      <alignment horizontal="center"/>
    </xf>
    <xf numFmtId="9" fontId="12" fillId="3" borderId="1" xfId="0" applyNumberFormat="1" applyFont="1" applyFill="1" applyBorder="1" applyAlignment="1">
      <alignment horizontal="center"/>
    </xf>
    <xf numFmtId="1" fontId="12" fillId="3" borderId="0" xfId="0" applyNumberFormat="1" applyFont="1" applyFill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164" fontId="12" fillId="3" borderId="0" xfId="0" applyNumberFormat="1" applyFont="1" applyFill="1" applyBorder="1" applyAlignment="1">
      <alignment horizontal="center"/>
    </xf>
    <xf numFmtId="166" fontId="12" fillId="0" borderId="0" xfId="0" applyNumberFormat="1" applyFont="1" applyBorder="1" applyAlignment="1">
      <alignment horizontal="center"/>
    </xf>
    <xf numFmtId="10" fontId="12" fillId="0" borderId="0" xfId="0" applyNumberFormat="1" applyFont="1" applyBorder="1" applyAlignment="1">
      <alignment horizontal="center"/>
    </xf>
    <xf numFmtId="11" fontId="12" fillId="0" borderId="0" xfId="0" applyNumberFormat="1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11" fontId="12" fillId="2" borderId="0" xfId="0" applyNumberFormat="1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11" fontId="12" fillId="5" borderId="0" xfId="0" applyNumberFormat="1" applyFont="1" applyFill="1" applyBorder="1" applyAlignment="1">
      <alignment horizontal="center"/>
    </xf>
    <xf numFmtId="1" fontId="12" fillId="5" borderId="0" xfId="0" applyNumberFormat="1" applyFont="1" applyFill="1" applyBorder="1" applyAlignment="1">
      <alignment horizontal="center"/>
    </xf>
    <xf numFmtId="1" fontId="12" fillId="2" borderId="0" xfId="0" applyNumberFormat="1" applyFont="1" applyFill="1" applyBorder="1" applyAlignment="1">
      <alignment horizontal="center"/>
    </xf>
    <xf numFmtId="10" fontId="12" fillId="2" borderId="0" xfId="0" applyNumberFormat="1" applyFont="1" applyFill="1" applyBorder="1" applyAlignment="1">
      <alignment horizontal="center"/>
    </xf>
    <xf numFmtId="164" fontId="12" fillId="5" borderId="0" xfId="0" applyNumberFormat="1" applyFont="1" applyFill="1" applyBorder="1" applyAlignment="1">
      <alignment horizontal="center"/>
    </xf>
    <xf numFmtId="0" fontId="12" fillId="5" borderId="0" xfId="0" applyFon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2" fillId="4" borderId="0" xfId="0" applyNumberFormat="1" applyFont="1" applyFill="1" applyBorder="1" applyAlignment="1">
      <alignment horizontal="center"/>
    </xf>
    <xf numFmtId="10" fontId="12" fillId="5" borderId="0" xfId="0" applyNumberFormat="1" applyFont="1" applyFill="1" applyBorder="1" applyAlignment="1">
      <alignment horizontal="center"/>
    </xf>
    <xf numFmtId="4" fontId="12" fillId="5" borderId="0" xfId="0" applyNumberFormat="1" applyFont="1" applyFill="1" applyBorder="1" applyAlignment="1">
      <alignment horizontal="center"/>
    </xf>
    <xf numFmtId="166" fontId="12" fillId="5" borderId="0" xfId="0" applyNumberFormat="1" applyFont="1" applyFill="1" applyBorder="1" applyAlignment="1">
      <alignment horizontal="center"/>
    </xf>
    <xf numFmtId="9" fontId="12" fillId="3" borderId="0" xfId="0" applyNumberFormat="1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1" fontId="17" fillId="3" borderId="0" xfId="0" applyNumberFormat="1" applyFont="1" applyFill="1" applyBorder="1" applyAlignment="1">
      <alignment horizontal="center"/>
    </xf>
    <xf numFmtId="164" fontId="17" fillId="0" borderId="0" xfId="0" applyNumberFormat="1" applyFont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10" fontId="17" fillId="0" borderId="0" xfId="0" applyNumberFormat="1" applyFont="1" applyBorder="1" applyAlignment="1">
      <alignment horizontal="center"/>
    </xf>
    <xf numFmtId="11" fontId="17" fillId="0" borderId="0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1" fontId="17" fillId="3" borderId="1" xfId="0" applyNumberFormat="1" applyFont="1" applyFill="1" applyBorder="1" applyAlignment="1">
      <alignment horizontal="center"/>
    </xf>
    <xf numFmtId="164" fontId="17" fillId="0" borderId="1" xfId="0" applyNumberFormat="1" applyFont="1" applyBorder="1" applyAlignment="1">
      <alignment horizontal="center"/>
    </xf>
    <xf numFmtId="1" fontId="17" fillId="0" borderId="1" xfId="0" applyNumberFormat="1" applyFont="1" applyBorder="1" applyAlignment="1">
      <alignment horizontal="center"/>
    </xf>
    <xf numFmtId="166" fontId="17" fillId="0" borderId="1" xfId="0" applyNumberFormat="1" applyFont="1" applyBorder="1" applyAlignment="1">
      <alignment horizontal="center"/>
    </xf>
    <xf numFmtId="10" fontId="17" fillId="0" borderId="1" xfId="0" applyNumberFormat="1" applyFont="1" applyBorder="1" applyAlignment="1">
      <alignment horizontal="center"/>
    </xf>
    <xf numFmtId="11" fontId="17" fillId="0" borderId="1" xfId="0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164" fontId="12" fillId="0" borderId="0" xfId="0" applyNumberFormat="1" applyFont="1" applyFill="1" applyBorder="1" applyAlignment="1">
      <alignment horizontal="center"/>
    </xf>
    <xf numFmtId="164" fontId="12" fillId="0" borderId="1" xfId="0" applyNumberFormat="1" applyFon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3" borderId="0" xfId="0" applyNumberFormat="1" applyFill="1" applyBorder="1" applyAlignment="1">
      <alignment horizontal="center"/>
    </xf>
    <xf numFmtId="11" fontId="0" fillId="3" borderId="1" xfId="0" applyNumberFormat="1" applyFill="1" applyBorder="1" applyAlignment="1">
      <alignment horizontal="center"/>
    </xf>
    <xf numFmtId="4" fontId="12" fillId="6" borderId="0" xfId="0" applyNumberFormat="1" applyFont="1" applyFill="1" applyBorder="1" applyAlignment="1">
      <alignment horizontal="center"/>
    </xf>
    <xf numFmtId="4" fontId="12" fillId="6" borderId="1" xfId="0" applyNumberFormat="1" applyFont="1" applyFill="1" applyBorder="1" applyAlignment="1">
      <alignment horizontal="center"/>
    </xf>
    <xf numFmtId="4" fontId="0" fillId="6" borderId="0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horizontal="center"/>
    </xf>
    <xf numFmtId="1" fontId="12" fillId="6" borderId="0" xfId="0" applyNumberFormat="1" applyFont="1" applyFill="1" applyBorder="1" applyAlignment="1">
      <alignment horizontal="center"/>
    </xf>
    <xf numFmtId="1" fontId="12" fillId="6" borderId="1" xfId="0" applyNumberFormat="1" applyFon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8" fillId="2" borderId="0" xfId="0" applyNumberFormat="1" applyFont="1" applyFill="1" applyBorder="1" applyAlignment="1">
      <alignment horizontal="center"/>
    </xf>
    <xf numFmtId="1" fontId="8" fillId="2" borderId="1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9" fontId="12" fillId="0" borderId="0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" fontId="0" fillId="3" borderId="11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0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" fontId="12" fillId="3" borderId="11" xfId="0" applyNumberFormat="1" applyFont="1" applyFill="1" applyBorder="1" applyAlignment="1">
      <alignment horizontal="center"/>
    </xf>
    <xf numFmtId="9" fontId="12" fillId="0" borderId="1" xfId="0" applyNumberFormat="1" applyFont="1" applyBorder="1" applyAlignment="1">
      <alignment horizontal="center"/>
    </xf>
    <xf numFmtId="1" fontId="12" fillId="0" borderId="0" xfId="0" applyNumberFormat="1" applyFont="1" applyFill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0" borderId="1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1" fontId="8" fillId="0" borderId="1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8" fontId="12" fillId="2" borderId="0" xfId="0" applyNumberFormat="1" applyFont="1" applyFill="1" applyBorder="1" applyAlignment="1">
      <alignment horizontal="center"/>
    </xf>
    <xf numFmtId="168" fontId="12" fillId="2" borderId="1" xfId="0" applyNumberFormat="1" applyFont="1" applyFill="1" applyBorder="1" applyAlignment="1">
      <alignment horizontal="center"/>
    </xf>
    <xf numFmtId="168" fontId="0" fillId="2" borderId="0" xfId="0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" fontId="12" fillId="0" borderId="9" xfId="0" applyNumberFormat="1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1" fontId="12" fillId="0" borderId="11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0" fillId="0" borderId="3" xfId="0" applyNumberFormat="1" applyBorder="1" applyAlignment="1">
      <alignment horizontal="center"/>
    </xf>
    <xf numFmtId="11" fontId="6" fillId="0" borderId="3" xfId="0" applyNumberFormat="1" applyFont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11" fontId="12" fillId="0" borderId="9" xfId="0" applyNumberFormat="1" applyFont="1" applyFill="1" applyBorder="1" applyAlignment="1">
      <alignment horizontal="center"/>
    </xf>
    <xf numFmtId="11" fontId="12" fillId="0" borderId="11" xfId="0" applyNumberFormat="1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11" fontId="0" fillId="3" borderId="6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0" fillId="0" borderId="1" xfId="0" applyNumberFormat="1" applyFill="1" applyBorder="1" applyAlignment="1">
      <alignment horizontal="center"/>
    </xf>
    <xf numFmtId="1" fontId="12" fillId="0" borderId="1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1" fontId="11" fillId="0" borderId="0" xfId="0" applyNumberFormat="1" applyFont="1" applyFill="1" applyBorder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Font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14" xfId="0" applyFill="1" applyBorder="1" applyAlignment="1">
      <alignment horizontal="center"/>
    </xf>
    <xf numFmtId="164" fontId="12" fillId="3" borderId="9" xfId="0" applyNumberFormat="1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0" fillId="0" borderId="0" xfId="0" applyBorder="1"/>
    <xf numFmtId="164" fontId="0" fillId="3" borderId="11" xfId="0" applyNumberFormat="1" applyFill="1" applyBorder="1" applyAlignment="1">
      <alignment horizontal="center"/>
    </xf>
    <xf numFmtId="164" fontId="12" fillId="0" borderId="1" xfId="0" applyNumberFormat="1" applyFont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2" fillId="2" borderId="17" xfId="0" applyFont="1" applyFill="1" applyBorder="1" applyAlignment="1">
      <alignment horizontal="center"/>
    </xf>
    <xf numFmtId="164" fontId="12" fillId="2" borderId="12" xfId="0" applyNumberFormat="1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2" xfId="0" applyFill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164" fontId="0" fillId="3" borderId="12" xfId="0" applyNumberFormat="1" applyFill="1" applyBorder="1" applyAlignment="1">
      <alignment horizontal="center"/>
    </xf>
    <xf numFmtId="1" fontId="0" fillId="0" borderId="12" xfId="0" applyNumberFormat="1" applyFill="1" applyBorder="1" applyAlignment="1">
      <alignment horizontal="center"/>
    </xf>
    <xf numFmtId="4" fontId="12" fillId="0" borderId="12" xfId="0" applyNumberFormat="1" applyFont="1" applyBorder="1" applyAlignment="1">
      <alignment horizontal="center"/>
    </xf>
    <xf numFmtId="164" fontId="12" fillId="0" borderId="12" xfId="0" applyNumberFormat="1" applyFon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164" fontId="12" fillId="3" borderId="12" xfId="0" applyNumberFormat="1" applyFont="1" applyFill="1" applyBorder="1" applyAlignment="1">
      <alignment horizontal="center"/>
    </xf>
    <xf numFmtId="164" fontId="12" fillId="3" borderId="19" xfId="0" applyNumberFormat="1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164" fontId="12" fillId="2" borderId="6" xfId="0" applyNumberFormat="1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" fontId="8" fillId="3" borderId="9" xfId="0" applyNumberFormat="1" applyFont="1" applyFill="1" applyBorder="1" applyAlignment="1">
      <alignment horizontal="center"/>
    </xf>
    <xf numFmtId="1" fontId="8" fillId="3" borderId="11" xfId="0" applyNumberFormat="1" applyFont="1" applyFill="1" applyBorder="1" applyAlignment="1">
      <alignment horizontal="center"/>
    </xf>
    <xf numFmtId="1" fontId="8" fillId="3" borderId="7" xfId="0" applyNumberFormat="1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1" fontId="0" fillId="5" borderId="12" xfId="0" applyNumberFormat="1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11" fillId="0" borderId="0" xfId="0" applyFont="1"/>
    <xf numFmtId="0" fontId="0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0" borderId="0" xfId="0" applyFont="1"/>
    <xf numFmtId="0" fontId="0" fillId="0" borderId="0" xfId="0"/>
    <xf numFmtId="9" fontId="0" fillId="0" borderId="0" xfId="0" applyNumberFormat="1"/>
    <xf numFmtId="0" fontId="8" fillId="2" borderId="16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center"/>
    </xf>
    <xf numFmtId="2" fontId="0" fillId="0" borderId="0" xfId="0" applyNumberFormat="1"/>
    <xf numFmtId="2" fontId="0" fillId="5" borderId="0" xfId="0" applyNumberFormat="1" applyFill="1" applyBorder="1" applyAlignment="1">
      <alignment horizontal="center"/>
    </xf>
    <xf numFmtId="164" fontId="0" fillId="5" borderId="12" xfId="0" applyNumberFormat="1" applyFill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9" fontId="0" fillId="0" borderId="0" xfId="0" applyNumberFormat="1"/>
    <xf numFmtId="168" fontId="0" fillId="0" borderId="0" xfId="0" applyNumberFormat="1"/>
    <xf numFmtId="168" fontId="0" fillId="7" borderId="0" xfId="0" applyNumberFormat="1" applyFill="1"/>
    <xf numFmtId="164" fontId="0" fillId="0" borderId="0" xfId="0" applyNumberFormat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68" fontId="0" fillId="0" borderId="0" xfId="0" applyNumberFormat="1" applyFill="1"/>
    <xf numFmtId="164" fontId="0" fillId="2" borderId="0" xfId="0" applyNumberFormat="1" applyFill="1"/>
    <xf numFmtId="164" fontId="0" fillId="3" borderId="0" xfId="0" applyNumberFormat="1" applyFill="1"/>
    <xf numFmtId="169" fontId="6" fillId="2" borderId="0" xfId="0" applyNumberFormat="1" applyFont="1" applyFill="1"/>
    <xf numFmtId="169" fontId="0" fillId="5" borderId="0" xfId="0" applyNumberFormat="1" applyFont="1" applyFill="1"/>
    <xf numFmtId="168" fontId="0" fillId="5" borderId="0" xfId="0" applyNumberFormat="1" applyFont="1" applyFill="1"/>
    <xf numFmtId="168" fontId="6" fillId="2" borderId="0" xfId="0" applyNumberFormat="1" applyFont="1" applyFill="1"/>
    <xf numFmtId="169" fontId="0" fillId="5" borderId="0" xfId="0" applyNumberFormat="1" applyFill="1"/>
    <xf numFmtId="168" fontId="0" fillId="5" borderId="0" xfId="0" applyNumberFormat="1" applyFill="1"/>
    <xf numFmtId="0" fontId="1" fillId="0" borderId="0" xfId="0" applyFont="1" applyFill="1" applyBorder="1" applyAlignment="1">
      <alignment horizontal="center"/>
    </xf>
    <xf numFmtId="0" fontId="0" fillId="2" borderId="0" xfId="0" applyFill="1"/>
    <xf numFmtId="164" fontId="0" fillId="3" borderId="0" xfId="0" applyNumberFormat="1" applyFill="1" applyAlignment="1">
      <alignment horizontal="center"/>
    </xf>
    <xf numFmtId="1" fontId="12" fillId="5" borderId="1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1" fontId="0" fillId="5" borderId="0" xfId="0" applyNumberFormat="1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1" fontId="0" fillId="3" borderId="0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right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1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" fontId="0" fillId="5" borderId="0" xfId="0" applyNumberFormat="1" applyFill="1" applyBorder="1" applyAlignment="1">
      <alignment horizontal="right"/>
    </xf>
    <xf numFmtId="1" fontId="0" fillId="5" borderId="1" xfId="0" applyNumberFormat="1" applyFill="1" applyBorder="1" applyAlignment="1">
      <alignment horizontal="right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1" fontId="0" fillId="0" borderId="4" xfId="0" applyNumberFormat="1" applyBorder="1" applyAlignment="1">
      <alignment horizontal="center" vertical="center"/>
    </xf>
    <xf numFmtId="1" fontId="0" fillId="3" borderId="9" xfId="0" applyNumberFormat="1" applyFill="1" applyBorder="1" applyAlignment="1">
      <alignment horizontal="right"/>
    </xf>
    <xf numFmtId="1" fontId="0" fillId="3" borderId="11" xfId="0" applyNumberFormat="1" applyFill="1" applyBorder="1" applyAlignment="1">
      <alignment horizontal="right"/>
    </xf>
    <xf numFmtId="1" fontId="0" fillId="5" borderId="16" xfId="0" applyNumberFormat="1" applyFill="1" applyBorder="1" applyAlignment="1">
      <alignment horizontal="right"/>
    </xf>
    <xf numFmtId="1" fontId="0" fillId="5" borderId="15" xfId="0" applyNumberFormat="1" applyFill="1" applyBorder="1" applyAlignment="1">
      <alignment horizontal="right"/>
    </xf>
    <xf numFmtId="9" fontId="0" fillId="0" borderId="0" xfId="0" applyNumberFormat="1" applyAlignment="1">
      <alignment horizontal="right"/>
    </xf>
    <xf numFmtId="1" fontId="6" fillId="0" borderId="0" xfId="0" applyNumberFormat="1" applyFont="1" applyAlignment="1">
      <alignment horizontal="center"/>
    </xf>
    <xf numFmtId="1" fontId="0" fillId="2" borderId="0" xfId="0" applyNumberFormat="1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0" fontId="0" fillId="0" borderId="22" xfId="0" applyBorder="1" applyAlignment="1">
      <alignment horizontal="center" vertic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1" fontId="0" fillId="0" borderId="0" xfId="0" applyNumberFormat="1" applyAlignment="1">
      <alignment horizontal="left"/>
    </xf>
    <xf numFmtId="1" fontId="0" fillId="5" borderId="4" xfId="0" applyNumberForma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" fontId="0" fillId="5" borderId="7" xfId="0" applyNumberFormat="1" applyFill="1" applyBorder="1" applyAlignment="1">
      <alignment horizontal="center"/>
    </xf>
    <xf numFmtId="0" fontId="11" fillId="0" borderId="0" xfId="0" applyFont="1" applyAlignment="1">
      <alignment horizontal="center"/>
    </xf>
    <xf numFmtId="9" fontId="0" fillId="2" borderId="0" xfId="0" applyNumberForma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2" borderId="28" xfId="0" applyFill="1" applyBorder="1" applyAlignment="1">
      <alignment horizontal="center"/>
    </xf>
    <xf numFmtId="1" fontId="0" fillId="2" borderId="12" xfId="0" applyNumberFormat="1" applyFill="1" applyBorder="1" applyAlignment="1">
      <alignment horizontal="center"/>
    </xf>
    <xf numFmtId="1" fontId="0" fillId="5" borderId="12" xfId="0" applyNumberFormat="1" applyFill="1" applyBorder="1" applyAlignment="1">
      <alignment horizontal="right"/>
    </xf>
    <xf numFmtId="9" fontId="0" fillId="2" borderId="12" xfId="0" applyNumberFormat="1" applyFill="1" applyBorder="1" applyAlignment="1">
      <alignment horizontal="center"/>
    </xf>
    <xf numFmtId="1" fontId="0" fillId="5" borderId="17" xfId="0" applyNumberFormat="1" applyFill="1" applyBorder="1" applyAlignment="1">
      <alignment horizontal="right"/>
    </xf>
    <xf numFmtId="0" fontId="0" fillId="2" borderId="29" xfId="0" applyFill="1" applyBorder="1" applyAlignment="1">
      <alignment horizontal="center"/>
    </xf>
    <xf numFmtId="1" fontId="0" fillId="3" borderId="12" xfId="0" applyNumberFormat="1" applyFill="1" applyBorder="1" applyAlignment="1">
      <alignment horizontal="right"/>
    </xf>
    <xf numFmtId="1" fontId="0" fillId="3" borderId="19" xfId="0" applyNumberFormat="1" applyFill="1" applyBorder="1" applyAlignment="1">
      <alignment horizontal="right"/>
    </xf>
    <xf numFmtId="0" fontId="0" fillId="0" borderId="1" xfId="0" applyBorder="1"/>
    <xf numFmtId="169" fontId="0" fillId="5" borderId="1" xfId="0" applyNumberFormat="1" applyFont="1" applyFill="1" applyBorder="1"/>
    <xf numFmtId="168" fontId="0" fillId="5" borderId="1" xfId="0" applyNumberFormat="1" applyFon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169" fontId="0" fillId="5" borderId="1" xfId="0" applyNumberFormat="1" applyFill="1" applyBorder="1"/>
    <xf numFmtId="168" fontId="0" fillId="5" borderId="1" xfId="0" applyNumberFormat="1" applyFill="1" applyBorder="1"/>
    <xf numFmtId="0" fontId="0" fillId="3" borderId="0" xfId="0" applyFill="1"/>
    <xf numFmtId="0" fontId="0" fillId="3" borderId="1" xfId="0" applyFill="1" applyBorder="1"/>
    <xf numFmtId="0" fontId="6" fillId="0" borderId="16" xfId="0" applyFont="1" applyBorder="1"/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9" fontId="6" fillId="7" borderId="0" xfId="0" applyNumberFormat="1" applyFont="1" applyFill="1"/>
    <xf numFmtId="168" fontId="6" fillId="7" borderId="0" xfId="0" applyNumberFormat="1" applyFont="1" applyFill="1"/>
    <xf numFmtId="11" fontId="0" fillId="0" borderId="0" xfId="0" applyNumberFormat="1"/>
    <xf numFmtId="1" fontId="0" fillId="0" borderId="21" xfId="0" applyNumberFormat="1" applyBorder="1" applyAlignment="1">
      <alignment horizontal="center" vertical="center"/>
    </xf>
    <xf numFmtId="1" fontId="12" fillId="5" borderId="16" xfId="0" applyNumberFormat="1" applyFont="1" applyFill="1" applyBorder="1" applyAlignment="1">
      <alignment horizontal="right"/>
    </xf>
    <xf numFmtId="0" fontId="0" fillId="0" borderId="2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1" fontId="12" fillId="2" borderId="12" xfId="0" applyNumberFormat="1" applyFont="1" applyFill="1" applyBorder="1" applyAlignment="1">
      <alignment horizontal="center"/>
    </xf>
    <xf numFmtId="0" fontId="23" fillId="0" borderId="0" xfId="0" applyFont="1"/>
    <xf numFmtId="1" fontId="16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" fontId="0" fillId="0" borderId="0" xfId="0" applyNumberFormat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31" xfId="0" applyBorder="1"/>
    <xf numFmtId="0" fontId="0" fillId="5" borderId="32" xfId="0" applyFill="1" applyBorder="1"/>
    <xf numFmtId="0" fontId="0" fillId="5" borderId="33" xfId="0" applyFill="1" applyBorder="1"/>
    <xf numFmtId="0" fontId="0" fillId="2" borderId="1" xfId="0" applyFill="1" applyBorder="1"/>
    <xf numFmtId="0" fontId="0" fillId="0" borderId="35" xfId="0" applyBorder="1" applyAlignment="1">
      <alignment horizontal="center"/>
    </xf>
    <xf numFmtId="0" fontId="12" fillId="0" borderId="15" xfId="0" applyFont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1" fontId="12" fillId="5" borderId="26" xfId="0" applyNumberFormat="1" applyFont="1" applyFill="1" applyBorder="1" applyAlignment="1">
      <alignment horizontal="center"/>
    </xf>
    <xf numFmtId="1" fontId="12" fillId="5" borderId="27" xfId="0" applyNumberFormat="1" applyFont="1" applyFill="1" applyBorder="1" applyAlignment="1">
      <alignment horizontal="center"/>
    </xf>
    <xf numFmtId="1" fontId="12" fillId="5" borderId="29" xfId="0" applyNumberFormat="1" applyFont="1" applyFill="1" applyBorder="1" applyAlignment="1">
      <alignment horizontal="center"/>
    </xf>
    <xf numFmtId="1" fontId="12" fillId="2" borderId="6" xfId="0" applyNumberFormat="1" applyFont="1" applyFill="1" applyBorder="1" applyAlignment="1">
      <alignment horizontal="center"/>
    </xf>
    <xf numFmtId="0" fontId="0" fillId="0" borderId="0" xfId="0" applyFont="1"/>
    <xf numFmtId="0" fontId="0" fillId="5" borderId="0" xfId="0" applyFill="1"/>
    <xf numFmtId="1" fontId="0" fillId="3" borderId="0" xfId="0" applyNumberFormat="1" applyFill="1"/>
    <xf numFmtId="0" fontId="0" fillId="0" borderId="0" xfId="0" applyFill="1" applyBorder="1"/>
    <xf numFmtId="4" fontId="0" fillId="3" borderId="0" xfId="0" applyNumberFormat="1" applyFill="1"/>
    <xf numFmtId="0" fontId="6" fillId="0" borderId="34" xfId="0" applyFont="1" applyBorder="1"/>
    <xf numFmtId="0" fontId="6" fillId="0" borderId="30" xfId="0" applyFont="1" applyBorder="1" applyAlignment="1"/>
    <xf numFmtId="0" fontId="6" fillId="0" borderId="6" xfId="0" applyFont="1" applyBorder="1" applyAlignment="1"/>
    <xf numFmtId="0" fontId="6" fillId="0" borderId="20" xfId="0" applyFont="1" applyBorder="1" applyAlignment="1"/>
    <xf numFmtId="11" fontId="0" fillId="0" borderId="0" xfId="0" applyNumberFormat="1" applyFont="1"/>
    <xf numFmtId="10" fontId="12" fillId="5" borderId="16" xfId="0" applyNumberFormat="1" applyFont="1" applyFill="1" applyBorder="1" applyAlignment="1">
      <alignment horizontal="center"/>
    </xf>
    <xf numFmtId="10" fontId="12" fillId="5" borderId="15" xfId="0" applyNumberFormat="1" applyFont="1" applyFill="1" applyBorder="1" applyAlignment="1">
      <alignment horizontal="center"/>
    </xf>
    <xf numFmtId="170" fontId="12" fillId="5" borderId="0" xfId="0" applyNumberFormat="1" applyFont="1" applyFill="1" applyBorder="1" applyAlignment="1">
      <alignment horizontal="center"/>
    </xf>
    <xf numFmtId="170" fontId="12" fillId="5" borderId="1" xfId="0" applyNumberFormat="1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170" fontId="0" fillId="2" borderId="0" xfId="0" applyNumberFormat="1" applyFill="1" applyBorder="1" applyAlignment="1">
      <alignment horizontal="center"/>
    </xf>
    <xf numFmtId="170" fontId="0" fillId="2" borderId="1" xfId="0" applyNumberForma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1" fontId="0" fillId="5" borderId="0" xfId="0" applyNumberFormat="1" applyFill="1"/>
    <xf numFmtId="0" fontId="0" fillId="0" borderId="1" xfId="0" applyFont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1" xfId="0" applyFill="1" applyBorder="1" applyAlignment="1">
      <alignment horizontal="center"/>
    </xf>
    <xf numFmtId="1" fontId="0" fillId="2" borderId="41" xfId="0" applyNumberFormat="1" applyFill="1" applyBorder="1" applyAlignment="1">
      <alignment horizontal="center"/>
    </xf>
    <xf numFmtId="1" fontId="0" fillId="3" borderId="41" xfId="0" applyNumberFormat="1" applyFill="1" applyBorder="1" applyAlignment="1">
      <alignment horizontal="center"/>
    </xf>
    <xf numFmtId="2" fontId="0" fillId="5" borderId="0" xfId="0" applyNumberFormat="1" applyFill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2" borderId="16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7" xfId="0" applyFont="1" applyFill="1" applyBorder="1" applyAlignment="1">
      <alignment horizontal="center"/>
    </xf>
    <xf numFmtId="164" fontId="0" fillId="2" borderId="12" xfId="0" applyNumberFormat="1" applyFont="1" applyFill="1" applyBorder="1" applyAlignment="1">
      <alignment horizontal="center"/>
    </xf>
    <xf numFmtId="0" fontId="0" fillId="2" borderId="19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" fontId="0" fillId="2" borderId="16" xfId="0" applyNumberFormat="1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1" fontId="0" fillId="2" borderId="17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23" xfId="0" applyFont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2" fontId="0" fillId="2" borderId="16" xfId="0" applyNumberFormat="1" applyFont="1" applyFill="1" applyBorder="1" applyAlignment="1">
      <alignment horizontal="center"/>
    </xf>
    <xf numFmtId="0" fontId="0" fillId="0" borderId="24" xfId="0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2" fontId="0" fillId="2" borderId="12" xfId="0" applyNumberFormat="1" applyFont="1" applyFill="1" applyBorder="1" applyAlignment="1">
      <alignment horizontal="center"/>
    </xf>
    <xf numFmtId="2" fontId="0" fillId="2" borderId="17" xfId="0" applyNumberFormat="1" applyFont="1" applyFill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1" fontId="0" fillId="2" borderId="20" xfId="0" applyNumberFormat="1" applyFont="1" applyFill="1" applyBorder="1" applyAlignment="1">
      <alignment horizontal="center"/>
    </xf>
    <xf numFmtId="2" fontId="0" fillId="2" borderId="6" xfId="0" applyNumberFormat="1" applyFont="1" applyFill="1" applyBorder="1" applyAlignment="1">
      <alignment horizontal="center"/>
    </xf>
    <xf numFmtId="2" fontId="0" fillId="2" borderId="20" xfId="0" applyNumberFormat="1" applyFont="1" applyFill="1" applyBorder="1" applyAlignment="1">
      <alignment horizontal="center"/>
    </xf>
    <xf numFmtId="0" fontId="0" fillId="5" borderId="1" xfId="0" applyFill="1" applyBorder="1"/>
    <xf numFmtId="1" fontId="0" fillId="5" borderId="1" xfId="0" applyNumberFormat="1" applyFill="1" applyBorder="1"/>
    <xf numFmtId="2" fontId="0" fillId="5" borderId="1" xfId="0" applyNumberFormat="1" applyFill="1" applyBorder="1"/>
    <xf numFmtId="1" fontId="0" fillId="3" borderId="1" xfId="0" applyNumberFormat="1" applyFill="1" applyBorder="1"/>
    <xf numFmtId="1" fontId="0" fillId="3" borderId="0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1" fontId="0" fillId="5" borderId="17" xfId="0" applyNumberFormat="1" applyFont="1" applyFill="1" applyBorder="1" applyAlignment="1">
      <alignment horizontal="center"/>
    </xf>
    <xf numFmtId="1" fontId="0" fillId="5" borderId="16" xfId="0" applyNumberFormat="1" applyFont="1" applyFill="1" applyBorder="1" applyAlignment="1">
      <alignment horizontal="center"/>
    </xf>
    <xf numFmtId="1" fontId="0" fillId="5" borderId="15" xfId="0" applyNumberFormat="1" applyFont="1" applyFill="1" applyBorder="1" applyAlignment="1">
      <alignment horizontal="center"/>
    </xf>
    <xf numFmtId="1" fontId="0" fillId="5" borderId="20" xfId="0" applyNumberFormat="1" applyFont="1" applyFill="1" applyBorder="1" applyAlignment="1">
      <alignment horizontal="center"/>
    </xf>
    <xf numFmtId="170" fontId="0" fillId="5" borderId="0" xfId="0" applyNumberFormat="1" applyFill="1" applyBorder="1" applyAlignment="1">
      <alignment horizontal="center"/>
    </xf>
    <xf numFmtId="170" fontId="0" fillId="5" borderId="0" xfId="0" applyNumberFormat="1" applyFont="1" applyFill="1" applyBorder="1" applyAlignment="1">
      <alignment horizontal="center"/>
    </xf>
    <xf numFmtId="170" fontId="0" fillId="5" borderId="1" xfId="0" applyNumberFormat="1" applyFont="1" applyFill="1" applyBorder="1" applyAlignment="1">
      <alignment horizontal="center"/>
    </xf>
    <xf numFmtId="170" fontId="0" fillId="5" borderId="12" xfId="0" applyNumberFormat="1" applyFont="1" applyFill="1" applyBorder="1" applyAlignment="1">
      <alignment horizontal="center"/>
    </xf>
    <xf numFmtId="170" fontId="12" fillId="5" borderId="12" xfId="0" applyNumberFormat="1" applyFont="1" applyFill="1" applyBorder="1" applyAlignment="1">
      <alignment horizontal="center"/>
    </xf>
    <xf numFmtId="1" fontId="0" fillId="5" borderId="0" xfId="0" applyNumberFormat="1" applyFont="1" applyFill="1" applyBorder="1" applyAlignment="1">
      <alignment horizontal="center"/>
    </xf>
    <xf numFmtId="1" fontId="0" fillId="5" borderId="1" xfId="0" applyNumberFormat="1" applyFont="1" applyFill="1" applyBorder="1" applyAlignment="1">
      <alignment horizontal="center"/>
    </xf>
    <xf numFmtId="1" fontId="0" fillId="5" borderId="12" xfId="0" applyNumberFormat="1" applyFont="1" applyFill="1" applyBorder="1" applyAlignment="1">
      <alignment horizontal="center"/>
    </xf>
    <xf numFmtId="1" fontId="0" fillId="2" borderId="1" xfId="0" applyNumberFormat="1" applyFont="1" applyFill="1" applyBorder="1" applyAlignment="1">
      <alignment horizontal="center"/>
    </xf>
    <xf numFmtId="1" fontId="0" fillId="2" borderId="12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0" fillId="0" borderId="0" xfId="0" applyBorder="1" applyAlignment="1"/>
    <xf numFmtId="4" fontId="12" fillId="0" borderId="16" xfId="0" applyNumberFormat="1" applyFont="1" applyBorder="1" applyAlignment="1">
      <alignment horizontal="center"/>
    </xf>
    <xf numFmtId="4" fontId="12" fillId="0" borderId="15" xfId="0" applyNumberFormat="1" applyFont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2" fontId="24" fillId="5" borderId="0" xfId="0" applyNumberFormat="1" applyFont="1" applyFill="1" applyBorder="1" applyAlignment="1">
      <alignment horizontal="center"/>
    </xf>
    <xf numFmtId="10" fontId="24" fillId="5" borderId="0" xfId="0" applyNumberFormat="1" applyFont="1" applyFill="1" applyBorder="1" applyAlignment="1">
      <alignment horizontal="center"/>
    </xf>
    <xf numFmtId="2" fontId="24" fillId="5" borderId="1" xfId="0" applyNumberFormat="1" applyFont="1" applyFill="1" applyBorder="1" applyAlignment="1">
      <alignment horizontal="center"/>
    </xf>
    <xf numFmtId="10" fontId="24" fillId="5" borderId="1" xfId="0" applyNumberFormat="1" applyFon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64" fontId="12" fillId="7" borderId="12" xfId="0" applyNumberFormat="1" applyFont="1" applyFill="1" applyBorder="1" applyAlignment="1">
      <alignment horizontal="center"/>
    </xf>
    <xf numFmtId="164" fontId="12" fillId="7" borderId="1" xfId="0" applyNumberFormat="1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170" fontId="0" fillId="2" borderId="12" xfId="0" applyNumberFormat="1" applyFill="1" applyBorder="1" applyAlignment="1">
      <alignment horizontal="center"/>
    </xf>
    <xf numFmtId="164" fontId="0" fillId="2" borderId="19" xfId="0" applyNumberFormat="1" applyFill="1" applyBorder="1" applyAlignment="1">
      <alignment horizontal="center"/>
    </xf>
    <xf numFmtId="4" fontId="12" fillId="5" borderId="12" xfId="0" applyNumberFormat="1" applyFont="1" applyFill="1" applyBorder="1" applyAlignment="1">
      <alignment horizontal="center"/>
    </xf>
    <xf numFmtId="10" fontId="12" fillId="5" borderId="12" xfId="0" applyNumberFormat="1" applyFont="1" applyFill="1" applyBorder="1" applyAlignment="1">
      <alignment horizontal="center"/>
    </xf>
    <xf numFmtId="10" fontId="12" fillId="5" borderId="17" xfId="0" applyNumberFormat="1" applyFont="1" applyFill="1" applyBorder="1" applyAlignment="1">
      <alignment horizontal="center"/>
    </xf>
    <xf numFmtId="2" fontId="24" fillId="5" borderId="12" xfId="0" applyNumberFormat="1" applyFont="1" applyFill="1" applyBorder="1" applyAlignment="1">
      <alignment horizontal="center"/>
    </xf>
    <xf numFmtId="10" fontId="24" fillId="5" borderId="12" xfId="0" applyNumberFormat="1" applyFont="1" applyFill="1" applyBorder="1" applyAlignment="1">
      <alignment horizontal="center"/>
    </xf>
    <xf numFmtId="1" fontId="12" fillId="0" borderId="12" xfId="0" applyNumberFormat="1" applyFont="1" applyBorder="1" applyAlignment="1">
      <alignment horizontal="center"/>
    </xf>
    <xf numFmtId="9" fontId="12" fillId="0" borderId="12" xfId="0" applyNumberFormat="1" applyFont="1" applyBorder="1" applyAlignment="1">
      <alignment horizontal="center"/>
    </xf>
    <xf numFmtId="4" fontId="12" fillId="0" borderId="17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2" borderId="10" xfId="0" applyFill="1" applyBorder="1"/>
    <xf numFmtId="0" fontId="0" fillId="0" borderId="10" xfId="0" applyBorder="1"/>
    <xf numFmtId="0" fontId="0" fillId="0" borderId="31" xfId="0" applyFont="1" applyBorder="1" applyAlignment="1">
      <alignment horizontal="center"/>
    </xf>
    <xf numFmtId="9" fontId="0" fillId="0" borderId="0" xfId="0" applyNumberFormat="1" applyBorder="1"/>
    <xf numFmtId="0" fontId="1" fillId="0" borderId="0" xfId="0" applyFont="1"/>
    <xf numFmtId="0" fontId="25" fillId="0" borderId="0" xfId="0" applyFont="1"/>
    <xf numFmtId="4" fontId="0" fillId="0" borderId="0" xfId="0" applyNumberFormat="1"/>
    <xf numFmtId="0" fontId="0" fillId="0" borderId="0" xfId="0" applyBorder="1" applyAlignment="1">
      <alignment horizontal="center"/>
    </xf>
    <xf numFmtId="164" fontId="0" fillId="0" borderId="0" xfId="0" applyNumberFormat="1" applyBorder="1"/>
    <xf numFmtId="164" fontId="0" fillId="3" borderId="6" xfId="0" applyNumberForma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2" borderId="16" xfId="0" applyNumberFormat="1" applyFill="1" applyBorder="1" applyAlignment="1">
      <alignment horizontal="center"/>
    </xf>
    <xf numFmtId="1" fontId="0" fillId="2" borderId="15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5" xfId="0" applyNumberFormat="1" applyFill="1" applyBorder="1" applyAlignment="1">
      <alignment horizontal="center"/>
    </xf>
    <xf numFmtId="164" fontId="0" fillId="3" borderId="20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1" fontId="0" fillId="0" borderId="1" xfId="0" applyNumberForma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6" fillId="0" borderId="6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1" fontId="7" fillId="5" borderId="0" xfId="0" applyNumberFormat="1" applyFont="1" applyFill="1" applyBorder="1" applyAlignment="1">
      <alignment horizontal="center"/>
    </xf>
    <xf numFmtId="164" fontId="7" fillId="5" borderId="0" xfId="0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2" fontId="26" fillId="2" borderId="9" xfId="0" applyNumberFormat="1" applyFont="1" applyFill="1" applyBorder="1" applyAlignment="1">
      <alignment horizontal="center"/>
    </xf>
    <xf numFmtId="2" fontId="26" fillId="2" borderId="11" xfId="0" applyNumberFormat="1" applyFont="1" applyFill="1" applyBorder="1" applyAlignment="1">
      <alignment horizontal="center"/>
    </xf>
    <xf numFmtId="2" fontId="7" fillId="2" borderId="9" xfId="0" applyNumberFormat="1" applyFont="1" applyFill="1" applyBorder="1" applyAlignment="1">
      <alignment horizontal="center"/>
    </xf>
    <xf numFmtId="2" fontId="26" fillId="2" borderId="0" xfId="0" applyNumberFormat="1" applyFont="1" applyFill="1" applyBorder="1" applyAlignment="1">
      <alignment horizontal="center"/>
    </xf>
    <xf numFmtId="2" fontId="7" fillId="2" borderId="0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0" fontId="0" fillId="2" borderId="0" xfId="0" applyNumberFormat="1" applyFont="1" applyFill="1" applyBorder="1" applyAlignment="1">
      <alignment horizontal="center"/>
    </xf>
    <xf numFmtId="10" fontId="0" fillId="2" borderId="1" xfId="0" applyNumberFormat="1" applyFont="1" applyFill="1" applyBorder="1" applyAlignment="1">
      <alignment horizontal="center"/>
    </xf>
    <xf numFmtId="10" fontId="0" fillId="2" borderId="12" xfId="0" applyNumberFormat="1" applyFont="1" applyFill="1" applyBorder="1" applyAlignment="1">
      <alignment horizontal="center"/>
    </xf>
    <xf numFmtId="10" fontId="12" fillId="2" borderId="12" xfId="0" applyNumberFormat="1" applyFont="1" applyFill="1" applyBorder="1" applyAlignment="1">
      <alignment horizontal="center"/>
    </xf>
    <xf numFmtId="166" fontId="0" fillId="5" borderId="0" xfId="0" applyNumberFormat="1" applyFill="1"/>
    <xf numFmtId="166" fontId="0" fillId="3" borderId="0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27" fillId="0" borderId="0" xfId="0" applyFont="1" applyAlignment="1">
      <alignment horizontal="left" vertical="center" wrapText="1"/>
    </xf>
    <xf numFmtId="171" fontId="12" fillId="0" borderId="0" xfId="0" applyNumberFormat="1" applyFont="1" applyBorder="1" applyAlignment="1">
      <alignment horizontal="center"/>
    </xf>
    <xf numFmtId="1" fontId="12" fillId="7" borderId="0" xfId="0" applyNumberFormat="1" applyFon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70" fontId="0" fillId="7" borderId="0" xfId="0" applyNumberForma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0" fontId="2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70" fontId="0" fillId="0" borderId="0" xfId="0" applyNumberFormat="1" applyAlignment="1">
      <alignment horizontal="center"/>
    </xf>
    <xf numFmtId="9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2" borderId="0" xfId="0" applyFont="1" applyFill="1" applyAlignment="1">
      <alignment horizontal="center"/>
    </xf>
    <xf numFmtId="0" fontId="6" fillId="0" borderId="0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30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DF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fcr/fy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4"/>
          <c:order val="14"/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Validation!$C$53:$C$83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0.82644628099173567</c:v>
                </c:pt>
                <c:pt idx="12">
                  <c:v>0.69444444444444442</c:v>
                </c:pt>
                <c:pt idx="13">
                  <c:v>0.59171597633136086</c:v>
                </c:pt>
                <c:pt idx="14">
                  <c:v>0.51020408163265296</c:v>
                </c:pt>
                <c:pt idx="15">
                  <c:v>0.44444444444444425</c:v>
                </c:pt>
                <c:pt idx="16">
                  <c:v>0.39062499999999983</c:v>
                </c:pt>
                <c:pt idx="17">
                  <c:v>0.34602076124567455</c:v>
                </c:pt>
                <c:pt idx="18">
                  <c:v>0.30864197530864185</c:v>
                </c:pt>
                <c:pt idx="19">
                  <c:v>0.27700831024930733</c:v>
                </c:pt>
                <c:pt idx="20">
                  <c:v>0.24999999999999989</c:v>
                </c:pt>
                <c:pt idx="21">
                  <c:v>0.22675736961451237</c:v>
                </c:pt>
                <c:pt idx="22">
                  <c:v>0.20661157024793378</c:v>
                </c:pt>
                <c:pt idx="23">
                  <c:v>0.18903591682419646</c:v>
                </c:pt>
                <c:pt idx="24">
                  <c:v>0.17361111111111099</c:v>
                </c:pt>
                <c:pt idx="25">
                  <c:v>0.15999999999999989</c:v>
                </c:pt>
                <c:pt idx="26">
                  <c:v>0.14792899408284013</c:v>
                </c:pt>
                <c:pt idx="27">
                  <c:v>0.13717421124828522</c:v>
                </c:pt>
                <c:pt idx="28">
                  <c:v>0.12755102040816316</c:v>
                </c:pt>
                <c:pt idx="29">
                  <c:v>0.11890606420927458</c:v>
                </c:pt>
                <c:pt idx="30">
                  <c:v>0.11111111111111102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5AD7-4F80-8071-422A38A6E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74944"/>
        <c:axId val="657575336"/>
      </c:scatterChart>
      <c:scatterChart>
        <c:scatterStyle val="smoothMarker"/>
        <c:varyColors val="0"/>
        <c:ser>
          <c:idx val="0"/>
          <c:order val="0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Validation!$E$53:$E$83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0.98593478302229343</c:v>
                </c:pt>
                <c:pt idx="4">
                  <c:v>0.97014162084174738</c:v>
                </c:pt>
                <c:pt idx="5">
                  <c:v>0.95132117490882684</c:v>
                </c:pt>
                <c:pt idx="6">
                  <c:v>0.92758365025403311</c:v>
                </c:pt>
                <c:pt idx="7">
                  <c:v>0.8961475073297025</c:v>
                </c:pt>
                <c:pt idx="8">
                  <c:v>0.85334469790892886</c:v>
                </c:pt>
                <c:pt idx="9">
                  <c:v>0.7960539058574797</c:v>
                </c:pt>
                <c:pt idx="10">
                  <c:v>0.72534421786841086</c:v>
                </c:pt>
                <c:pt idx="11">
                  <c:v>0.64824763349327896</c:v>
                </c:pt>
                <c:pt idx="12">
                  <c:v>0.57319985378338922</c:v>
                </c:pt>
                <c:pt idx="13">
                  <c:v>0.50529073159311966</c:v>
                </c:pt>
                <c:pt idx="14">
                  <c:v>0.44610191006368144</c:v>
                </c:pt>
                <c:pt idx="15">
                  <c:v>0.39533597561933448</c:v>
                </c:pt>
                <c:pt idx="16">
                  <c:v>0.3520052790403671</c:v>
                </c:pt>
                <c:pt idx="17">
                  <c:v>0.31499348589967435</c:v>
                </c:pt>
                <c:pt idx="18">
                  <c:v>0.28326953031756202</c:v>
                </c:pt>
                <c:pt idx="19">
                  <c:v>0.25594936408063429</c:v>
                </c:pt>
                <c:pt idx="20">
                  <c:v>0.23229850693474247</c:v>
                </c:pt>
                <c:pt idx="21">
                  <c:v>0.2117146672016216</c:v>
                </c:pt>
                <c:pt idx="22">
                  <c:v>0.19370598813476009</c:v>
                </c:pt>
                <c:pt idx="23">
                  <c:v>0.17787060203405283</c:v>
                </c:pt>
                <c:pt idx="24">
                  <c:v>0.16387919531410031</c:v>
                </c:pt>
                <c:pt idx="25">
                  <c:v>0.15146075719463958</c:v>
                </c:pt>
                <c:pt idx="26">
                  <c:v>0.14039115650943229</c:v>
                </c:pt>
                <c:pt idx="27">
                  <c:v>0.13048406276700955</c:v>
                </c:pt>
                <c:pt idx="28">
                  <c:v>0.12158374880221816</c:v>
                </c:pt>
                <c:pt idx="29">
                  <c:v>0.11355938057956538</c:v>
                </c:pt>
                <c:pt idx="30">
                  <c:v>0.10630047452275883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5AD7-4F80-8071-422A38A6E007}"/>
            </c:ext>
          </c:extLst>
        </c:ser>
        <c:ser>
          <c:idx val="1"/>
          <c:order val="1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Validation!$F$53:$F$83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0.97749258061596089</c:v>
                </c:pt>
                <c:pt idx="4">
                  <c:v>0.95278534666477388</c:v>
                </c:pt>
                <c:pt idx="5">
                  <c:v>0.92427264228372941</c:v>
                </c:pt>
                <c:pt idx="6">
                  <c:v>0.88999501993143482</c:v>
                </c:pt>
                <c:pt idx="7">
                  <c:v>0.84773950632220074</c:v>
                </c:pt>
                <c:pt idx="8">
                  <c:v>0.79570325564382749</c:v>
                </c:pt>
                <c:pt idx="9">
                  <c:v>0.73394057045110916</c:v>
                </c:pt>
                <c:pt idx="10">
                  <c:v>0.66560305928460728</c:v>
                </c:pt>
                <c:pt idx="11">
                  <c:v>0.59600769334742743</c:v>
                </c:pt>
                <c:pt idx="12">
                  <c:v>0.52999644003048207</c:v>
                </c:pt>
                <c:pt idx="13">
                  <c:v>0.47033863238929946</c:v>
                </c:pt>
                <c:pt idx="14">
                  <c:v>0.41790025644422596</c:v>
                </c:pt>
                <c:pt idx="15">
                  <c:v>0.37243722559437292</c:v>
                </c:pt>
                <c:pt idx="16">
                  <c:v>0.33322985856824489</c:v>
                </c:pt>
                <c:pt idx="17">
                  <c:v>0.29943380270109754</c:v>
                </c:pt>
                <c:pt idx="18">
                  <c:v>0.27023923911780057</c:v>
                </c:pt>
                <c:pt idx="19">
                  <c:v>0.24492972947249564</c:v>
                </c:pt>
                <c:pt idx="20">
                  <c:v>0.2228948370164196</c:v>
                </c:pt>
                <c:pt idx="21">
                  <c:v>0.20362371049066638</c:v>
                </c:pt>
                <c:pt idx="22">
                  <c:v>0.18669221780841705</c:v>
                </c:pt>
                <c:pt idx="23">
                  <c:v>0.17174908435574596</c:v>
                </c:pt>
                <c:pt idx="24">
                  <c:v>0.15850318009707989</c:v>
                </c:pt>
                <c:pt idx="25">
                  <c:v>0.14671262253605155</c:v>
                </c:pt>
                <c:pt idx="26">
                  <c:v>0.13617573845433487</c:v>
                </c:pt>
                <c:pt idx="27">
                  <c:v>0.12672369101137249</c:v>
                </c:pt>
                <c:pt idx="28">
                  <c:v>0.11821451330258687</c:v>
                </c:pt>
                <c:pt idx="29">
                  <c:v>0.11052829492461787</c:v>
                </c:pt>
                <c:pt idx="30">
                  <c:v>0.10356329926202504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5AD7-4F80-8071-422A38A6E007}"/>
            </c:ext>
          </c:extLst>
        </c:ser>
        <c:ser>
          <c:idx val="2"/>
          <c:order val="2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Validation!$G$53:$G$83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0.96410588440475919</c:v>
                </c:pt>
                <c:pt idx="4">
                  <c:v>0.92607315908505083</c:v>
                </c:pt>
                <c:pt idx="5">
                  <c:v>0.88421539736154486</c:v>
                </c:pt>
                <c:pt idx="6">
                  <c:v>0.83705914889797295</c:v>
                </c:pt>
                <c:pt idx="7">
                  <c:v>0.78371007669478532</c:v>
                </c:pt>
                <c:pt idx="8">
                  <c:v>0.72445435649036838</c:v>
                </c:pt>
                <c:pt idx="9">
                  <c:v>0.66118219456787597</c:v>
                </c:pt>
                <c:pt idx="10">
                  <c:v>0.59702319159355288</c:v>
                </c:pt>
                <c:pt idx="11">
                  <c:v>0.53522296745642239</c:v>
                </c:pt>
                <c:pt idx="12">
                  <c:v>0.4781261136862337</c:v>
                </c:pt>
                <c:pt idx="13">
                  <c:v>0.4268815563932653</c:v>
                </c:pt>
                <c:pt idx="14">
                  <c:v>0.38169806832123421</c:v>
                </c:pt>
                <c:pt idx="15">
                  <c:v>0.34223461395649979</c:v>
                </c:pt>
                <c:pt idx="16">
                  <c:v>0.30790397212191112</c:v>
                </c:pt>
                <c:pt idx="17">
                  <c:v>0.27805397772425811</c:v>
                </c:pt>
                <c:pt idx="18">
                  <c:v>0.25205870162379812</c:v>
                </c:pt>
                <c:pt idx="19">
                  <c:v>0.22935660667274879</c:v>
                </c:pt>
                <c:pt idx="20">
                  <c:v>0.20946112958425722</c:v>
                </c:pt>
                <c:pt idx="21">
                  <c:v>0.19195833814422761</c:v>
                </c:pt>
                <c:pt idx="22">
                  <c:v>0.17649935362965691</c:v>
                </c:pt>
                <c:pt idx="23">
                  <c:v>0.16279131206278011</c:v>
                </c:pt>
                <c:pt idx="24">
                  <c:v>0.15058858052243954</c:v>
                </c:pt>
                <c:pt idx="25">
                  <c:v>0.13968491252797172</c:v>
                </c:pt>
                <c:pt idx="26">
                  <c:v>0.12990673160934971</c:v>
                </c:pt>
                <c:pt idx="27">
                  <c:v>0.12110750998000287</c:v>
                </c:pt>
                <c:pt idx="28">
                  <c:v>0.11316312154329393</c:v>
                </c:pt>
                <c:pt idx="29">
                  <c:v>0.10596802471112544</c:v>
                </c:pt>
                <c:pt idx="30">
                  <c:v>9.9432135296426291E-2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5AD7-4F80-8071-422A38A6E007}"/>
            </c:ext>
          </c:extLst>
        </c:ser>
        <c:ser>
          <c:idx val="3"/>
          <c:order val="3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Validation!$H$53:$H$83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0.94914779479631606</c:v>
                </c:pt>
                <c:pt idx="4">
                  <c:v>0.89732077167248325</c:v>
                </c:pt>
                <c:pt idx="5">
                  <c:v>0.84299103026152122</c:v>
                </c:pt>
                <c:pt idx="6">
                  <c:v>0.78538459148952455</c:v>
                </c:pt>
                <c:pt idx="7">
                  <c:v>0.72468891890484077</c:v>
                </c:pt>
                <c:pt idx="8">
                  <c:v>0.66215476637127557</c:v>
                </c:pt>
                <c:pt idx="9">
                  <c:v>0.59983067165486181</c:v>
                </c:pt>
                <c:pt idx="10">
                  <c:v>0.53993902722384124</c:v>
                </c:pt>
                <c:pt idx="11">
                  <c:v>0.48424723188140995</c:v>
                </c:pt>
                <c:pt idx="12">
                  <c:v>0.4337694850944333</c:v>
                </c:pt>
                <c:pt idx="13">
                  <c:v>0.38881796173980432</c:v>
                </c:pt>
                <c:pt idx="14">
                  <c:v>0.34921929899281373</c:v>
                </c:pt>
                <c:pt idx="15">
                  <c:v>0.31453502185079085</c:v>
                </c:pt>
                <c:pt idx="16">
                  <c:v>0.28422045202358309</c:v>
                </c:pt>
                <c:pt idx="17">
                  <c:v>0.25771924710128702</c:v>
                </c:pt>
                <c:pt idx="18">
                  <c:v>0.2345115312092142</c:v>
                </c:pt>
                <c:pt idx="19">
                  <c:v>0.21413382128118794</c:v>
                </c:pt>
                <c:pt idx="20">
                  <c:v>0.19618361957918387</c:v>
                </c:pt>
                <c:pt idx="21">
                  <c:v>0.18031649803385652</c:v>
                </c:pt>
                <c:pt idx="22">
                  <c:v>0.16624003262149939</c:v>
                </c:pt>
                <c:pt idx="23">
                  <c:v>0.15370685426826841</c:v>
                </c:pt>
                <c:pt idx="24">
                  <c:v>0.14250790787557266</c:v>
                </c:pt>
                <c:pt idx="25">
                  <c:v>0.13246638315114798</c:v>
                </c:pt>
                <c:pt idx="26">
                  <c:v>0.12343246074140923</c:v>
                </c:pt>
                <c:pt idx="27">
                  <c:v>0.11527886364471328</c:v>
                </c:pt>
                <c:pt idx="28">
                  <c:v>0.10789713783312541</c:v>
                </c:pt>
                <c:pt idx="29">
                  <c:v>0.10119456423965383</c:v>
                </c:pt>
                <c:pt idx="30">
                  <c:v>9.5091603759184198E-2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5AD7-4F80-8071-422A38A6E007}"/>
            </c:ext>
          </c:extLst>
        </c:ser>
        <c:ser>
          <c:idx val="9"/>
          <c:order val="4"/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Validation!$I$53:$I$83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0.92345569248595549</c:v>
                </c:pt>
                <c:pt idx="4">
                  <c:v>0.8503846381456156</c:v>
                </c:pt>
                <c:pt idx="5">
                  <c:v>0.77931995920392561</c:v>
                </c:pt>
                <c:pt idx="6">
                  <c:v>0.71003122861821788</c:v>
                </c:pt>
                <c:pt idx="7">
                  <c:v>0.64314519407824033</c:v>
                </c:pt>
                <c:pt idx="8">
                  <c:v>0.5797163500979986</c:v>
                </c:pt>
                <c:pt idx="9">
                  <c:v>0.52078988088060996</c:v>
                </c:pt>
                <c:pt idx="10">
                  <c:v>0.46709140284019068</c:v>
                </c:pt>
                <c:pt idx="11">
                  <c:v>0.41891639368619438</c:v>
                </c:pt>
                <c:pt idx="12">
                  <c:v>0.37618019137094699</c:v>
                </c:pt>
                <c:pt idx="13">
                  <c:v>0.3385390470834681</c:v>
                </c:pt>
                <c:pt idx="14">
                  <c:v>0.30551169974585057</c:v>
                </c:pt>
                <c:pt idx="15">
                  <c:v>0.27657033774752299</c:v>
                </c:pt>
                <c:pt idx="16">
                  <c:v>0.25119726963029099</c:v>
                </c:pt>
                <c:pt idx="17">
                  <c:v>0.22891487946176922</c:v>
                </c:pt>
                <c:pt idx="18">
                  <c:v>0.20929810417345043</c:v>
                </c:pt>
                <c:pt idx="19">
                  <c:v>0.19197675738971734</c:v>
                </c:pt>
                <c:pt idx="20">
                  <c:v>0.17663258077293079</c:v>
                </c:pt>
                <c:pt idx="21">
                  <c:v>0.16299396089625756</c:v>
                </c:pt>
                <c:pt idx="22">
                  <c:v>0.1508299481820729</c:v>
                </c:pt>
                <c:pt idx="23">
                  <c:v>0.13994441923900486</c:v>
                </c:pt>
                <c:pt idx="24">
                  <c:v>0.13017076718531462</c:v>
                </c:pt>
                <c:pt idx="25">
                  <c:v>0.12136725575845975</c:v>
                </c:pt>
                <c:pt idx="26">
                  <c:v>0.11341304545299691</c:v>
                </c:pt>
                <c:pt idx="27">
                  <c:v>0.1062048402785862</c:v>
                </c:pt>
                <c:pt idx="28">
                  <c:v>9.9654080680771487E-2</c:v>
                </c:pt>
                <c:pt idx="29">
                  <c:v>9.3684603921710755E-2</c:v>
                </c:pt>
                <c:pt idx="30">
                  <c:v>8.8230697931887467E-2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5AD7-4F80-8071-422A38A6E007}"/>
            </c:ext>
          </c:extLst>
        </c:ser>
        <c:ser>
          <c:idx val="10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Validation!$K$53:$K$83</c:f>
              <c:numCache>
                <c:formatCode>#,##0.00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0.98230135608460101</c:v>
                </c:pt>
                <c:pt idx="4">
                  <c:v>0.96262154344903139</c:v>
                </c:pt>
                <c:pt idx="5">
                  <c:v>0.93949660213116981</c:v>
                </c:pt>
                <c:pt idx="6">
                  <c:v>0.91094820560538969</c:v>
                </c:pt>
                <c:pt idx="7">
                  <c:v>0.87436832990805957</c:v>
                </c:pt>
                <c:pt idx="8">
                  <c:v>0.82690506228986438</c:v>
                </c:pt>
                <c:pt idx="9">
                  <c:v>0.76708812701096563</c:v>
                </c:pt>
                <c:pt idx="10">
                  <c:v>0.69730544572167008</c:v>
                </c:pt>
                <c:pt idx="11">
                  <c:v>0.62383974665372188</c:v>
                </c:pt>
                <c:pt idx="12">
                  <c:v>0.55321421529563286</c:v>
                </c:pt>
                <c:pt idx="13">
                  <c:v>0.48929267344279254</c:v>
                </c:pt>
                <c:pt idx="14">
                  <c:v>0.43331248160840818</c:v>
                </c:pt>
                <c:pt idx="15">
                  <c:v>0.38502938708848378</c:v>
                </c:pt>
                <c:pt idx="16">
                  <c:v>0.34360537378916062</c:v>
                </c:pt>
                <c:pt idx="17">
                  <c:v>0.30806582030246904</c:v>
                </c:pt>
                <c:pt idx="18">
                  <c:v>0.27749068113910086</c:v>
                </c:pt>
                <c:pt idx="19">
                  <c:v>0.2510778819337911</c:v>
                </c:pt>
                <c:pt idx="20">
                  <c:v>0.22815247013106088</c:v>
                </c:pt>
                <c:pt idx="21">
                  <c:v>0.20815540096645632</c:v>
                </c:pt>
                <c:pt idx="22">
                  <c:v>0.19062648167093138</c:v>
                </c:pt>
                <c:pt idx="23">
                  <c:v>0.17518728035284251</c:v>
                </c:pt>
                <c:pt idx="24">
                  <c:v>0.16152603680302374</c:v>
                </c:pt>
                <c:pt idx="25">
                  <c:v>0.14938504632860378</c:v>
                </c:pt>
                <c:pt idx="26">
                  <c:v>0.13855038221873039</c:v>
                </c:pt>
                <c:pt idx="27">
                  <c:v>0.1288436267345526</c:v>
                </c:pt>
                <c:pt idx="28">
                  <c:v>0.12011525249606476</c:v>
                </c:pt>
                <c:pt idx="29">
                  <c:v>0.11223933052197706</c:v>
                </c:pt>
                <c:pt idx="30">
                  <c:v>0.10510929325426457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5AD7-4F80-8071-422A38A6E007}"/>
            </c:ext>
          </c:extLst>
        </c:ser>
        <c:ser>
          <c:idx val="11"/>
          <c:order val="6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Validation!$L$53:$L$83</c:f>
              <c:numCache>
                <c:formatCode>#,##0.00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0.96947060864295509</c:v>
                </c:pt>
                <c:pt idx="4">
                  <c:v>0.93666262884243623</c:v>
                </c:pt>
                <c:pt idx="5">
                  <c:v>0.8998798548388055</c:v>
                </c:pt>
                <c:pt idx="6">
                  <c:v>0.85740820667745477</c:v>
                </c:pt>
                <c:pt idx="7">
                  <c:v>0.80783499353911925</c:v>
                </c:pt>
                <c:pt idx="8">
                  <c:v>0.75076982755814348</c:v>
                </c:pt>
                <c:pt idx="9">
                  <c:v>0.68766738584874543</c:v>
                </c:pt>
                <c:pt idx="10">
                  <c:v>0.62185613070286561</c:v>
                </c:pt>
                <c:pt idx="11">
                  <c:v>0.55730518768057014</c:v>
                </c:pt>
                <c:pt idx="12">
                  <c:v>0.49712312033194889</c:v>
                </c:pt>
                <c:pt idx="13">
                  <c:v>0.44295061730176749</c:v>
                </c:pt>
                <c:pt idx="14">
                  <c:v>0.39520870762840116</c:v>
                </c:pt>
                <c:pt idx="15">
                  <c:v>0.35359886394420625</c:v>
                </c:pt>
                <c:pt idx="16">
                  <c:v>0.31750031656948802</c:v>
                </c:pt>
                <c:pt idx="17">
                  <c:v>0.28620332548506111</c:v>
                </c:pt>
                <c:pt idx="18">
                  <c:v>0.25902345366018004</c:v>
                </c:pt>
                <c:pt idx="19">
                  <c:v>0.23534799041702845</c:v>
                </c:pt>
                <c:pt idx="20">
                  <c:v>0.21464832045651627</c:v>
                </c:pt>
                <c:pt idx="21">
                  <c:v>0.19647691426781497</c:v>
                </c:pt>
                <c:pt idx="22">
                  <c:v>0.18045836865863296</c:v>
                </c:pt>
                <c:pt idx="23">
                  <c:v>0.16627895120973424</c:v>
                </c:pt>
                <c:pt idx="24">
                  <c:v>0.15367659112220472</c:v>
                </c:pt>
                <c:pt idx="25">
                  <c:v>0.14243204520772337</c:v>
                </c:pt>
                <c:pt idx="26">
                  <c:v>0.13236140776233216</c:v>
                </c:pt>
                <c:pt idx="27">
                  <c:v>0.12330989308909002</c:v>
                </c:pt>
                <c:pt idx="28">
                  <c:v>0.11514673180481973</c:v>
                </c:pt>
                <c:pt idx="29">
                  <c:v>0.10776100404441202</c:v>
                </c:pt>
                <c:pt idx="30">
                  <c:v>0.10105824412236929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5AD7-4F80-8071-422A38A6E007}"/>
            </c:ext>
          </c:extLst>
        </c:ser>
        <c:ser>
          <c:idx val="12"/>
          <c:order val="7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Validation!$M$53:$M$83</c:f>
              <c:numCache>
                <c:formatCode>#,##0.00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0.95292103210273293</c:v>
                </c:pt>
                <c:pt idx="4">
                  <c:v>0.90446951133310904</c:v>
                </c:pt>
                <c:pt idx="5">
                  <c:v>0.85307077172908974</c:v>
                </c:pt>
                <c:pt idx="6">
                  <c:v>0.79778663204181399</c:v>
                </c:pt>
                <c:pt idx="7">
                  <c:v>0.73859095056046298</c:v>
                </c:pt>
                <c:pt idx="8">
                  <c:v>0.67659700285177815</c:v>
                </c:pt>
                <c:pt idx="9">
                  <c:v>0.61390772811927219</c:v>
                </c:pt>
                <c:pt idx="10">
                  <c:v>0.55298939431550742</c:v>
                </c:pt>
                <c:pt idx="11">
                  <c:v>0.49592256807989127</c:v>
                </c:pt>
                <c:pt idx="12">
                  <c:v>0.44398192259963953</c:v>
                </c:pt>
                <c:pt idx="13">
                  <c:v>0.39764073889879908</c:v>
                </c:pt>
                <c:pt idx="14">
                  <c:v>0.35680086061051575</c:v>
                </c:pt>
                <c:pt idx="15">
                  <c:v>0.32104474333312399</c:v>
                </c:pt>
                <c:pt idx="16">
                  <c:v>0.28982081387762793</c:v>
                </c:pt>
                <c:pt idx="17">
                  <c:v>0.26255438481687304</c:v>
                </c:pt>
                <c:pt idx="18">
                  <c:v>0.23870435686961197</c:v>
                </c:pt>
                <c:pt idx="19">
                  <c:v>0.21778705097799103</c:v>
                </c:pt>
                <c:pt idx="20">
                  <c:v>0.19938226584763918</c:v>
                </c:pt>
                <c:pt idx="21">
                  <c:v>0.18313066913510997</c:v>
                </c:pt>
                <c:pt idx="22">
                  <c:v>0.16872754640407872</c:v>
                </c:pt>
                <c:pt idx="23">
                  <c:v>0.15591549630258023</c:v>
                </c:pt>
                <c:pt idx="24">
                  <c:v>0.14447730856922522</c:v>
                </c:pt>
                <c:pt idx="25">
                  <c:v>0.13422954721092428</c:v>
                </c:pt>
                <c:pt idx="26">
                  <c:v>0.12501700085145032</c:v>
                </c:pt>
                <c:pt idx="27">
                  <c:v>0.11670799123709137</c:v>
                </c:pt>
                <c:pt idx="28">
                  <c:v>0.10919045807716564</c:v>
                </c:pt>
                <c:pt idx="29">
                  <c:v>0.10236871475213299</c:v>
                </c:pt>
                <c:pt idx="30">
                  <c:v>9.6160769108624311E-2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5AD7-4F80-8071-422A38A6E007}"/>
            </c:ext>
          </c:extLst>
        </c:ser>
        <c:ser>
          <c:idx val="13"/>
          <c:order val="8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Validation!$N$53:$N$83</c:f>
              <c:numCache>
                <c:formatCode>#,##0.00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0.93307816687971179</c:v>
                </c:pt>
                <c:pt idx="4">
                  <c:v>0.86762025953068156</c:v>
                </c:pt>
                <c:pt idx="5">
                  <c:v>0.80222002106525681</c:v>
                </c:pt>
                <c:pt idx="6">
                  <c:v>0.73658010459222389</c:v>
                </c:pt>
                <c:pt idx="7">
                  <c:v>0.6713525877137857</c:v>
                </c:pt>
                <c:pt idx="8">
                  <c:v>0.6078379377488623</c:v>
                </c:pt>
                <c:pt idx="9">
                  <c:v>0.54752722525972852</c:v>
                </c:pt>
                <c:pt idx="10">
                  <c:v>0.49165905189799908</c:v>
                </c:pt>
                <c:pt idx="11">
                  <c:v>0.44097361046356959</c:v>
                </c:pt>
                <c:pt idx="12">
                  <c:v>0.39569777089402186</c:v>
                </c:pt>
                <c:pt idx="13">
                  <c:v>0.35566881552370844</c:v>
                </c:pt>
                <c:pt idx="14">
                  <c:v>0.32048990651858117</c:v>
                </c:pt>
                <c:pt idx="15">
                  <c:v>0.28965757150068955</c:v>
                </c:pt>
                <c:pt idx="16">
                  <c:v>0.26264595185409079</c:v>
                </c:pt>
                <c:pt idx="17">
                  <c:v>0.23895426211927609</c:v>
                </c:pt>
                <c:pt idx="18">
                  <c:v>0.21812919097602068</c:v>
                </c:pt>
                <c:pt idx="19">
                  <c:v>0.1997723311679501</c:v>
                </c:pt>
                <c:pt idx="20">
                  <c:v>0.18353955957764895</c:v>
                </c:pt>
                <c:pt idx="21">
                  <c:v>0.16913659178347698</c:v>
                </c:pt>
                <c:pt idx="22">
                  <c:v>0.15631309242988892</c:v>
                </c:pt>
                <c:pt idx="23">
                  <c:v>0.14485659032513054</c:v>
                </c:pt>
                <c:pt idx="24">
                  <c:v>0.1345867954842084</c:v>
                </c:pt>
                <c:pt idx="25">
                  <c:v>0.12535055893199312</c:v>
                </c:pt>
                <c:pt idx="26">
                  <c:v>0.11701753117664017</c:v>
                </c:pt>
                <c:pt idx="27">
                  <c:v>0.10947648610798488</c:v>
                </c:pt>
                <c:pt idx="28">
                  <c:v>0.10263223952939261</c:v>
                </c:pt>
                <c:pt idx="29">
                  <c:v>9.6403080685618717E-2</c:v>
                </c:pt>
                <c:pt idx="30">
                  <c:v>9.0718637302078395E-2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5AD7-4F80-8071-422A38A6E007}"/>
            </c:ext>
          </c:extLst>
        </c:ser>
        <c:ser>
          <c:idx val="4"/>
          <c:order val="9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Validation!$P$53:$P$83</c:f>
              <c:numCache>
                <c:formatCode>0.00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5AD7-4F80-8071-422A38A6E007}"/>
            </c:ext>
          </c:extLst>
        </c:ser>
        <c:ser>
          <c:idx val="5"/>
          <c:order val="1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Validation!$Q$53:$Q$83</c:f>
              <c:numCache>
                <c:formatCode>0.00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5AD7-4F80-8071-422A38A6E007}"/>
            </c:ext>
          </c:extLst>
        </c:ser>
        <c:ser>
          <c:idx val="6"/>
          <c:order val="1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Validation!$R$53:$R$83</c:f>
              <c:numCache>
                <c:formatCode>0.00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5AD7-4F80-8071-422A38A6E007}"/>
            </c:ext>
          </c:extLst>
        </c:ser>
        <c:ser>
          <c:idx val="7"/>
          <c:order val="12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Validation!$S$53:$S$83</c:f>
              <c:numCache>
                <c:formatCode>0.00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5AD7-4F80-8071-422A38A6E007}"/>
            </c:ext>
          </c:extLst>
        </c:ser>
        <c:ser>
          <c:idx val="8"/>
          <c:order val="1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Validation!$B$53:$B$83</c:f>
              <c:numCache>
                <c:formatCode>0.00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Validation!$T$53:$T$83</c:f>
              <c:numCache>
                <c:formatCode>0.00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5AD7-4F80-8071-422A38A6E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74944"/>
        <c:axId val="657575336"/>
      </c:scatterChart>
      <c:valAx>
        <c:axId val="657574944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575336"/>
        <c:crosses val="autoZero"/>
        <c:crossBetween val="midCat"/>
        <c:majorUnit val="0.2"/>
      </c:valAx>
      <c:valAx>
        <c:axId val="6575753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5749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536122</xdr:colOff>
      <xdr:row>53</xdr:row>
      <xdr:rowOff>73477</xdr:rowOff>
    </xdr:from>
    <xdr:to>
      <xdr:col>10</xdr:col>
      <xdr:colOff>253093</xdr:colOff>
      <xdr:row>68</xdr:row>
      <xdr:rowOff>40820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83AD47B1-CCEA-45CB-8647-B96AA247C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364672</xdr:colOff>
      <xdr:row>53</xdr:row>
      <xdr:rowOff>38099</xdr:rowOff>
    </xdr:from>
    <xdr:to>
      <xdr:col>16</xdr:col>
      <xdr:colOff>234209</xdr:colOff>
      <xdr:row>68</xdr:row>
      <xdr:rowOff>142242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DC445478-B39B-41B6-8A34-45F50DEB5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62801" y="9884228"/>
          <a:ext cx="3755737" cy="28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22"/>
  <sheetViews>
    <sheetView topLeftCell="A3" workbookViewId="0">
      <selection activeCell="B3" sqref="B3"/>
    </sheetView>
  </sheetViews>
  <sheetFormatPr defaultRowHeight="15" x14ac:dyDescent="0.25"/>
  <cols>
    <col min="4" max="4" width="9.28515625" style="326"/>
    <col min="7" max="10" width="12" customWidth="1"/>
  </cols>
  <sheetData>
    <row r="3" spans="1:10" x14ac:dyDescent="0.25">
      <c r="A3" s="1" t="s">
        <v>219</v>
      </c>
      <c r="B3" s="78" t="s">
        <v>537</v>
      </c>
      <c r="C3" s="1" t="s">
        <v>567</v>
      </c>
      <c r="D3" s="630" t="s">
        <v>572</v>
      </c>
      <c r="E3" s="1" t="s">
        <v>4</v>
      </c>
      <c r="F3" s="1" t="s">
        <v>25</v>
      </c>
      <c r="G3" s="1" t="s">
        <v>568</v>
      </c>
      <c r="H3" s="1" t="s">
        <v>569</v>
      </c>
      <c r="I3" s="1" t="s">
        <v>570</v>
      </c>
      <c r="J3" s="1" t="s">
        <v>571</v>
      </c>
    </row>
    <row r="4" spans="1:10" s="326" customFormat="1" x14ac:dyDescent="0.25">
      <c r="A4" s="1" t="s">
        <v>9</v>
      </c>
      <c r="B4" s="78"/>
      <c r="C4" s="1"/>
      <c r="D4" s="630"/>
      <c r="E4" s="1" t="s">
        <v>125</v>
      </c>
      <c r="F4" s="1" t="s">
        <v>125</v>
      </c>
      <c r="G4" s="1" t="s">
        <v>11</v>
      </c>
      <c r="H4" s="1" t="s">
        <v>11</v>
      </c>
      <c r="I4" s="1" t="s">
        <v>11</v>
      </c>
      <c r="J4" s="1" t="s">
        <v>11</v>
      </c>
    </row>
    <row r="5" spans="1:10" x14ac:dyDescent="0.25">
      <c r="A5" s="1">
        <v>1000</v>
      </c>
      <c r="B5" s="1">
        <v>5</v>
      </c>
      <c r="C5" s="1" t="s">
        <v>103</v>
      </c>
      <c r="D5" s="629">
        <f>IF(C5="a0",-1,IF(C5="a",-0.5,IF(C5="b",0,IF(C5="c",0.5,IF(C5="d",1)))))</f>
        <v>-0.5</v>
      </c>
      <c r="E5" s="1">
        <v>300</v>
      </c>
      <c r="F5" s="1">
        <v>205000</v>
      </c>
      <c r="G5" s="367">
        <f>_xll.Ncr_BS5950($A5,$B5,$C5,$E5,$F5)/10^3</f>
        <v>300</v>
      </c>
      <c r="H5" s="367">
        <f>_xll.Ncr_AISC360($A5,$B5,$E5,$F5)/10^3</f>
        <v>299.53490705097573</v>
      </c>
      <c r="I5" s="367">
        <f>_xll.Ncr_EC3($A5,$B5,$C5,$E5,$F5)/10^3</f>
        <v>300</v>
      </c>
      <c r="J5" s="367">
        <f>_xll.Ncr_NZS3404($A5,$B5,1,$D5,$E5,$F5)/10^3</f>
        <v>299.99999999999977</v>
      </c>
    </row>
    <row r="6" spans="1:10" x14ac:dyDescent="0.25">
      <c r="A6" s="1">
        <v>1000</v>
      </c>
      <c r="B6" s="1">
        <v>20</v>
      </c>
      <c r="C6" s="1" t="str">
        <f>C5</f>
        <v>a</v>
      </c>
      <c r="D6" s="629">
        <f t="shared" ref="D6:D22" si="0">IF(C6="a0",-1,IF(C6="a",-0.5,IF(C6="b",0,IF(C6="c",0.5,IF(C6="d",1)))))</f>
        <v>-0.5</v>
      </c>
      <c r="E6" s="1">
        <v>300</v>
      </c>
      <c r="F6" s="1">
        <v>205000</v>
      </c>
      <c r="G6" s="367">
        <f>_xll.Ncr_BS5950($A6,$B6,$C6,$E6,$F6)/10^3</f>
        <v>297.73780857336322</v>
      </c>
      <c r="H6" s="367">
        <f>_xll.Ncr_AISC360($A6,$B6,$E6,$F6)/10^3</f>
        <v>292.64441455220287</v>
      </c>
      <c r="I6" s="367">
        <f>_xll.Ncr_EC3($A6,$B6,$C6,$E6,$F6)/10^3</f>
        <v>297.11407648767664</v>
      </c>
      <c r="J6" s="367">
        <f>_xll.Ncr_NZS3404($A6,$B6,1,$D6,$E6,$F6)/10^3</f>
        <v>295.60218644777825</v>
      </c>
    </row>
    <row r="7" spans="1:10" x14ac:dyDescent="0.25">
      <c r="A7" s="1">
        <v>1000</v>
      </c>
      <c r="B7" s="1">
        <v>50</v>
      </c>
      <c r="C7" s="1" t="str">
        <f t="shared" ref="C7:C16" si="1">C6</f>
        <v>a</v>
      </c>
      <c r="D7" s="629">
        <f t="shared" si="0"/>
        <v>-0.5</v>
      </c>
      <c r="E7" s="1">
        <v>300</v>
      </c>
      <c r="F7" s="1">
        <v>205000</v>
      </c>
      <c r="G7" s="367">
        <f>_xll.Ncr_BS5950($A7,$B7,$C7,$E7,$F7)/10^3</f>
        <v>272.42410426546468</v>
      </c>
      <c r="H7" s="367">
        <f>_xll.Ncr_AISC360($A7,$B7,$E7,$F7)/10^3</f>
        <v>256.88568853962289</v>
      </c>
      <c r="I7" s="367">
        <f>_xll.Ncr_EC3($A7,$B7,$C7,$E7,$F7)/10^3</f>
        <v>265.9839359492546</v>
      </c>
      <c r="J7" s="367">
        <f>_xll.Ncr_NZS3404($A7,$B7,1,$D7,$E7,$F7)/10^3</f>
        <v>265.74529764439819</v>
      </c>
    </row>
    <row r="8" spans="1:10" x14ac:dyDescent="0.25">
      <c r="A8" s="1">
        <v>1000</v>
      </c>
      <c r="B8" s="1">
        <v>100</v>
      </c>
      <c r="C8" s="1" t="str">
        <f t="shared" si="1"/>
        <v>a</v>
      </c>
      <c r="D8" s="629">
        <f t="shared" si="0"/>
        <v>-0.5</v>
      </c>
      <c r="E8" s="1">
        <v>300</v>
      </c>
      <c r="F8" s="1">
        <v>205000</v>
      </c>
      <c r="G8" s="367">
        <f>_xll.Ncr_BS5950($A8,$B8,$C8,$E8,$F8)/10^3</f>
        <v>162.40814527826319</v>
      </c>
      <c r="H8" s="367">
        <f>_xll.Ncr_AISC360($A8,$B8,$E8,$F8)/10^3</f>
        <v>161.28570428967987</v>
      </c>
      <c r="I8" s="367">
        <f>_xll.Ncr_EC3($A8,$B8,$C8,$E8,$F8)/10^3</f>
        <v>155.68208304737735</v>
      </c>
      <c r="J8" s="367">
        <f>_xll.Ncr_NZS3404($A8,$B8,1,$D8,$E8,$F8)/10^3</f>
        <v>159.48845864400403</v>
      </c>
    </row>
    <row r="9" spans="1:10" x14ac:dyDescent="0.25">
      <c r="A9" s="1">
        <v>1000</v>
      </c>
      <c r="B9" s="1">
        <v>150</v>
      </c>
      <c r="C9" s="1" t="str">
        <f t="shared" si="1"/>
        <v>a</v>
      </c>
      <c r="D9" s="629">
        <f t="shared" si="0"/>
        <v>-0.5</v>
      </c>
      <c r="E9" s="1">
        <v>300</v>
      </c>
      <c r="F9" s="1">
        <v>205000</v>
      </c>
      <c r="G9" s="367">
        <f>_xll.Ncr_BS5950($A9,$B9,$C9,$E9,$F9)/10^3</f>
        <v>81.032896024433967</v>
      </c>
      <c r="H9" s="367">
        <f>_xll.Ncr_AISC360($A9,$B9,$E9,$F9)/10^3</f>
        <v>78.862525655548893</v>
      </c>
      <c r="I9" s="367">
        <f>_xll.Ncr_EC3($A9,$B9,$C9,$E9,$F9)/10^3</f>
        <v>78.95245936278674</v>
      </c>
      <c r="J9" s="367">
        <f>_xll.Ncr_NZS3404($A9,$B9,1,$D9,$E9,$F9)/10^3</f>
        <v>80.210744690839434</v>
      </c>
    </row>
    <row r="10" spans="1:10" x14ac:dyDescent="0.25">
      <c r="A10" s="1">
        <v>1000</v>
      </c>
      <c r="B10" s="1">
        <v>300</v>
      </c>
      <c r="C10" s="1" t="str">
        <f t="shared" si="1"/>
        <v>a</v>
      </c>
      <c r="D10" s="629">
        <f t="shared" si="0"/>
        <v>-0.5</v>
      </c>
      <c r="E10" s="1">
        <v>300</v>
      </c>
      <c r="F10" s="1">
        <v>205000</v>
      </c>
      <c r="G10" s="367">
        <f>_xll.Ncr_BS5950($A10,$B10,$C10,$E10,$F10)/10^3</f>
        <v>21.496641748026093</v>
      </c>
      <c r="H10" s="367">
        <f>_xll.Ncr_AISC360($A10,$B10,$E10,$F10)/10^3</f>
        <v>19.715631413887223</v>
      </c>
      <c r="I10" s="367">
        <f>_xll.Ncr_EC3($A10,$B10,$C10,$E10,$F10)/10^3</f>
        <v>21.238744092435113</v>
      </c>
      <c r="J10" s="367">
        <f>_xll.Ncr_NZS3404($A10,$B10,1,$D10,$E10,$F10)/10^3</f>
        <v>21.166751815808066</v>
      </c>
    </row>
    <row r="11" spans="1:10" x14ac:dyDescent="0.25">
      <c r="A11" s="1">
        <v>1000</v>
      </c>
      <c r="B11" s="1">
        <f>B5</f>
        <v>5</v>
      </c>
      <c r="C11" s="1" t="s">
        <v>539</v>
      </c>
      <c r="D11" s="629">
        <f>IF(C11="a0",-1,IF(C11="a",-0.5,IF(C11="b",0,IF(C11="c",0.5,IF(C11="d",1)))))</f>
        <v>0.5</v>
      </c>
      <c r="E11" s="1">
        <v>300</v>
      </c>
      <c r="F11" s="1">
        <v>205000</v>
      </c>
      <c r="G11" s="367">
        <f>_xll.Ncr_BS5950($A11,$B11,$C11,$E11,$F11)/10^3</f>
        <v>300</v>
      </c>
      <c r="H11" s="367">
        <f>_xll.Ncr_AISC360($A11,$B11,$E11,$F11)/10^3</f>
        <v>299.53490705097573</v>
      </c>
      <c r="I11" s="367">
        <f>_xll.Ncr_EC3($A11,$B11,$C11,$E11,$F11)/10^3</f>
        <v>300</v>
      </c>
      <c r="J11" s="367">
        <f>_xll.Ncr_NZS3404($A11,$B11,1,$D11,$E11,$F11)/10^3</f>
        <v>300.00000000001921</v>
      </c>
    </row>
    <row r="12" spans="1:10" x14ac:dyDescent="0.25">
      <c r="A12" s="1">
        <v>1000</v>
      </c>
      <c r="B12" s="1">
        <f t="shared" ref="B12:B22" si="2">B6</f>
        <v>20</v>
      </c>
      <c r="C12" s="1" t="str">
        <f t="shared" si="1"/>
        <v>c</v>
      </c>
      <c r="D12" s="629">
        <f t="shared" si="0"/>
        <v>0.5</v>
      </c>
      <c r="E12" s="1">
        <v>300</v>
      </c>
      <c r="F12" s="1">
        <v>205000</v>
      </c>
      <c r="G12" s="367">
        <f>_xll.Ncr_BS5950($A12,$B12,$C12,$E12,$F12)/10^3</f>
        <v>293.86488691872029</v>
      </c>
      <c r="H12" s="367">
        <f>_xll.Ncr_AISC360($A12,$B12,$E12,$F12)/10^3</f>
        <v>292.64441455220287</v>
      </c>
      <c r="I12" s="367">
        <f>_xll.Ncr_EC3($A12,$B12,$C12,$E12,$F12)/10^3</f>
        <v>293.35658176696097</v>
      </c>
      <c r="J12" s="367">
        <f>_xll.Ncr_NZS3404($A12,$B12,1,$D12,$E12,$F12)/10^3</f>
        <v>287.34844413729763</v>
      </c>
    </row>
    <row r="13" spans="1:10" x14ac:dyDescent="0.25">
      <c r="A13" s="1">
        <v>1000</v>
      </c>
      <c r="B13" s="1">
        <f t="shared" si="2"/>
        <v>50</v>
      </c>
      <c r="C13" s="1" t="str">
        <f t="shared" si="1"/>
        <v>c</v>
      </c>
      <c r="D13" s="629">
        <f t="shared" si="0"/>
        <v>0.5</v>
      </c>
      <c r="E13" s="1">
        <v>300</v>
      </c>
      <c r="F13" s="1">
        <v>205000</v>
      </c>
      <c r="G13" s="367">
        <f>_xll.Ncr_BS5950($A13,$B13,$C13,$E13,$F13)/10^3</f>
        <v>237.81083730357682</v>
      </c>
      <c r="H13" s="367">
        <f>_xll.Ncr_AISC360($A13,$B13,$E13,$F13)/10^3</f>
        <v>256.88568853962289</v>
      </c>
      <c r="I13" s="367">
        <f>_xll.Ncr_EC3($A13,$B13,$C13,$E13,$F13)/10^3</f>
        <v>234.03961014790383</v>
      </c>
      <c r="J13" s="367">
        <f>_xll.Ncr_NZS3404($A13,$B13,1,$D13,$E13,$F13)/10^3</f>
        <v>233.73127683904971</v>
      </c>
    </row>
    <row r="14" spans="1:10" x14ac:dyDescent="0.25">
      <c r="A14" s="1">
        <v>1000</v>
      </c>
      <c r="B14" s="1">
        <f t="shared" si="2"/>
        <v>100</v>
      </c>
      <c r="C14" s="1" t="str">
        <f t="shared" si="1"/>
        <v>c</v>
      </c>
      <c r="D14" s="629">
        <f t="shared" si="0"/>
        <v>0.5</v>
      </c>
      <c r="E14" s="1">
        <v>300</v>
      </c>
      <c r="F14" s="1">
        <v>205000</v>
      </c>
      <c r="G14" s="367">
        <f>_xll.Ncr_BS5950($A14,$B14,$C14,$E14,$F14)/10^3</f>
        <v>130.61320620579767</v>
      </c>
      <c r="H14" s="367">
        <f>_xll.Ncr_AISC360($A14,$B14,$E14,$F14)/10^3</f>
        <v>161.28570428967987</v>
      </c>
      <c r="I14" s="367">
        <f>_xll.Ncr_EC3($A14,$B14,$C14,$E14,$F14)/10^3</f>
        <v>127.62571659143644</v>
      </c>
      <c r="J14" s="367">
        <f>_xll.Ncr_NZS3404($A14,$B14,1,$D14,$E14,$F14)/10^3</f>
        <v>129.91296905595851</v>
      </c>
    </row>
    <row r="15" spans="1:10" x14ac:dyDescent="0.25">
      <c r="A15" s="1">
        <v>1000</v>
      </c>
      <c r="B15" s="1">
        <f t="shared" si="2"/>
        <v>150</v>
      </c>
      <c r="C15" s="1" t="str">
        <f t="shared" si="1"/>
        <v>c</v>
      </c>
      <c r="D15" s="629">
        <f t="shared" si="0"/>
        <v>0.5</v>
      </c>
      <c r="E15" s="1">
        <v>300</v>
      </c>
      <c r="F15" s="1">
        <v>205000</v>
      </c>
      <c r="G15" s="367">
        <f>_xll.Ncr_BS5950($A15,$B15,$C15,$E15,$F15)/10^3</f>
        <v>69.866743960688055</v>
      </c>
      <c r="H15" s="367">
        <f>_xll.Ncr_AISC360($A15,$B15,$E15,$F15)/10^3</f>
        <v>78.862525655548893</v>
      </c>
      <c r="I15" s="367">
        <f>_xll.Ncr_EC3($A15,$B15,$C15,$E15,$F15)/10^3</f>
        <v>68.654600423009796</v>
      </c>
      <c r="J15" s="367">
        <f>_xll.Ncr_NZS3404($A15,$B15,1,$D15,$E15,$F15)/10^3</f>
        <v>70.616218331216842</v>
      </c>
    </row>
    <row r="16" spans="1:10" x14ac:dyDescent="0.25">
      <c r="A16" s="1">
        <v>1000</v>
      </c>
      <c r="B16" s="1">
        <f t="shared" si="2"/>
        <v>300</v>
      </c>
      <c r="C16" s="1" t="str">
        <f t="shared" si="1"/>
        <v>c</v>
      </c>
      <c r="D16" s="629">
        <f t="shared" si="0"/>
        <v>0.5</v>
      </c>
      <c r="E16" s="1">
        <v>300</v>
      </c>
      <c r="F16" s="1">
        <v>205000</v>
      </c>
      <c r="G16" s="367">
        <f>_xll.Ncr_BS5950($A16,$B16,$C16,$E16,$F16)/10^3</f>
        <v>19.979107716080506</v>
      </c>
      <c r="H16" s="367">
        <f>_xll.Ncr_AISC360($A16,$B16,$E16,$F16)/10^3</f>
        <v>19.715631413887223</v>
      </c>
      <c r="I16" s="367">
        <f>_xll.Ncr_EC3($A16,$B16,$C16,$E16,$F16)/10^3</f>
        <v>19.793806432309832</v>
      </c>
      <c r="J16" s="367">
        <f>_xll.Ncr_NZS3404($A16,$B16,1,$D16,$E16,$F16)/10^3</f>
        <v>20.403246507949611</v>
      </c>
    </row>
    <row r="17" spans="1:10" x14ac:dyDescent="0.25">
      <c r="A17" s="1">
        <v>1000</v>
      </c>
      <c r="B17" s="1">
        <f>B11</f>
        <v>5</v>
      </c>
      <c r="C17" s="1" t="s">
        <v>542</v>
      </c>
      <c r="D17" s="629">
        <f>IF(C17="a0",-1,IF(C17="a",-0.5,IF(C17="b",0,IF(C17="c",0.5,IF(C17="d",1)))))</f>
        <v>1</v>
      </c>
      <c r="E17" s="1">
        <v>300</v>
      </c>
      <c r="F17" s="1">
        <v>205000</v>
      </c>
      <c r="G17" s="367">
        <f>_xll.Ncr_BS5950($A17,$B17,$C17,$E17,$F17)/10^3</f>
        <v>300</v>
      </c>
      <c r="H17" s="367">
        <f>_xll.Ncr_AISC360($A17,$B17,$E17,$F17)/10^3</f>
        <v>299.53490705097573</v>
      </c>
      <c r="I17" s="367">
        <f>_xll.Ncr_EC3($A17,$B17,$C17,$E17,$F17)/10^3</f>
        <v>300</v>
      </c>
      <c r="J17" s="367">
        <f>_xll.Ncr_NZS3404($A17,$B17,1,$D17,$E17,$F17)/10^3</f>
        <v>300.00000000000358</v>
      </c>
    </row>
    <row r="18" spans="1:10" x14ac:dyDescent="0.25">
      <c r="A18" s="1">
        <v>1000</v>
      </c>
      <c r="B18" s="1">
        <f t="shared" si="2"/>
        <v>20</v>
      </c>
      <c r="C18" s="1" t="str">
        <f t="shared" ref="C18:C22" si="3">C17</f>
        <v>d</v>
      </c>
      <c r="D18" s="629">
        <f t="shared" si="0"/>
        <v>1</v>
      </c>
      <c r="E18" s="1">
        <v>300</v>
      </c>
      <c r="F18" s="1">
        <v>205000</v>
      </c>
      <c r="G18" s="367">
        <f>_xll.Ncr_BS5950($A18,$B18,$C18,$E18,$F18)/10^3</f>
        <v>291.16325073878443</v>
      </c>
      <c r="H18" s="367">
        <f>_xll.Ncr_AISC360($A18,$B18,$E18,$F18)/10^3</f>
        <v>292.64441455220287</v>
      </c>
      <c r="I18" s="367">
        <f>_xll.Ncr_EC3($A18,$B18,$C18,$E18,$F18)/10^3</f>
        <v>289.82741827595595</v>
      </c>
      <c r="J18" s="367">
        <f>_xll.Ncr_NZS3404($A18,$B18,1,$D18,$E18,$F18)/10^3</f>
        <v>283.04482891808442</v>
      </c>
    </row>
    <row r="19" spans="1:10" x14ac:dyDescent="0.25">
      <c r="A19" s="1">
        <v>1000</v>
      </c>
      <c r="B19" s="1">
        <f t="shared" si="2"/>
        <v>50</v>
      </c>
      <c r="C19" s="1" t="str">
        <f t="shared" si="3"/>
        <v>d</v>
      </c>
      <c r="D19" s="629">
        <f t="shared" si="0"/>
        <v>1</v>
      </c>
      <c r="E19" s="1">
        <v>300</v>
      </c>
      <c r="F19" s="1">
        <v>205000</v>
      </c>
      <c r="G19" s="367">
        <f>_xll.Ncr_BS5950($A19,$B19,$C19,$E19,$F19)/10^3</f>
        <v>219.23433514781235</v>
      </c>
      <c r="H19" s="367">
        <f>_xll.Ncr_AISC360($A19,$B19,$E19,$F19)/10^3</f>
        <v>256.88568853962289</v>
      </c>
      <c r="I19" s="367">
        <f>_xll.Ncr_EC3($A19,$B19,$C19,$E19,$F19)/10^3</f>
        <v>211.20219009674764</v>
      </c>
      <c r="J19" s="367">
        <f>_xll.Ncr_NZS3404($A19,$B19,1,$D19,$E19,$F19)/10^3</f>
        <v>213.83518615188333</v>
      </c>
    </row>
    <row r="20" spans="1:10" x14ac:dyDescent="0.25">
      <c r="A20" s="1">
        <v>1000</v>
      </c>
      <c r="B20" s="1">
        <f t="shared" si="2"/>
        <v>100</v>
      </c>
      <c r="C20" s="1" t="str">
        <f t="shared" si="3"/>
        <v>d</v>
      </c>
      <c r="D20" s="629">
        <f t="shared" si="0"/>
        <v>1</v>
      </c>
      <c r="E20" s="1">
        <v>300</v>
      </c>
      <c r="F20" s="1">
        <v>205000</v>
      </c>
      <c r="G20" s="367">
        <f>_xll.Ncr_BS5950($A20,$B20,$C20,$E20,$F20)/10^3</f>
        <v>116.47415607472153</v>
      </c>
      <c r="H20" s="367">
        <f>_xll.Ncr_AISC360($A20,$B20,$E20,$F20)/10^3</f>
        <v>161.28570428967987</v>
      </c>
      <c r="I20" s="367">
        <f>_xll.Ncr_EC3($A20,$B20,$C20,$E20,$F20)/10^3</f>
        <v>110.74989299766874</v>
      </c>
      <c r="J20" s="367">
        <f>_xll.Ncr_NZS3404($A20,$B20,1,$D20,$E20,$F20)/10^3</f>
        <v>117.33991146519298</v>
      </c>
    </row>
    <row r="21" spans="1:10" x14ac:dyDescent="0.25">
      <c r="A21" s="1">
        <v>1000</v>
      </c>
      <c r="B21" s="1">
        <f t="shared" si="2"/>
        <v>150</v>
      </c>
      <c r="C21" s="1" t="str">
        <f t="shared" si="3"/>
        <v>d</v>
      </c>
      <c r="D21" s="629">
        <f t="shared" si="0"/>
        <v>1</v>
      </c>
      <c r="E21" s="1">
        <v>300</v>
      </c>
      <c r="F21" s="1">
        <v>205000</v>
      </c>
      <c r="G21" s="367">
        <f>_xll.Ncr_BS5950($A21,$B21,$C21,$E21,$F21)/10^3</f>
        <v>63.910507919758984</v>
      </c>
      <c r="H21" s="367">
        <f>_xll.Ncr_AISC360($A21,$B21,$E21,$F21)/10^3</f>
        <v>78.862525655548893</v>
      </c>
      <c r="I21" s="367">
        <f>_xll.Ncr_EC3($A21,$B21,$C21,$E21,$F21)/10^3</f>
        <v>61.348291978747554</v>
      </c>
      <c r="J21" s="367">
        <f>_xll.Ncr_NZS3404($A21,$B21,1,$D21,$E21,$F21)/10^3</f>
        <v>66.421522630099787</v>
      </c>
    </row>
    <row r="22" spans="1:10" x14ac:dyDescent="0.25">
      <c r="A22" s="1">
        <v>1000</v>
      </c>
      <c r="B22" s="1">
        <f t="shared" si="2"/>
        <v>300</v>
      </c>
      <c r="C22" s="1" t="str">
        <f t="shared" si="3"/>
        <v>d</v>
      </c>
      <c r="D22" s="629">
        <f t="shared" si="0"/>
        <v>1</v>
      </c>
      <c r="E22" s="1">
        <v>300</v>
      </c>
      <c r="F22" s="1">
        <v>205000</v>
      </c>
      <c r="G22" s="367">
        <f>_xll.Ncr_BS5950($A22,$B22,$C22,$E22,$F22)/10^3</f>
        <v>19.027117037314898</v>
      </c>
      <c r="H22" s="367">
        <f>_xll.Ncr_AISC360($A22,$B22,$E22,$F22)/10^3</f>
        <v>19.715631413887223</v>
      </c>
      <c r="I22" s="367">
        <f>_xll.Ncr_EC3($A22,$B22,$C22,$E22,$F22)/10^3</f>
        <v>18.584637099475909</v>
      </c>
      <c r="J22" s="367">
        <f>_xll.Ncr_NZS3404($A22,$B22,1,$D22,$E22,$F22)/10^3</f>
        <v>20.036831634808848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"/>
  <sheetViews>
    <sheetView tabSelected="1" workbookViewId="0">
      <selection activeCell="O17" sqref="O17"/>
    </sheetView>
  </sheetViews>
  <sheetFormatPr defaultRowHeight="15" x14ac:dyDescent="0.25"/>
  <cols>
    <col min="15" max="18" width="9.140625" style="326"/>
  </cols>
  <sheetData>
    <row r="1" spans="1:28" ht="18" x14ac:dyDescent="0.35">
      <c r="A1" s="41" t="s">
        <v>4</v>
      </c>
      <c r="B1" s="41" t="s">
        <v>25</v>
      </c>
      <c r="C1" s="41" t="s">
        <v>551</v>
      </c>
      <c r="D1" s="322" t="s">
        <v>295</v>
      </c>
      <c r="E1" s="41" t="s">
        <v>309</v>
      </c>
      <c r="F1" s="41" t="s">
        <v>308</v>
      </c>
      <c r="G1" s="41" t="s">
        <v>307</v>
      </c>
      <c r="H1" s="41" t="s">
        <v>310</v>
      </c>
      <c r="I1" s="326"/>
      <c r="J1" s="21" t="s">
        <v>144</v>
      </c>
      <c r="K1" s="21" t="s">
        <v>145</v>
      </c>
      <c r="L1" s="21" t="s">
        <v>146</v>
      </c>
      <c r="M1" s="21" t="s">
        <v>303</v>
      </c>
      <c r="N1" s="21" t="s">
        <v>302</v>
      </c>
      <c r="O1" s="21" t="s">
        <v>148</v>
      </c>
      <c r="P1" s="21" t="s">
        <v>149</v>
      </c>
      <c r="Q1" s="21" t="s">
        <v>147</v>
      </c>
      <c r="R1" s="21" t="s">
        <v>304</v>
      </c>
      <c r="S1" s="21" t="s">
        <v>148</v>
      </c>
      <c r="T1" s="21" t="s">
        <v>149</v>
      </c>
      <c r="U1" s="21" t="s">
        <v>147</v>
      </c>
      <c r="V1" s="21" t="s">
        <v>304</v>
      </c>
      <c r="W1" s="21" t="s">
        <v>263</v>
      </c>
      <c r="X1" s="21"/>
      <c r="Y1" s="21" t="s">
        <v>148</v>
      </c>
      <c r="Z1" s="21" t="s">
        <v>149</v>
      </c>
      <c r="AA1" s="21" t="s">
        <v>147</v>
      </c>
      <c r="AB1" s="21" t="s">
        <v>304</v>
      </c>
    </row>
    <row r="2" spans="1:28" x14ac:dyDescent="0.25">
      <c r="A2" s="6" t="s">
        <v>125</v>
      </c>
      <c r="B2" s="6" t="s">
        <v>125</v>
      </c>
      <c r="C2" s="6" t="s">
        <v>38</v>
      </c>
      <c r="D2" s="323" t="s">
        <v>38</v>
      </c>
      <c r="E2" s="6"/>
      <c r="F2" s="6"/>
      <c r="G2" s="6"/>
      <c r="H2" s="6"/>
      <c r="I2" s="326"/>
      <c r="J2" s="418"/>
      <c r="K2" s="418"/>
      <c r="L2" s="418"/>
      <c r="M2" s="418" t="s">
        <v>171</v>
      </c>
      <c r="N2" s="418" t="s">
        <v>171</v>
      </c>
      <c r="O2" s="418" t="s">
        <v>49</v>
      </c>
      <c r="P2" s="418" t="s">
        <v>49</v>
      </c>
      <c r="Q2" s="418" t="s">
        <v>49</v>
      </c>
      <c r="R2" s="418" t="s">
        <v>49</v>
      </c>
      <c r="S2" s="418" t="s">
        <v>49</v>
      </c>
      <c r="T2" s="418" t="s">
        <v>49</v>
      </c>
      <c r="U2" s="418" t="s">
        <v>49</v>
      </c>
      <c r="V2" s="418" t="s">
        <v>49</v>
      </c>
      <c r="W2" s="418" t="s">
        <v>39</v>
      </c>
      <c r="X2" s="418"/>
      <c r="Y2" s="418" t="s">
        <v>49</v>
      </c>
      <c r="Z2" s="418" t="s">
        <v>49</v>
      </c>
      <c r="AA2" s="418" t="s">
        <v>49</v>
      </c>
      <c r="AB2" s="418" t="s">
        <v>49</v>
      </c>
    </row>
    <row r="3" spans="1:28" x14ac:dyDescent="0.25">
      <c r="A3" s="189">
        <v>305</v>
      </c>
      <c r="B3" s="146">
        <v>205000</v>
      </c>
      <c r="C3" s="146"/>
      <c r="D3" s="328">
        <v>12</v>
      </c>
      <c r="E3" s="189"/>
      <c r="F3" s="189"/>
      <c r="G3" s="189"/>
      <c r="H3" s="189"/>
      <c r="I3" s="326"/>
      <c r="J3" s="345">
        <f>268.9/(122+121.9)</f>
        <v>1.10250102501025</v>
      </c>
      <c r="K3" s="345">
        <f>272.5/(120.2+78.4)</f>
        <v>1.3721047331319234</v>
      </c>
      <c r="L3" s="345">
        <f>228.8/(124.2+126.8)</f>
        <v>0.91155378486055783</v>
      </c>
      <c r="M3" s="348">
        <v>26.6</v>
      </c>
      <c r="N3" s="348">
        <v>28.1</v>
      </c>
      <c r="O3" s="339">
        <f>_xll.KAB($J3,RADIANS($M3),RADIANS($N3),$D3,$H3,$E3,$B3,0.3)/10^6</f>
        <v>1071.16945005507</v>
      </c>
      <c r="P3" s="339">
        <f>_xll.KAC($K3,RADIANS($M3),$D3,$H3,$E3,$B3,0.3)/10^6</f>
        <v>444.02088756407846</v>
      </c>
      <c r="Q3" s="339">
        <f>_xll.KBD($L3,RADIANS($N3),$D3,$H3,$E3,$B3,0.3)/10^6</f>
        <v>266.57752441402312</v>
      </c>
      <c r="R3" s="344">
        <f t="shared" ref="R3" si="0">SUM(O3:Q3)</f>
        <v>1781.7678620331717</v>
      </c>
      <c r="S3" s="339">
        <f>val_KAB($J3,RADIANS($M3),RADIANS($N3),$D3,$H3,$E3,$B3,0.3)/10^6</f>
        <v>1071.1694500550698</v>
      </c>
      <c r="T3" s="339">
        <f>val_KAC($K3,RADIANS($M3),$D3,$H3,$E3,$B3,0.3)/10^6</f>
        <v>444.02088756407846</v>
      </c>
      <c r="U3" s="339">
        <f>val_KBD($L3,RADIANS($N3),$D3,$H3,$E3,$B3,0.3)/10^6</f>
        <v>266.57752441402306</v>
      </c>
      <c r="V3" s="344">
        <f t="shared" ref="V3" si="1">SUM(S3:U3)</f>
        <v>1781.7678620331712</v>
      </c>
      <c r="W3" s="344"/>
      <c r="X3" s="339"/>
      <c r="Y3" s="389">
        <f ca="1">Kab_mod(J3,RADIANS(M3),RADIANS(N3),$U3,$Y3,$V3)/10^6</f>
        <v>708.6794668956926</v>
      </c>
      <c r="Z3" s="389">
        <f ca="1">Kac_mod(K3,RADIANS(M3),$U3,$Y3,$W3)/10^6</f>
        <v>161.80284086279997</v>
      </c>
      <c r="AA3" s="389">
        <f ca="1">Kbd_mod(L3,RADIANS(N3),$U3,$Y3,$X3)/10^6</f>
        <v>146.22150049807647</v>
      </c>
      <c r="AB3" s="389">
        <f t="shared" ref="AB3" ca="1" si="2">(Kab_mod(J3,RADIANS(M3),RADIANS(N3),$U3,$Y3,$V3)+Kac_mod(K3,RADIANS(M3),$U3,$Y3,$W3)+Kbd_mod(L3,RADIANS(N3),$U3,$Y3,$X3))/10^6</f>
        <v>1016.703808256569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AL13"/>
  <sheetViews>
    <sheetView zoomScale="85" zoomScaleNormal="85" workbookViewId="0">
      <selection activeCell="Q21" sqref="Q21"/>
    </sheetView>
  </sheetViews>
  <sheetFormatPr defaultRowHeight="15" x14ac:dyDescent="0.25"/>
  <cols>
    <col min="12" max="12" width="9.140625" customWidth="1"/>
  </cols>
  <sheetData>
    <row r="3" spans="2:38" x14ac:dyDescent="0.25">
      <c r="B3">
        <v>205000</v>
      </c>
    </row>
    <row r="5" spans="2:38" ht="15.75" thickBot="1" x14ac:dyDescent="0.3"/>
    <row r="6" spans="2:38" x14ac:dyDescent="0.25">
      <c r="B6" s="272" t="s">
        <v>67</v>
      </c>
      <c r="C6" s="273" t="s">
        <v>523</v>
      </c>
      <c r="D6" s="273" t="s">
        <v>70</v>
      </c>
      <c r="E6" s="273" t="s">
        <v>69</v>
      </c>
      <c r="F6" s="273" t="s">
        <v>73</v>
      </c>
      <c r="G6" s="273" t="s">
        <v>36</v>
      </c>
      <c r="H6" s="321" t="s">
        <v>35</v>
      </c>
      <c r="I6" s="273" t="s">
        <v>287</v>
      </c>
      <c r="J6" s="273" t="s">
        <v>285</v>
      </c>
      <c r="K6" s="321" t="s">
        <v>286</v>
      </c>
      <c r="L6" s="273" t="s">
        <v>30</v>
      </c>
      <c r="M6" s="273" t="s">
        <v>294</v>
      </c>
      <c r="N6" s="273" t="s">
        <v>292</v>
      </c>
      <c r="O6" s="273" t="s">
        <v>293</v>
      </c>
      <c r="P6" s="273" t="s">
        <v>263</v>
      </c>
      <c r="Q6" s="273" t="s">
        <v>291</v>
      </c>
      <c r="R6" s="273" t="s">
        <v>288</v>
      </c>
      <c r="S6" s="273" t="s">
        <v>289</v>
      </c>
      <c r="T6" s="273" t="s">
        <v>290</v>
      </c>
      <c r="U6" s="274" t="s">
        <v>104</v>
      </c>
      <c r="V6" s="274" t="s">
        <v>533</v>
      </c>
      <c r="W6" s="274" t="s">
        <v>30</v>
      </c>
      <c r="X6" s="273" t="s">
        <v>30</v>
      </c>
      <c r="Y6" s="273" t="s">
        <v>294</v>
      </c>
      <c r="Z6" s="273" t="s">
        <v>292</v>
      </c>
      <c r="AA6" s="273" t="s">
        <v>293</v>
      </c>
      <c r="AB6" s="273" t="s">
        <v>263</v>
      </c>
      <c r="AC6" s="273" t="s">
        <v>291</v>
      </c>
      <c r="AD6" s="273" t="s">
        <v>288</v>
      </c>
      <c r="AE6" s="273" t="s">
        <v>289</v>
      </c>
      <c r="AF6" s="273" t="s">
        <v>290</v>
      </c>
      <c r="AG6" s="274" t="s">
        <v>104</v>
      </c>
      <c r="AH6" s="274" t="s">
        <v>533</v>
      </c>
      <c r="AI6" s="274" t="s">
        <v>30</v>
      </c>
      <c r="AJ6" s="274" t="s">
        <v>466</v>
      </c>
    </row>
    <row r="7" spans="2:38" x14ac:dyDescent="0.25">
      <c r="B7" s="195"/>
      <c r="C7" s="6" t="s">
        <v>125</v>
      </c>
      <c r="D7" s="6" t="s">
        <v>38</v>
      </c>
      <c r="E7" s="6" t="s">
        <v>38</v>
      </c>
      <c r="F7" s="6" t="s">
        <v>38</v>
      </c>
      <c r="G7" s="6" t="s">
        <v>38</v>
      </c>
      <c r="H7" s="323" t="s">
        <v>38</v>
      </c>
      <c r="I7" s="6" t="s">
        <v>125</v>
      </c>
      <c r="J7" s="6" t="s">
        <v>38</v>
      </c>
      <c r="K7" s="323" t="s">
        <v>38</v>
      </c>
      <c r="L7" s="6" t="s">
        <v>49</v>
      </c>
      <c r="M7" s="6" t="s">
        <v>88</v>
      </c>
      <c r="N7" s="6" t="s">
        <v>49</v>
      </c>
      <c r="O7" s="6" t="s">
        <v>88</v>
      </c>
      <c r="P7" s="6" t="s">
        <v>39</v>
      </c>
      <c r="Q7" s="6" t="s">
        <v>39</v>
      </c>
      <c r="R7" s="6" t="s">
        <v>39</v>
      </c>
      <c r="S7" s="6" t="s">
        <v>39</v>
      </c>
      <c r="T7" s="6" t="s">
        <v>39</v>
      </c>
      <c r="U7" s="6" t="s">
        <v>39</v>
      </c>
      <c r="V7" s="6"/>
      <c r="W7" s="6" t="s">
        <v>49</v>
      </c>
      <c r="X7" s="6" t="s">
        <v>49</v>
      </c>
      <c r="Y7" s="6" t="s">
        <v>88</v>
      </c>
      <c r="Z7" s="6" t="s">
        <v>49</v>
      </c>
      <c r="AA7" s="6" t="s">
        <v>88</v>
      </c>
      <c r="AB7" s="6" t="s">
        <v>39</v>
      </c>
      <c r="AC7" s="6" t="s">
        <v>39</v>
      </c>
      <c r="AD7" s="6" t="s">
        <v>39</v>
      </c>
      <c r="AE7" s="6" t="s">
        <v>39</v>
      </c>
      <c r="AF7" s="6" t="s">
        <v>39</v>
      </c>
      <c r="AG7" s="6" t="s">
        <v>39</v>
      </c>
      <c r="AH7" s="6"/>
      <c r="AI7" s="6" t="s">
        <v>49</v>
      </c>
    </row>
    <row r="8" spans="2:38" x14ac:dyDescent="0.25">
      <c r="B8" s="309" t="s">
        <v>91</v>
      </c>
      <c r="C8" s="86">
        <v>400</v>
      </c>
      <c r="D8" s="90">
        <v>122.4</v>
      </c>
      <c r="E8" s="90">
        <v>3.2</v>
      </c>
      <c r="F8" s="90">
        <v>83.6</v>
      </c>
      <c r="G8" s="90">
        <v>83.6</v>
      </c>
      <c r="H8" s="316">
        <v>90</v>
      </c>
      <c r="I8" s="90">
        <v>0</v>
      </c>
      <c r="J8" s="90"/>
      <c r="K8" s="316"/>
      <c r="L8" s="86">
        <f t="array" ref="L8:O8">IF(B8="RHS",_xll.KrRHS(D8/10^3,E8/10^3,_xll.aRHS(D8,G8)/10^3,H8/10^3,C8*10^3,J8/10^3,K8/10^3,I8*10^3,$B$3*10^3),IF(B8="CHS",_xll.KrCHS(D8/10^3,E8/10^3,_xll.aCHS(D8,G8)/10^3,H8/10^3,C8*10^3,J8/10^3,K8/10^3,I8*10^3,$B$3*10^3),#N/A))</f>
        <v>1014.9067466679394</v>
      </c>
      <c r="M8" s="333">
        <v>4.0668868112816021E-4</v>
      </c>
      <c r="N8" s="86">
        <v>51.945708518163627</v>
      </c>
      <c r="O8" s="333">
        <v>1.6963663989875498E-2</v>
      </c>
      <c r="P8" s="89">
        <f t="array" ref="P8:T8">IF(B8="RHS",_xll.MpRHS(D8,E8,_xll.aRHS(D8,G8),H8,C8,J8,K8,I8,$B$3),IF(B8="CHS",_xll.MpCHS(D8,E8,_xll.aCHS(D8,G8),H8,C8,J8,K8,I8,$B$3),#N/A))/10^6</f>
        <v>1.2728148996010773</v>
      </c>
      <c r="Q8" s="89">
        <v>0</v>
      </c>
      <c r="R8" s="86">
        <v>2.3723189206381251E-4</v>
      </c>
      <c r="S8" s="89">
        <v>1.2725776677090135</v>
      </c>
      <c r="T8" s="89">
        <v>0</v>
      </c>
      <c r="U8" s="65">
        <f>P8</f>
        <v>1.2728148996010773</v>
      </c>
      <c r="V8" s="108" t="s">
        <v>531</v>
      </c>
      <c r="W8" s="58">
        <f>IF(V8="Initial",L8,IF(V8="Secant",U8/O8,#N/A))</f>
        <v>1014.9067466679394</v>
      </c>
      <c r="X8" s="86">
        <f t="array" ref="X8:AA8">IF(B8="RHS",val_Kr_RHS(D8/10^3,E8/10^3,G8/10^3,H8/10^3,C8*10^3,J8/10^3,K8/10^3,I8*10^3,$B$3*10^3),IF(B8="CHS",val_Kr_CHS(D8/10^3,E8/10^3,G8/10^3,H8/10^3,C8*10^3,J8/10^3,K8/10^3,I8*10^3,$B$3*10^3),#N/A))</f>
        <v>1014.9067466679393</v>
      </c>
      <c r="Y8" s="333">
        <v>4.0668868112816032E-4</v>
      </c>
      <c r="Z8" s="86">
        <v>51.945708518163606</v>
      </c>
      <c r="AA8" s="333">
        <v>1.6963663989875501E-2</v>
      </c>
      <c r="AB8" s="89">
        <f t="array" ref="AB8:AF8">IF(B8="RHS",val_Mp_RHS(D8,E8,G8,H8,C8,J8,K8,I8),IF(B8="CHS",val_Mp_CHS(D8,E8,G8,H8,C8,J8,K8,I8),#N/A))/10^6</f>
        <v>1.2728148996010775</v>
      </c>
      <c r="AC8" s="89">
        <v>0</v>
      </c>
      <c r="AD8" s="86">
        <v>2.3723189206381251E-4</v>
      </c>
      <c r="AE8" s="89">
        <v>1.2725776677090137</v>
      </c>
      <c r="AF8" s="89">
        <v>0</v>
      </c>
      <c r="AG8" s="65">
        <f>AB8</f>
        <v>1.2728148996010775</v>
      </c>
      <c r="AH8" s="108" t="s">
        <v>531</v>
      </c>
      <c r="AI8" s="58">
        <f>IF(AH8="Initial",X8,IF(AH8="Secant",AG8/AA8,#N/A))</f>
        <v>1014.9067466679393</v>
      </c>
      <c r="AJ8" s="327">
        <f t="array" ref="AJ8">MAX((IF(X8:AF8=0,1,X8:AF8)/IF(L8:T8=0,1,L8:T8)-1)^2)</f>
        <v>1.9721522630525295E-31</v>
      </c>
      <c r="AL8" s="86"/>
    </row>
    <row r="9" spans="2:38" x14ac:dyDescent="0.25">
      <c r="B9" s="309" t="s">
        <v>91</v>
      </c>
      <c r="C9" s="86">
        <v>400</v>
      </c>
      <c r="D9" s="90">
        <v>122.4</v>
      </c>
      <c r="E9" s="90">
        <v>3.2</v>
      </c>
      <c r="F9" s="90">
        <v>83.6</v>
      </c>
      <c r="G9" s="90">
        <v>83.6</v>
      </c>
      <c r="H9" s="316">
        <v>90</v>
      </c>
      <c r="I9" s="90">
        <v>300</v>
      </c>
      <c r="J9" s="90">
        <v>40</v>
      </c>
      <c r="K9" s="316">
        <v>20</v>
      </c>
      <c r="L9" s="86">
        <f t="array" ref="L9:O9">IF(B9="RHS",_xll.KrRHS(D9/10^3,E9/10^3,_xll.aRHS(D9,G9)/10^3,H9/10^3,C9*10^3,J9/10^3,K9/10^3,I9*10^3,$B$3*10^3),IF(B9="CHS",_xll.KrCHS(D9/10^3,E9/10^3,_xll.aCHS(D9,G9)/10^3,H9/10^3,C9*10^3,J9/10^3,K9/10^3,I9*10^3,$B$3*10^3),#N/A))</f>
        <v>1106.0178577790505</v>
      </c>
      <c r="M9" s="333">
        <v>4.0668868112816021E-4</v>
      </c>
      <c r="N9" s="86">
        <v>115.71218106830302</v>
      </c>
      <c r="O9" s="333">
        <v>1.6963663989875498E-2</v>
      </c>
      <c r="P9" s="89">
        <f t="array" ref="P9:T9">IF(B9="RHS",_xll.MpRHS(D9,E9,_xll.aRHS(D9,G9),H9,C9,J9,K9,I9,$B$3),IF(B9="CHS",_xll.MpCHS(D9,E9,_xll.aCHS(D9,G9),H9,C9,J9,K9,I9,$B$3),#N/A))/10^6</f>
        <v>2.3656486687535496</v>
      </c>
      <c r="Q9" s="89">
        <v>1.0928337691524725</v>
      </c>
      <c r="R9" s="86">
        <v>2.3723189206381251E-4</v>
      </c>
      <c r="S9" s="89">
        <v>1.2725776677090135</v>
      </c>
      <c r="T9" s="89">
        <v>0</v>
      </c>
      <c r="U9" s="65">
        <f t="shared" ref="U9:U13" si="0">P9</f>
        <v>2.3656486687535496</v>
      </c>
      <c r="V9" s="108" t="s">
        <v>531</v>
      </c>
      <c r="W9" s="58">
        <f t="shared" ref="W9:W13" si="1">IF(V9="Initial",L9,IF(V9="Secant",U9/O9,#N/A))</f>
        <v>1106.0178577790505</v>
      </c>
      <c r="X9" s="86">
        <f t="array" ref="X9:AA9">IF(B9="RHS",val_Kr_RHS(D9/10^3,E9/10^3,G9/10^3,H9/10^3,C9*10^3,J9/10^3,K9/10^3,I9*10^3,$B$3*10^3),IF(B9="CHS",val_Kr_CHS(D9/10^3,E9/10^3,G9/10^3,H9/10^3,C9*10^3,J9/10^3,K9/10^3,I9*10^3,$B$3*10^3),#N/A))</f>
        <v>1106.0178577790505</v>
      </c>
      <c r="Y9" s="333">
        <v>4.0668868112816032E-4</v>
      </c>
      <c r="Z9" s="86">
        <v>115.71218106830302</v>
      </c>
      <c r="AA9" s="333">
        <v>1.6963663989875501E-2</v>
      </c>
      <c r="AB9" s="89">
        <f t="array" ref="AB9:AF9">IF(B9="RHS",val_Mp_RHS(D9,E9,G9,H9,C9,J9,K9,I9),IF(B9="CHS",val_Mp_CHS(D9,E9,G9,H9,C9,J9,K9,I9),#N/A))/10^6</f>
        <v>2.3656486687535501</v>
      </c>
      <c r="AC9" s="89">
        <v>1.0928337691524725</v>
      </c>
      <c r="AD9" s="86">
        <v>2.3723189206381251E-4</v>
      </c>
      <c r="AE9" s="89">
        <v>1.2725776677090137</v>
      </c>
      <c r="AF9" s="89">
        <v>0</v>
      </c>
      <c r="AG9" s="65">
        <f t="shared" ref="AG9:AG13" si="2">AB9</f>
        <v>2.3656486687535501</v>
      </c>
      <c r="AH9" s="108" t="s">
        <v>531</v>
      </c>
      <c r="AI9" s="58">
        <f t="shared" ref="AI9:AI13" si="3">IF(AH9="Initial",X9,IF(AH9="Secant",AG9/AA9,#N/A))</f>
        <v>1106.0178577790505</v>
      </c>
      <c r="AJ9" s="327">
        <f t="array" ref="AJ9">MAX((IF(X9:AF9=0,1,X9:AF9)/IF(L9:T9=0,1,L9:T9)-1)^2)</f>
        <v>4.9303806576313238E-32</v>
      </c>
    </row>
    <row r="10" spans="2:38" s="326" customFormat="1" x14ac:dyDescent="0.25">
      <c r="B10" s="309" t="s">
        <v>91</v>
      </c>
      <c r="C10" s="86">
        <v>400</v>
      </c>
      <c r="D10" s="90">
        <v>122.4</v>
      </c>
      <c r="E10" s="90">
        <v>3.2</v>
      </c>
      <c r="F10" s="90">
        <v>83.6</v>
      </c>
      <c r="G10" s="90">
        <v>83.6</v>
      </c>
      <c r="H10" s="316">
        <v>90</v>
      </c>
      <c r="I10" s="90">
        <v>300</v>
      </c>
      <c r="J10" s="90">
        <v>40</v>
      </c>
      <c r="K10" s="316">
        <v>20</v>
      </c>
      <c r="L10" s="86">
        <f t="array" ref="L10:O10">IF(B10="RHS",_xll.KrRHS(D10/10^3,E10/10^3,_xll.aRHS(D10,G10)/10^3,H10/10^3,C10*10^3,J10/10^3,K10/10^3,I10*10^3,$B$3*10^3),IF(B10="CHS",_xll.KrCHS(D10/10^3,E10/10^3,_xll.aCHS(D10,G10)/10^3,H10/10^3,C10*10^3,J10/10^3,K10/10^3,I10*10^3,$B$3*10^3),#N/A))</f>
        <v>1106.0178577790505</v>
      </c>
      <c r="M10" s="333">
        <v>4.0668868112816021E-4</v>
      </c>
      <c r="N10" s="86">
        <v>115.71218106830302</v>
      </c>
      <c r="O10" s="333">
        <v>1.6963663989875498E-2</v>
      </c>
      <c r="P10" s="89">
        <f t="array" ref="P10:T10">IF(B10="RHS",_xll.MpRHS(D10,E10,_xll.aRHS(D10,G10),H10,C10,J10,K10,I10,$B$3),IF(B10="CHS",_xll.MpCHS(D10,E10,_xll.aCHS(D10,G10),H10,C10,J10,K10,I10,$B$3),#N/A))/10^6</f>
        <v>2.3656486687535496</v>
      </c>
      <c r="Q10" s="89">
        <v>1.0928337691524725</v>
      </c>
      <c r="R10" s="86">
        <v>2.3723189206381251E-4</v>
      </c>
      <c r="S10" s="89">
        <v>1.2725776677090135</v>
      </c>
      <c r="T10" s="89">
        <v>0</v>
      </c>
      <c r="U10" s="65">
        <f t="shared" ref="U10" si="4">P10</f>
        <v>2.3656486687535496</v>
      </c>
      <c r="V10" s="108" t="s">
        <v>531</v>
      </c>
      <c r="W10" s="58">
        <f t="shared" ref="W10" si="5">IF(V10="Initial",L10,IF(V10="Secant",U10/O10,#N/A))</f>
        <v>1106.0178577790505</v>
      </c>
      <c r="X10" s="86">
        <f t="array" ref="X10:AA10">IF(B10="RHS",val_Kr_RHS(D10/10^3,E10/10^3,G10/10^3,H10/10^3,C10*10^3,J10/10^3,K10/10^3,I10*10^3,$B$3*10^3),IF(B10="CHS",val_Kr_CHS(D10/10^3,E10/10^3,G10/10^3,H10/10^3,C10*10^3,J10/10^3,K10/10^3,I10*10^3,$B$3*10^3),#N/A))</f>
        <v>1106.0178577790505</v>
      </c>
      <c r="Y10" s="333">
        <v>4.0668868112816032E-4</v>
      </c>
      <c r="Z10" s="86">
        <v>115.71218106830302</v>
      </c>
      <c r="AA10" s="333">
        <v>1.6963663989875501E-2</v>
      </c>
      <c r="AB10" s="89">
        <f t="array" ref="AB10:AF10">IF(B10="RHS",val_Mp_RHS(D10,E10,G10,H10,C10,J10,K10,I10),IF(B10="CHS",val_Mp_CHS(D10,E10,G10,H10,C10,J10,K10,I10),#N/A))/10^6</f>
        <v>2.3656486687535501</v>
      </c>
      <c r="AC10" s="89">
        <v>1.0928337691524725</v>
      </c>
      <c r="AD10" s="86">
        <v>2.3723189206381251E-4</v>
      </c>
      <c r="AE10" s="89">
        <v>1.2725776677090137</v>
      </c>
      <c r="AF10" s="89">
        <v>0</v>
      </c>
      <c r="AG10" s="65">
        <f t="shared" ref="AG10" si="6">AB10</f>
        <v>2.3656486687535501</v>
      </c>
      <c r="AH10" s="108" t="s">
        <v>531</v>
      </c>
      <c r="AI10" s="58">
        <f t="shared" ref="AI10" si="7">IF(AH10="Initial",X10,IF(AH10="Secant",AG10/AA10,#N/A))</f>
        <v>1106.0178577790505</v>
      </c>
      <c r="AJ10" s="327">
        <f t="array" ref="AJ10">MAX((IF(X10:AF10=0,1,X10:AF10)/IF(L10:T10=0,1,L10:T10)-1)^2)</f>
        <v>4.9303806576313238E-32</v>
      </c>
    </row>
    <row r="11" spans="2:38" x14ac:dyDescent="0.25">
      <c r="B11" s="309" t="s">
        <v>92</v>
      </c>
      <c r="C11" s="86">
        <v>400</v>
      </c>
      <c r="D11" s="90">
        <v>122.4</v>
      </c>
      <c r="E11" s="90">
        <v>3.2</v>
      </c>
      <c r="F11" s="90">
        <v>83.6</v>
      </c>
      <c r="G11" s="90">
        <v>83.6</v>
      </c>
      <c r="H11" s="316">
        <v>90</v>
      </c>
      <c r="I11" s="90">
        <v>0</v>
      </c>
      <c r="J11" s="90"/>
      <c r="K11" s="316"/>
      <c r="L11" s="86">
        <f t="array" ref="L11:O11">IF(B11="RHS",_xll.KrRHS(D11/10^3,E11/10^3,_xll.aRHS(D11,G11)/10^3,H11/10^3,C11*10^3,J11/10^3,K11/10^3,I11*10^3,$B$3*10^3),IF(B11="CHS",_xll.KrCHS(D11/10^3,E11/10^3,_xll.aCHS(D11,G11)/10^3,H11/10^3,C11*10^3,J11/10^3,K11/10^3,I11*10^3,$B$3*10^3),#N/A))</f>
        <v>211.98489634233732</v>
      </c>
      <c r="M11" s="333">
        <v>2.9707486666897251E-2</v>
      </c>
      <c r="N11" s="86" t="e">
        <v>#N/A</v>
      </c>
      <c r="O11" s="333" t="e">
        <v>#N/A</v>
      </c>
      <c r="P11" s="89">
        <f t="array" ref="P11:T11">IF(B11="RHS",_xll.MpRHS(D11,E11,_xll.aRHS(D11,G11),H11,C11,J11,K11,I11,$B$3),IF(B11="CHS",_xll.MpCHS(D11,E11,_xll.aCHS(D11,G11),H11,C11,J11,K11,I11,$B$3),#N/A))/10^6</f>
        <v>6.2975384816735813</v>
      </c>
      <c r="Q11" s="89">
        <v>0</v>
      </c>
      <c r="R11" s="86">
        <v>6.2975384816735813</v>
      </c>
      <c r="S11" s="89">
        <v>0</v>
      </c>
      <c r="T11" s="89" t="e">
        <v>#N/A</v>
      </c>
      <c r="U11" s="65">
        <f t="shared" si="0"/>
        <v>6.2975384816735813</v>
      </c>
      <c r="V11" s="108" t="s">
        <v>531</v>
      </c>
      <c r="W11" s="58">
        <f t="shared" si="1"/>
        <v>211.98489634233732</v>
      </c>
      <c r="X11" s="86">
        <f t="array" ref="X11:AA11">IF(B11="RHS",val_Kr_RHS(D11/10^3,E11/10^3,G11/10^3,H11/10^3,C11*10^3,J11/10^3,K11/10^3,I11*10^3,$B$3*10^3),IF(B11="CHS",val_Kr_CHS(D11/10^3,E11/10^3,G11/10^3,H11/10^3,C11*10^3,J11/10^3,K11/10^3,I11*10^3,$B$3*10^3),#N/A))</f>
        <v>211.98489634233678</v>
      </c>
      <c r="Y11" s="333">
        <v>2.9707486666897327E-2</v>
      </c>
      <c r="Z11" s="86">
        <v>0</v>
      </c>
      <c r="AA11" s="333">
        <v>0</v>
      </c>
      <c r="AB11" s="89">
        <f t="array" ref="AB11:AF11">IF(B11="RHS",val_Mp_RHS(D11,E11,G11,H11,C11,J11,K11,I11),IF(B11="CHS",val_Mp_CHS(D11,E11,G11,H11,C11,J11,K11,I11),#N/A))/10^6</f>
        <v>6.2975384816735813</v>
      </c>
      <c r="AC11" s="89">
        <v>0</v>
      </c>
      <c r="AD11" s="86">
        <v>6.2975384816735813</v>
      </c>
      <c r="AE11" s="89">
        <v>0</v>
      </c>
      <c r="AF11" s="89" t="e">
        <v>#N/A</v>
      </c>
      <c r="AG11" s="65">
        <f t="shared" si="2"/>
        <v>6.2975384816735813</v>
      </c>
      <c r="AH11" s="108" t="s">
        <v>531</v>
      </c>
      <c r="AI11" s="58">
        <f t="shared" si="3"/>
        <v>211.98489634233678</v>
      </c>
      <c r="AJ11" s="327" t="e">
        <f t="array" ref="AJ11">MAX((IF(X11:AF11=0,1,X11:AF11)/IF(L11:T11=0,1,L11:T11)-1)^2)</f>
        <v>#N/A</v>
      </c>
    </row>
    <row r="12" spans="2:38" x14ac:dyDescent="0.25">
      <c r="B12" s="309" t="s">
        <v>92</v>
      </c>
      <c r="C12" s="86">
        <v>400</v>
      </c>
      <c r="D12" s="90">
        <v>122.4</v>
      </c>
      <c r="E12" s="90">
        <v>3.2</v>
      </c>
      <c r="F12" s="90">
        <v>83.6</v>
      </c>
      <c r="G12" s="90">
        <v>83.6</v>
      </c>
      <c r="H12" s="316">
        <v>90</v>
      </c>
      <c r="I12" s="90">
        <v>0</v>
      </c>
      <c r="J12" s="90"/>
      <c r="K12" s="316"/>
      <c r="L12" s="86">
        <f t="array" ref="L12:O12">IF(B12="RHS",_xll.KrRHS(D12/10^3,E12/10^3,_xll.aRHS(D12,G12)/10^3,H12/10^3,C12*10^3,J12/10^3,K12/10^3,I12*10^3,$B$3*10^3),IF(B12="CHS",_xll.KrCHS(D12/10^3,E12/10^3,_xll.aCHS(D12,G12)/10^3,H12/10^3,C12*10^3,J12/10^3,K12/10^3,I12*10^3,$B$3*10^3),#N/A))</f>
        <v>211.98489634233732</v>
      </c>
      <c r="M12" s="333">
        <v>2.9707486666897251E-2</v>
      </c>
      <c r="N12" s="86" t="e">
        <v>#N/A</v>
      </c>
      <c r="O12" s="333" t="e">
        <v>#N/A</v>
      </c>
      <c r="P12" s="89">
        <f t="array" ref="P12:T12">IF(B12="RHS",_xll.MpRHS(D12,E12,_xll.aRHS(D12,G12),H12,C12,J12,K12,I12,$B$3),IF(B12="CHS",_xll.MpCHS(D12,E12,_xll.aCHS(D12,G12),H12,C12,J12,K12,I12,$B$3),#N/A))/10^6</f>
        <v>6.2975384816735813</v>
      </c>
      <c r="Q12" s="89">
        <v>0</v>
      </c>
      <c r="R12" s="86">
        <v>6.2975384816735813</v>
      </c>
      <c r="S12" s="89">
        <v>0</v>
      </c>
      <c r="T12" s="89" t="e">
        <v>#N/A</v>
      </c>
      <c r="U12" s="65">
        <f t="shared" si="0"/>
        <v>6.2975384816735813</v>
      </c>
      <c r="V12" s="108" t="s">
        <v>531</v>
      </c>
      <c r="W12" s="58">
        <f t="shared" si="1"/>
        <v>211.98489634233732</v>
      </c>
      <c r="X12" s="86">
        <f t="array" ref="X12:AA12">IF(B12="RHS",val_Kr_RHS(D12/10^3,E12/10^3,G12/10^3,H12/10^3,C12*10^3,J12/10^3,K12/10^3,I12*10^3,$B$3*10^3),IF(B12="CHS",val_Kr_CHS(D12/10^3,E12/10^3,G12/10^3,H12/10^3,C12*10^3,J12/10^3,K12/10^3,I12*10^3,$B$3*10^3),#N/A))</f>
        <v>211.98489634233678</v>
      </c>
      <c r="Y12" s="333">
        <v>2.9707486666897327E-2</v>
      </c>
      <c r="Z12" s="86">
        <v>0</v>
      </c>
      <c r="AA12" s="333">
        <v>0</v>
      </c>
      <c r="AB12" s="89">
        <f t="array" ref="AB12:AF12">IF(B12="RHS",val_Mp_RHS(D12,E12,G12,H12,C12,J12,K12,I12),IF(B12="CHS",val_Mp_CHS(D12,E12,G12,H12,C12,J12,K12,I12),#N/A))/10^6</f>
        <v>6.2975384816735813</v>
      </c>
      <c r="AC12" s="89">
        <v>0</v>
      </c>
      <c r="AD12" s="86">
        <v>6.2975384816735813</v>
      </c>
      <c r="AE12" s="89">
        <v>0</v>
      </c>
      <c r="AF12" s="89" t="e">
        <v>#N/A</v>
      </c>
      <c r="AG12" s="65">
        <f t="shared" si="2"/>
        <v>6.2975384816735813</v>
      </c>
      <c r="AH12" s="108" t="s">
        <v>531</v>
      </c>
      <c r="AI12" s="58">
        <f t="shared" si="3"/>
        <v>211.98489634233678</v>
      </c>
      <c r="AJ12" s="327" t="e">
        <f t="array" ref="AJ12">MAX((IF(X12:AF12=0,1,X12:AF12)/IF(L12:T12=0,1,L12:T12)-1)^2)</f>
        <v>#N/A</v>
      </c>
    </row>
    <row r="13" spans="2:38" x14ac:dyDescent="0.25">
      <c r="B13" s="309" t="s">
        <v>92</v>
      </c>
      <c r="C13" s="86">
        <v>400</v>
      </c>
      <c r="D13" s="90">
        <v>122.4</v>
      </c>
      <c r="E13" s="90">
        <v>3.2</v>
      </c>
      <c r="F13" s="90">
        <v>83.6</v>
      </c>
      <c r="G13" s="90">
        <v>83.6</v>
      </c>
      <c r="H13" s="316">
        <v>90</v>
      </c>
      <c r="I13" s="90">
        <v>0</v>
      </c>
      <c r="J13" s="90"/>
      <c r="K13" s="316"/>
      <c r="L13" s="86">
        <f t="array" ref="L13:O13">IF(B13="RHS",_xll.KrRHS(D13/10^3,E13/10^3,_xll.aRHS(D13,G13)/10^3,H13/10^3,C13*10^3,J13/10^3,K13/10^3,I13*10^3,$B$3*10^3),IF(B13="CHS",_xll.KrCHS(D13/10^3,E13/10^3,_xll.aCHS(D13,G13)/10^3,H13/10^3,C13*10^3,J13/10^3,K13/10^3,I13*10^3,$B$3*10^3),#N/A))</f>
        <v>211.98489634233732</v>
      </c>
      <c r="M13" s="333">
        <v>2.9707486666897251E-2</v>
      </c>
      <c r="N13" s="86" t="e">
        <v>#N/A</v>
      </c>
      <c r="O13" s="333" t="e">
        <v>#N/A</v>
      </c>
      <c r="P13" s="89">
        <f t="array" ref="P13:T13">IF(B13="RHS",_xll.MpRHS(D13,E13,_xll.aRHS(D13,G13),H13,C13,J13,K13,I13,$B$3),IF(B13="CHS",_xll.MpCHS(D13,E13,_xll.aCHS(D13,G13),H13,C13,J13,K13,I13,$B$3),#N/A))/10^6</f>
        <v>6.2975384816735813</v>
      </c>
      <c r="Q13" s="89">
        <v>0</v>
      </c>
      <c r="R13" s="86">
        <v>6.2975384816735813</v>
      </c>
      <c r="S13" s="89">
        <v>0</v>
      </c>
      <c r="T13" s="89" t="e">
        <v>#N/A</v>
      </c>
      <c r="U13" s="65">
        <f t="shared" si="0"/>
        <v>6.2975384816735813</v>
      </c>
      <c r="V13" s="108" t="s">
        <v>531</v>
      </c>
      <c r="W13" s="58">
        <f t="shared" si="1"/>
        <v>211.98489634233732</v>
      </c>
      <c r="X13" s="86">
        <f t="array" ref="X13:AA13">IF(B13="RHS",val_Kr_RHS(D13/10^3,E13/10^3,G13/10^3,H13/10^3,C13*10^3,J13/10^3,K13/10^3,I13*10^3,$B$3*10^3),IF(B13="CHS",val_Kr_CHS(D13/10^3,E13/10^3,G13/10^3,H13/10^3,C13*10^3,J13/10^3,K13/10^3,I13*10^3,$B$3*10^3),#N/A))</f>
        <v>211.98489634233678</v>
      </c>
      <c r="Y13" s="333">
        <v>2.9707486666897327E-2</v>
      </c>
      <c r="Z13" s="86">
        <v>0</v>
      </c>
      <c r="AA13" s="333">
        <v>0</v>
      </c>
      <c r="AB13" s="89">
        <f t="array" ref="AB13:AF13">IF(B13="RHS",val_Mp_RHS(D13,E13,G13,H13,C13,J13,K13,I13),IF(B13="CHS",val_Mp_CHS(D13,E13,G13,H13,C13,J13,K13,I13),#N/A))/10^6</f>
        <v>6.2975384816735813</v>
      </c>
      <c r="AC13" s="89">
        <v>0</v>
      </c>
      <c r="AD13" s="86">
        <v>6.2975384816735813</v>
      </c>
      <c r="AE13" s="89">
        <v>0</v>
      </c>
      <c r="AF13" s="89" t="e">
        <v>#N/A</v>
      </c>
      <c r="AG13" s="65">
        <f t="shared" si="2"/>
        <v>6.2975384816735813</v>
      </c>
      <c r="AH13" s="108" t="s">
        <v>531</v>
      </c>
      <c r="AI13" s="58">
        <f t="shared" si="3"/>
        <v>211.98489634233678</v>
      </c>
      <c r="AJ13" s="327" t="e">
        <f t="array" ref="AJ13">MAX((IF(X13:AF13=0,1,X13:AF13)/IF(L13:T13=0,1,L13:T13)-1)^2)</f>
        <v>#N/A</v>
      </c>
    </row>
  </sheetData>
  <dataValidations count="1">
    <dataValidation type="list" allowBlank="1" showInputMessage="1" showErrorMessage="1" sqref="AH8:AH13 V8:V13">
      <formula1>$BV$4:$BV$5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AA23"/>
  <sheetViews>
    <sheetView workbookViewId="0">
      <selection activeCell="G23" sqref="G23"/>
    </sheetView>
  </sheetViews>
  <sheetFormatPr defaultRowHeight="15" x14ac:dyDescent="0.25"/>
  <cols>
    <col min="6" max="7" width="9.28515625" style="326"/>
    <col min="9" max="10" width="9.28515625" style="326"/>
    <col min="12" max="13" width="9.28515625" style="326"/>
  </cols>
  <sheetData>
    <row r="2" spans="1:27" x14ac:dyDescent="0.25">
      <c r="E2" t="s">
        <v>583</v>
      </c>
      <c r="N2" t="s">
        <v>582</v>
      </c>
      <c r="W2" t="s">
        <v>586</v>
      </c>
      <c r="X2" t="s">
        <v>582</v>
      </c>
    </row>
    <row r="3" spans="1:27" x14ac:dyDescent="0.25">
      <c r="A3" s="1" t="s">
        <v>205</v>
      </c>
      <c r="B3" s="1" t="s">
        <v>44</v>
      </c>
      <c r="C3" s="1" t="s">
        <v>43</v>
      </c>
      <c r="D3" s="1" t="s">
        <v>42</v>
      </c>
      <c r="E3" s="1" t="s">
        <v>573</v>
      </c>
      <c r="F3" s="1" t="s">
        <v>588</v>
      </c>
      <c r="G3" s="632" t="s">
        <v>585</v>
      </c>
      <c r="H3" s="1" t="s">
        <v>574</v>
      </c>
      <c r="I3" s="1" t="s">
        <v>587</v>
      </c>
      <c r="J3" s="632" t="s">
        <v>585</v>
      </c>
      <c r="K3" s="1" t="s">
        <v>575</v>
      </c>
      <c r="L3" s="1" t="s">
        <v>588</v>
      </c>
      <c r="M3" s="632" t="s">
        <v>585</v>
      </c>
      <c r="N3" s="1" t="s">
        <v>573</v>
      </c>
      <c r="O3" s="1" t="s">
        <v>574</v>
      </c>
      <c r="P3" s="1" t="s">
        <v>575</v>
      </c>
      <c r="Q3" s="631" t="s">
        <v>585</v>
      </c>
      <c r="R3" s="1" t="s">
        <v>577</v>
      </c>
      <c r="S3" s="1" t="s">
        <v>578</v>
      </c>
      <c r="T3" s="1" t="s">
        <v>579</v>
      </c>
      <c r="U3" s="1" t="s">
        <v>580</v>
      </c>
      <c r="V3" s="1" t="s">
        <v>581</v>
      </c>
      <c r="W3" s="1" t="s">
        <v>576</v>
      </c>
      <c r="X3" s="1" t="s">
        <v>576</v>
      </c>
      <c r="Y3" s="631" t="s">
        <v>584</v>
      </c>
    </row>
    <row r="4" spans="1:27" x14ac:dyDescent="0.25">
      <c r="A4" s="635">
        <v>1.1912927897520702</v>
      </c>
      <c r="B4" s="635">
        <v>2.6472930225813638</v>
      </c>
      <c r="C4" s="447">
        <v>0.12395827550644006</v>
      </c>
      <c r="D4" s="447">
        <v>1.0323196067868359</v>
      </c>
      <c r="E4" s="633">
        <f>_xll.ke_sym($A4,$B4,$C4,$D4)</f>
        <v>4.9088069367381495</v>
      </c>
      <c r="F4" s="633">
        <f>_xll.ke_chev(1,A4,A4,B4,B4,C4,C4,D4,D4)</f>
        <v>4.9088069367381495</v>
      </c>
      <c r="G4" s="634">
        <f>(F4/E4-1)^2</f>
        <v>0</v>
      </c>
      <c r="H4" s="633">
        <f>_xll.ke_asym($A4,$B4,$C4,$D4)</f>
        <v>3.3058980245364022</v>
      </c>
      <c r="I4" s="633">
        <f>_xll.ke_chev(2,A4,A4,B4,B4,C4,C4,D4,D4)</f>
        <v>3.3058980245364022</v>
      </c>
      <c r="J4" s="634">
        <f>(I4/H4-1)^2</f>
        <v>0</v>
      </c>
      <c r="K4" s="633">
        <f>_xll.ke_one($A4,$B4,$C4,$D4)</f>
        <v>6.2869461346193267</v>
      </c>
      <c r="L4" s="633">
        <f>_xll.ke_chev(1,A4,0,B4,9000000000,C4,0.00001,D4,9000000000)</f>
        <v>6.2869461346193267</v>
      </c>
      <c r="M4" s="634">
        <f>(L4/K4-1)^2</f>
        <v>0</v>
      </c>
      <c r="N4" s="633">
        <f>1/SQRT(val_ncresym($D4,$C4,$A4,$B4,0.0001,1))</f>
        <v>4.9088069367381495</v>
      </c>
      <c r="O4" s="633">
        <f>1/SQRT(val_ncreasym($D4,$C4,$A4,$B4,0.0001,1))</f>
        <v>3.3040930022754198</v>
      </c>
      <c r="P4" s="633">
        <f>1/SQRT(val_ncreone($D4,$C4,$A4,$B4,0.0001,1))</f>
        <v>6.2869461346193267</v>
      </c>
      <c r="Q4" s="634">
        <f>MAX((N4/E4-1)^2,(O4/H4-1)^2,(P4/K4-1)^2)</f>
        <v>2.9811664068178954E-7</v>
      </c>
      <c r="R4" s="1">
        <v>4</v>
      </c>
      <c r="S4" s="447">
        <v>0.87521544181500921</v>
      </c>
      <c r="T4" s="447">
        <v>2.1635632561329694</v>
      </c>
      <c r="U4" s="447">
        <v>0.31340684358136284</v>
      </c>
      <c r="V4" s="447">
        <v>1.2928081869413612</v>
      </c>
      <c r="W4" s="633">
        <f>_xll.ke_chev(R4,A4,S4,B4,T4,C4,U4,D4,V4)</f>
        <v>1.9596545041740976</v>
      </c>
      <c r="X4" s="633">
        <f>1/SQRT(val_ncrechev($D4,$V4,$C4,$U4,$A4,$S4,$B4,$T4,$R4,0.0001,1))</f>
        <v>1.9585266453732331</v>
      </c>
      <c r="Y4" s="634">
        <f>(X4/W4-1)^2</f>
        <v>3.3124584960867129E-7</v>
      </c>
      <c r="AA4">
        <f>_xll.crSym(E4,A4)</f>
        <v>-0.92781193828266117</v>
      </c>
    </row>
    <row r="5" spans="1:27" x14ac:dyDescent="0.25">
      <c r="A5" s="635">
        <v>1.5912749353530695</v>
      </c>
      <c r="B5" s="635">
        <v>1.9094916475737955</v>
      </c>
      <c r="C5" s="447">
        <v>5.6235233811429433E-2</v>
      </c>
      <c r="D5" s="447">
        <v>0.72882595158479346</v>
      </c>
      <c r="E5" s="633">
        <f>_xll.ke_sym($A5,$B5,$C5,$D5)</f>
        <v>8.9442719099991663</v>
      </c>
      <c r="F5" s="633">
        <f>_xll.ke_chev(1,A5,A5,B5,B5,C5,C5,D5,D5)</f>
        <v>8.9442719099991663</v>
      </c>
      <c r="G5" s="634">
        <f t="shared" ref="G5:G23" si="0">(F5/E5-1)^2</f>
        <v>0</v>
      </c>
      <c r="H5" s="633">
        <f>_xll.ke_asym($A5,$B5,$C5,$D5)</f>
        <v>5.9549133417541489</v>
      </c>
      <c r="I5" s="633">
        <f>_xll.ke_chev(2,A5,A5,B5,B5,C5,C5,D5,D5)</f>
        <v>5.9549133417541489</v>
      </c>
      <c r="J5" s="634">
        <f t="shared" ref="J5:J23" si="1">(I5/H5-1)^2</f>
        <v>0</v>
      </c>
      <c r="K5" s="633">
        <f>_xll.ke_one($A5,$B5,$C5,$D5)</f>
        <v>11.547005383792509</v>
      </c>
      <c r="L5" s="633">
        <f>_xll.ke_chev(1,A5,0,B5,9000000000,C5,0.00001,D5,9000000000)</f>
        <v>11.547005383792509</v>
      </c>
      <c r="M5" s="634">
        <f t="shared" ref="M5:M23" si="2">(L5/K5-1)^2</f>
        <v>0</v>
      </c>
      <c r="N5" s="633">
        <f t="shared" ref="N5:N23" si="3">1/SQRT(val_ncresym($D5,$C5,$A5,$B5,0.0001,1))</f>
        <v>8.9442719099991663</v>
      </c>
      <c r="O5" s="633">
        <f t="shared" ref="O5:O23" si="4">1/SQRT(val_ncreasym($D5,$C5,$A5,$B5,0.0001,1))</f>
        <v>5.9549133417541489</v>
      </c>
      <c r="P5" s="633">
        <f t="shared" ref="P5:P23" si="5">1/SQRT(val_ncreone($D5,$C5,$A5,$B5,0.0001,1))</f>
        <v>11.547005383792509</v>
      </c>
      <c r="Q5" s="634">
        <f t="shared" ref="Q5:Q23" si="6">MAX((N5/E5-1)^2,(O5/H5-1)^2,(P5/K5-1)^2)</f>
        <v>0</v>
      </c>
      <c r="R5" s="1">
        <v>3</v>
      </c>
      <c r="S5" s="447">
        <v>2.3781023683240532</v>
      </c>
      <c r="T5" s="447">
        <v>2.7639748567917541</v>
      </c>
      <c r="U5" s="447">
        <v>0.21722657914615567</v>
      </c>
      <c r="V5" s="447">
        <v>1.6459146125997417</v>
      </c>
      <c r="W5" s="633">
        <f>_xll.ke_chev(R5,A5,S5,B5,T5,C5,U5,D5,V5)</f>
        <v>4.2678959977631781</v>
      </c>
      <c r="X5" s="633">
        <f t="shared" ref="X5:X23" si="7">1/SQRT(val_ncrechev($D5,$V5,$C5,$U5,$A5,$S5,$B5,$T5,$R5,0.0001,1))</f>
        <v>4.2640143271121875</v>
      </c>
      <c r="Y5" s="634">
        <f t="shared" ref="Y5:Y23" si="8">(X5/W5-1)^2</f>
        <v>8.2719845064764434E-7</v>
      </c>
    </row>
    <row r="6" spans="1:27" x14ac:dyDescent="0.25">
      <c r="A6" s="635">
        <v>2.7778750443035243</v>
      </c>
      <c r="B6" s="635">
        <v>0.78389286205617426</v>
      </c>
      <c r="C6" s="447">
        <v>0.21227702794074338</v>
      </c>
      <c r="D6" s="447">
        <v>0.44154949800917836</v>
      </c>
      <c r="E6" s="633">
        <f>_xll.ke_sym($A6,$B6,$C6,$D6)</f>
        <v>2.2833668863877437</v>
      </c>
      <c r="F6" s="633">
        <f>_xll.ke_chev(1,A6,A6,B6,B6,C6,C6,D6,D6)</f>
        <v>2.2833668863877437</v>
      </c>
      <c r="G6" s="634">
        <f t="shared" si="0"/>
        <v>0</v>
      </c>
      <c r="H6" s="633">
        <f>_xll.ke_asym($A6,$B6,$C6,$D6)</f>
        <v>2.1884405476620774</v>
      </c>
      <c r="I6" s="633">
        <f>_xll.ke_chev(2,A6,A6,B6,B6,C6,C6,D6,D6)</f>
        <v>2.1884405476620774</v>
      </c>
      <c r="J6" s="634">
        <f t="shared" si="1"/>
        <v>0</v>
      </c>
      <c r="K6" s="633">
        <f>_xll.ke_one($A6,$B6,$C6,$D6)</f>
        <v>2.6064301757134336</v>
      </c>
      <c r="L6" s="633">
        <f>_xll.ke_chev(1,A6,0,B6,9000000000,C6,0.00001,D6,9000000000)</f>
        <v>2.6064301757134336</v>
      </c>
      <c r="M6" s="634">
        <f t="shared" si="2"/>
        <v>0</v>
      </c>
      <c r="N6" s="633">
        <f t="shared" si="3"/>
        <v>2.2821773229382205</v>
      </c>
      <c r="O6" s="633">
        <f t="shared" si="4"/>
        <v>2.1873931962990705</v>
      </c>
      <c r="P6" s="633">
        <f t="shared" si="5"/>
        <v>2.6055452902098417</v>
      </c>
      <c r="Q6" s="634">
        <f t="shared" si="6"/>
        <v>2.7140873824465847E-7</v>
      </c>
      <c r="R6" s="1">
        <v>2</v>
      </c>
      <c r="S6" s="447">
        <v>1.5910933524514022</v>
      </c>
      <c r="T6" s="447">
        <v>0.55790813175521736</v>
      </c>
      <c r="U6" s="447">
        <v>0.20705259533799997</v>
      </c>
      <c r="V6" s="447">
        <v>0.26494300986918301</v>
      </c>
      <c r="W6" s="633">
        <f>_xll.ke_chev(R6,A6,S6,B6,T6,C6,U6,D6,V6)</f>
        <v>2.2709684225172029</v>
      </c>
      <c r="X6" s="633">
        <f t="shared" si="7"/>
        <v>2.2697981217837171</v>
      </c>
      <c r="Y6" s="634">
        <f t="shared" si="8"/>
        <v>2.6556617813800149E-7</v>
      </c>
    </row>
    <row r="7" spans="1:27" x14ac:dyDescent="0.25">
      <c r="A7" s="635">
        <v>0.19936441632578483</v>
      </c>
      <c r="B7" s="635">
        <v>2.8169171343423853</v>
      </c>
      <c r="C7" s="447">
        <v>0.24812429283524923</v>
      </c>
      <c r="D7" s="447">
        <v>0.71318848284102976</v>
      </c>
      <c r="E7" s="633">
        <f>_xll.ke_sym($A7,$B7,$C7,$D7)</f>
        <v>3.4199278402838185</v>
      </c>
      <c r="F7" s="633">
        <f>_xll.ke_chev(1,A7,A7,B7,B7,C7,C7,D7,D7)</f>
        <v>3.4199278402838185</v>
      </c>
      <c r="G7" s="634">
        <f t="shared" si="0"/>
        <v>0</v>
      </c>
      <c r="H7" s="633">
        <f>_xll.ke_asym($A7,$B7,$C7,$D7)</f>
        <v>2.1481793839054149</v>
      </c>
      <c r="I7" s="633">
        <f>_xll.ke_chev(2,A7,A7,B7,B7,C7,C7,D7,D7)</f>
        <v>2.1481793839054149</v>
      </c>
      <c r="J7" s="634">
        <f t="shared" si="1"/>
        <v>0</v>
      </c>
      <c r="K7" s="633">
        <f>_xll.ke_one($A7,$B7,$C7,$D7)</f>
        <v>3.4279558509552763</v>
      </c>
      <c r="L7" s="633">
        <f>_xll.ke_chev(1,A7,0,B7,9000000000,C7,0.00001,D7,9000000000)</f>
        <v>3.4279558509552763</v>
      </c>
      <c r="M7" s="634">
        <f t="shared" si="2"/>
        <v>0</v>
      </c>
      <c r="N7" s="633">
        <f t="shared" si="3"/>
        <v>3.4179296351232877</v>
      </c>
      <c r="O7" s="633">
        <f t="shared" si="4"/>
        <v>2.1471887546694735</v>
      </c>
      <c r="P7" s="633">
        <f t="shared" si="5"/>
        <v>3.4259435491376298</v>
      </c>
      <c r="Q7" s="634">
        <f t="shared" si="6"/>
        <v>3.4460041731128829E-7</v>
      </c>
      <c r="R7" s="1">
        <v>3</v>
      </c>
      <c r="S7" s="447">
        <v>0.6012230163072968</v>
      </c>
      <c r="T7" s="447">
        <v>0.47329582675358572</v>
      </c>
      <c r="U7" s="447">
        <v>0.34975559043276278</v>
      </c>
      <c r="V7" s="447">
        <v>0.91909647441026188</v>
      </c>
      <c r="W7" s="633">
        <f>_xll.ke_chev(R7,A7,S7,B7,T7,C7,U7,D7,V7)</f>
        <v>1.2110762894305607</v>
      </c>
      <c r="X7" s="633">
        <f t="shared" si="7"/>
        <v>1.2104550653376569</v>
      </c>
      <c r="Y7" s="634">
        <f t="shared" si="8"/>
        <v>2.6311982892329911E-7</v>
      </c>
    </row>
    <row r="8" spans="1:27" x14ac:dyDescent="0.25">
      <c r="A8" s="635">
        <v>1.2748165698236427</v>
      </c>
      <c r="B8" s="635">
        <v>2.6910964185435384</v>
      </c>
      <c r="C8" s="447">
        <v>0.13056063447912436</v>
      </c>
      <c r="D8" s="447">
        <v>1.5625995697741892</v>
      </c>
      <c r="E8" s="633">
        <f>_xll.ke_sym($A8,$B8,$C8,$D8)</f>
        <v>5.1987524491003612</v>
      </c>
      <c r="F8" s="633">
        <f>_xll.ke_chev(1,A8,A8,B8,B8,C8,C8,D8,D8)</f>
        <v>5.1987524491003612</v>
      </c>
      <c r="G8" s="634">
        <f t="shared" si="0"/>
        <v>0</v>
      </c>
      <c r="H8" s="633">
        <f>_xll.ke_asym($A8,$B8,$C8,$D8)</f>
        <v>3.6393726262341675</v>
      </c>
      <c r="I8" s="633">
        <f>_xll.ke_chev(2,A8,A8,B8,B8,C8,C8,D8,D8)</f>
        <v>3.6393726262341675</v>
      </c>
      <c r="J8" s="634">
        <f t="shared" si="1"/>
        <v>0</v>
      </c>
      <c r="K8" s="633">
        <f>_xll.ke_one($A8,$B8,$C8,$D8)</f>
        <v>6.9843029576957942</v>
      </c>
      <c r="L8" s="633">
        <f>_xll.ke_chev(1,A8,0,B8,9000000000,C8,0.00001,D8,9000000000)</f>
        <v>6.9843029576957942</v>
      </c>
      <c r="M8" s="634">
        <f t="shared" si="2"/>
        <v>0</v>
      </c>
      <c r="N8" s="633">
        <f t="shared" si="3"/>
        <v>5.1987524491003612</v>
      </c>
      <c r="O8" s="633">
        <f t="shared" si="4"/>
        <v>3.6369648372665124</v>
      </c>
      <c r="P8" s="633">
        <f t="shared" si="5"/>
        <v>6.9843029576957942</v>
      </c>
      <c r="Q8" s="634">
        <f t="shared" si="6"/>
        <v>4.377073023135289E-7</v>
      </c>
      <c r="R8" s="1">
        <v>1</v>
      </c>
      <c r="S8" s="447">
        <v>0.77164795714093071</v>
      </c>
      <c r="T8" s="447">
        <v>0.39728263368134076</v>
      </c>
      <c r="U8" s="447">
        <v>0.12888098054901387</v>
      </c>
      <c r="V8" s="447">
        <v>1.5371298415174564</v>
      </c>
      <c r="W8" s="633">
        <f>_xll.ke_chev(R8,A8,S8,B8,T8,C8,U8,D8,V8)</f>
        <v>5.5131784641997195</v>
      </c>
      <c r="X8" s="633">
        <f t="shared" si="7"/>
        <v>5.5048188256318102</v>
      </c>
      <c r="Y8" s="634">
        <f t="shared" si="8"/>
        <v>2.2991690248417413E-6</v>
      </c>
    </row>
    <row r="9" spans="1:27" x14ac:dyDescent="0.25">
      <c r="A9" s="635">
        <v>0.27749836568556197</v>
      </c>
      <c r="B9" s="635">
        <v>0.85367766008886459</v>
      </c>
      <c r="C9" s="447">
        <v>9.2037493327138356E-2</v>
      </c>
      <c r="D9" s="447">
        <v>0.60626348448654976</v>
      </c>
      <c r="E9" s="633">
        <f>_xll.ke_sym($A9,$B9,$C9,$D9)</f>
        <v>6.6964953018242621</v>
      </c>
      <c r="F9" s="633">
        <f>_xll.ke_chev(1,A9,A9,B9,B9,C9,C9,D9,D9)</f>
        <v>6.6964953018242621</v>
      </c>
      <c r="G9" s="634">
        <f t="shared" si="0"/>
        <v>0</v>
      </c>
      <c r="H9" s="633">
        <f>_xll.ke_asym($A9,$B9,$C9,$D9)</f>
        <v>4.1666666666666439</v>
      </c>
      <c r="I9" s="633">
        <f>_xll.ke_chev(2,A9,A9,B9,B9,C9,C9,D9,D9)</f>
        <v>4.1666666666666439</v>
      </c>
      <c r="J9" s="634">
        <f t="shared" si="1"/>
        <v>0</v>
      </c>
      <c r="K9" s="633">
        <f>_xll.ke_one($A9,$B9,$C9,$D9)</f>
        <v>7.5164602800282987</v>
      </c>
      <c r="L9" s="633">
        <f>_xll.ke_chev(1,A9,0,B9,9000000000,C9,0.00001,D9,9000000000)</f>
        <v>7.5164602800282987</v>
      </c>
      <c r="M9" s="634">
        <f t="shared" si="2"/>
        <v>0</v>
      </c>
      <c r="N9" s="633">
        <f t="shared" si="3"/>
        <v>6.6964953018242621</v>
      </c>
      <c r="O9" s="633">
        <f t="shared" si="4"/>
        <v>4.1630544712181106</v>
      </c>
      <c r="P9" s="633">
        <f t="shared" si="5"/>
        <v>7.4953168899586258</v>
      </c>
      <c r="Q9" s="634">
        <f t="shared" si="6"/>
        <v>7.9126601023988669E-6</v>
      </c>
      <c r="R9" s="1">
        <v>4</v>
      </c>
      <c r="S9" s="447">
        <v>0.10692180294786668</v>
      </c>
      <c r="T9" s="447">
        <v>2.5062999679876783</v>
      </c>
      <c r="U9" s="447">
        <v>0.17036843075066685</v>
      </c>
      <c r="V9" s="447">
        <v>0.87196432059526718</v>
      </c>
      <c r="W9" s="633">
        <f>_xll.ke_chev(R9,A9,S9,B9,T9,C9,U9,D9,V9)</f>
        <v>2.5310373177627761</v>
      </c>
      <c r="X9" s="633">
        <f t="shared" si="7"/>
        <v>2.5294174537134806</v>
      </c>
      <c r="Y9" s="634">
        <f t="shared" si="8"/>
        <v>4.0960008391307849E-7</v>
      </c>
    </row>
    <row r="10" spans="1:27" x14ac:dyDescent="0.25">
      <c r="A10" s="635">
        <v>0.14254995335269427</v>
      </c>
      <c r="B10" s="635">
        <v>1.3759376085608177</v>
      </c>
      <c r="C10" s="447">
        <v>0.21530153293081111</v>
      </c>
      <c r="D10" s="447">
        <v>1.5379427923729476</v>
      </c>
      <c r="E10" s="633">
        <f>_xll.ke_sym($A10,$B10,$C10,$D10)</f>
        <v>5.0964719143762505</v>
      </c>
      <c r="F10" s="633">
        <f>_xll.ke_chev(1,A10,A10,B10,B10,C10,C10,D10,D10)</f>
        <v>5.0964719143762505</v>
      </c>
      <c r="G10" s="634">
        <f t="shared" si="0"/>
        <v>0</v>
      </c>
      <c r="H10" s="633">
        <f>_xll.ke_asym($A10,$B10,$C10,$D10)</f>
        <v>3.117398431942719</v>
      </c>
      <c r="I10" s="633">
        <f>_xll.ke_chev(2,A10,A10,B10,B10,C10,C10,D10,D10)</f>
        <v>3.117398431942719</v>
      </c>
      <c r="J10" s="634">
        <f t="shared" si="1"/>
        <v>0</v>
      </c>
      <c r="K10" s="633">
        <f>_xll.ke_one($A10,$B10,$C10,$D10)</f>
        <v>5.399492471560392</v>
      </c>
      <c r="L10" s="633">
        <f>_xll.ke_chev(1,A10,0,B10,9000000000,C10,0.00001,D10,9000000000)</f>
        <v>5.399492471560392</v>
      </c>
      <c r="M10" s="634">
        <f t="shared" si="2"/>
        <v>0</v>
      </c>
      <c r="N10" s="633">
        <f t="shared" si="3"/>
        <v>5.0898659855928701</v>
      </c>
      <c r="O10" s="633">
        <f t="shared" si="4"/>
        <v>3.1158847642487504</v>
      </c>
      <c r="P10" s="633">
        <f t="shared" si="5"/>
        <v>5.3916386601719237</v>
      </c>
      <c r="Q10" s="634">
        <f t="shared" si="6"/>
        <v>2.1157047190693836E-6</v>
      </c>
      <c r="R10" s="1">
        <v>1</v>
      </c>
      <c r="S10" s="447">
        <v>1.42073447914867</v>
      </c>
      <c r="T10" s="447">
        <v>1.9678525720992881</v>
      </c>
      <c r="U10" s="447">
        <v>0.24428751551786199</v>
      </c>
      <c r="V10" s="447">
        <v>1.0268768961827746</v>
      </c>
      <c r="W10" s="633">
        <f>_xll.ke_chev(R10,A10,S10,B10,T10,C10,U10,D10,V10)</f>
        <v>4.376881095324066</v>
      </c>
      <c r="X10" s="633">
        <f t="shared" si="7"/>
        <v>4.372694694466241</v>
      </c>
      <c r="Y10" s="634">
        <f t="shared" si="8"/>
        <v>9.1485470183313379E-7</v>
      </c>
    </row>
    <row r="11" spans="1:27" x14ac:dyDescent="0.25">
      <c r="A11" s="635">
        <v>2.256887791815589</v>
      </c>
      <c r="B11" s="635">
        <v>2.7302071760193281</v>
      </c>
      <c r="C11" s="447">
        <v>0.11129401443115391</v>
      </c>
      <c r="D11" s="447">
        <v>0.80232080101018233</v>
      </c>
      <c r="E11" s="633">
        <f>_xll.ke_sym($A11,$B11,$C11,$D11)</f>
        <v>4.745789978762482</v>
      </c>
      <c r="F11" s="633">
        <f>_xll.ke_chev(1,A11,A11,B11,B11,C11,C11,D11,D11)</f>
        <v>4.745789978762482</v>
      </c>
      <c r="G11" s="634">
        <f t="shared" si="0"/>
        <v>0</v>
      </c>
      <c r="H11" s="633">
        <f>_xll.ke_asym($A11,$B11,$C11,$D11)</f>
        <v>3.1434730673096283</v>
      </c>
      <c r="I11" s="633">
        <f>_xll.ke_chev(2,A11,A11,B11,B11,C11,C11,D11,D11)</f>
        <v>3.1434730673096283</v>
      </c>
      <c r="J11" s="634">
        <f t="shared" si="1"/>
        <v>0</v>
      </c>
      <c r="K11" s="633">
        <f>_xll.ke_one($A11,$B11,$C11,$D11)</f>
        <v>6.1313933948496704</v>
      </c>
      <c r="L11" s="633">
        <f>_xll.ke_chev(1,A11,0,B11,9000000000,C11,0.00001,D11,9000000000)</f>
        <v>6.1313933948496704</v>
      </c>
      <c r="M11" s="634">
        <f t="shared" si="2"/>
        <v>0</v>
      </c>
      <c r="N11" s="633">
        <f t="shared" si="3"/>
        <v>4.745789978762482</v>
      </c>
      <c r="O11" s="633">
        <f t="shared" si="4"/>
        <v>3.1419211180334456</v>
      </c>
      <c r="P11" s="633">
        <f t="shared" si="5"/>
        <v>6.1199006136210583</v>
      </c>
      <c r="Q11" s="634">
        <f t="shared" si="6"/>
        <v>3.5134349418083707E-6</v>
      </c>
      <c r="R11" s="1">
        <v>4</v>
      </c>
      <c r="S11" s="447">
        <v>2.0659620545554929</v>
      </c>
      <c r="T11" s="447">
        <v>2.9977335994802585</v>
      </c>
      <c r="U11" s="447">
        <v>0.25177541686783017</v>
      </c>
      <c r="V11" s="447">
        <v>0.94437705820303353</v>
      </c>
      <c r="W11" s="633">
        <f>_xll.ke_chev(R11,A11,S11,B11,T11,C11,U11,D11,V11)</f>
        <v>1.9055398349168131</v>
      </c>
      <c r="X11" s="633">
        <f t="shared" si="7"/>
        <v>1.9048482943986966</v>
      </c>
      <c r="Y11" s="634">
        <f t="shared" si="8"/>
        <v>1.3170407056942821E-7</v>
      </c>
    </row>
    <row r="12" spans="1:27" x14ac:dyDescent="0.25">
      <c r="A12" s="635">
        <v>1.9315833985303881</v>
      </c>
      <c r="B12" s="635">
        <v>2.8823361541746095</v>
      </c>
      <c r="C12" s="447">
        <v>0.10562585668156069</v>
      </c>
      <c r="D12" s="447">
        <v>1.2556980632679136</v>
      </c>
      <c r="E12" s="633">
        <f>_xll.ke_sym($A12,$B12,$C12,$D12)</f>
        <v>5.7353933467640568</v>
      </c>
      <c r="F12" s="633">
        <f>_xll.ke_chev(1,A12,A12,B12,B12,C12,C12,D12,D12)</f>
        <v>5.7353933467640568</v>
      </c>
      <c r="G12" s="634">
        <f t="shared" si="0"/>
        <v>0</v>
      </c>
      <c r="H12" s="633">
        <f>_xll.ke_asym($A12,$B12,$C12,$D12)</f>
        <v>3.9466851898192674</v>
      </c>
      <c r="I12" s="633">
        <f>_xll.ke_chev(2,A12,A12,B12,B12,C12,C12,D12,D12)</f>
        <v>3.9466851898192674</v>
      </c>
      <c r="J12" s="634">
        <f t="shared" si="1"/>
        <v>0</v>
      </c>
      <c r="K12" s="633">
        <f>_xll.ke_one($A12,$B12,$C12,$D12)</f>
        <v>7.7151674981046066</v>
      </c>
      <c r="L12" s="633">
        <f>_xll.ke_chev(1,A12,0,B12,9000000000,C12,0.00001,D12,9000000000)</f>
        <v>7.7151674981046066</v>
      </c>
      <c r="M12" s="634">
        <f t="shared" si="2"/>
        <v>0</v>
      </c>
      <c r="N12" s="633">
        <f t="shared" si="3"/>
        <v>5.7353933467640568</v>
      </c>
      <c r="O12" s="633">
        <f t="shared" si="4"/>
        <v>3.9436150336254703</v>
      </c>
      <c r="P12" s="633">
        <f t="shared" si="5"/>
        <v>7.7151674981046066</v>
      </c>
      <c r="Q12" s="634">
        <f t="shared" si="6"/>
        <v>6.0514015128680451E-7</v>
      </c>
      <c r="R12" s="1">
        <v>1</v>
      </c>
      <c r="S12" s="447">
        <v>0.69089612885156104</v>
      </c>
      <c r="T12" s="447">
        <v>1.9216079324486608</v>
      </c>
      <c r="U12" s="447">
        <v>5.7279119667701911E-2</v>
      </c>
      <c r="V12" s="447">
        <v>1.5763987936039936</v>
      </c>
      <c r="W12" s="633">
        <f>_xll.ke_chev(R12,A12,S12,B12,T12,C12,U12,D12,V12)</f>
        <v>5.7735026918962697</v>
      </c>
      <c r="X12" s="633">
        <f t="shared" si="7"/>
        <v>5.7735026918962697</v>
      </c>
      <c r="Y12" s="634">
        <f t="shared" si="8"/>
        <v>0</v>
      </c>
    </row>
    <row r="13" spans="1:27" x14ac:dyDescent="0.25">
      <c r="A13" s="635">
        <v>2.7570092887448716</v>
      </c>
      <c r="B13" s="635">
        <v>2.1462161489592488</v>
      </c>
      <c r="C13" s="447">
        <v>5.8930779879163502E-2</v>
      </c>
      <c r="D13" s="447">
        <v>1.4293256557817418</v>
      </c>
      <c r="E13" s="633">
        <f>_xll.ke_sym($A13,$B13,$C13,$D13)</f>
        <v>10.482848367219184</v>
      </c>
      <c r="F13" s="633">
        <f>_xll.ke_chev(1,A13,A13,B13,B13,C13,C13,D13,D13)</f>
        <v>10.482848367219184</v>
      </c>
      <c r="G13" s="634">
        <f t="shared" si="0"/>
        <v>0</v>
      </c>
      <c r="H13" s="633">
        <f>_xll.ke_asym($A13,$B13,$C13,$D13)</f>
        <v>7.254762501100128</v>
      </c>
      <c r="I13" s="633">
        <f>_xll.ke_chev(2,A13,A13,B13,B13,C13,C13,D13,D13)</f>
        <v>7.254762501100128</v>
      </c>
      <c r="J13" s="634">
        <f t="shared" si="1"/>
        <v>0</v>
      </c>
      <c r="K13" s="633">
        <f>_xll.ke_one($A13,$B13,$C13,$D13)</f>
        <v>14.433756729740644</v>
      </c>
      <c r="L13" s="633">
        <f>_xll.ke_chev(1,A13,0,B13,9000000000,C13,0.00001,D13,9000000000)</f>
        <v>14.433756729740644</v>
      </c>
      <c r="M13" s="634">
        <f t="shared" si="2"/>
        <v>0</v>
      </c>
      <c r="N13" s="633">
        <f t="shared" si="3"/>
        <v>10.482848367219184</v>
      </c>
      <c r="O13" s="633">
        <f t="shared" si="4"/>
        <v>7.254762501100128</v>
      </c>
      <c r="P13" s="633">
        <f t="shared" si="5"/>
        <v>14.433756729740644</v>
      </c>
      <c r="Q13" s="634">
        <f t="shared" si="6"/>
        <v>0</v>
      </c>
      <c r="R13" s="1">
        <v>2</v>
      </c>
      <c r="S13" s="447">
        <v>0.73696271113194012</v>
      </c>
      <c r="T13" s="447">
        <v>1.5257977325777419</v>
      </c>
      <c r="U13" s="447">
        <v>0.28138049093934864</v>
      </c>
      <c r="V13" s="447">
        <v>1.3994289400273281</v>
      </c>
      <c r="W13" s="633">
        <f>_xll.ke_chev(R13,A13,S13,B13,T13,C13,U13,D13,V13)</f>
        <v>8.6386842558136099</v>
      </c>
      <c r="X13" s="633">
        <f t="shared" si="7"/>
        <v>8.6386842558136099</v>
      </c>
      <c r="Y13" s="634">
        <f t="shared" si="8"/>
        <v>0</v>
      </c>
    </row>
    <row r="14" spans="1:27" x14ac:dyDescent="0.25">
      <c r="A14" s="635">
        <v>2.7148854906554805</v>
      </c>
      <c r="B14" s="635">
        <v>1.0548583381871564</v>
      </c>
      <c r="C14" s="447">
        <v>6.8868905300759467E-2</v>
      </c>
      <c r="D14" s="447">
        <v>1.5932396400368487</v>
      </c>
      <c r="E14" s="633">
        <f>_xll.ke_sym($A14,$B14,$C14,$D14)</f>
        <v>9.6225044864937672</v>
      </c>
      <c r="F14" s="633">
        <f>_xll.ke_chev(1,A14,A14,B14,B14,C14,C14,D14,D14)</f>
        <v>9.6225044864937672</v>
      </c>
      <c r="G14" s="634">
        <f t="shared" si="0"/>
        <v>0</v>
      </c>
      <c r="H14" s="633">
        <f>_xll.ke_asym($A14,$B14,$C14,$D14)</f>
        <v>6.5938047339578816</v>
      </c>
      <c r="I14" s="633">
        <f>_xll.ke_chev(2,A14,A14,B14,B14,C14,C14,D14,D14)</f>
        <v>6.5938047339578816</v>
      </c>
      <c r="J14" s="634">
        <f t="shared" si="1"/>
        <v>0</v>
      </c>
      <c r="K14" s="633">
        <f>_xll.ke_one($A14,$B14,$C14,$D14)</f>
        <v>13.130643285972253</v>
      </c>
      <c r="L14" s="633">
        <f>_xll.ke_chev(1,A14,0,B14,9000000000,C14,0.00001,D14,9000000000)</f>
        <v>13.130643285972253</v>
      </c>
      <c r="M14" s="634">
        <f t="shared" si="2"/>
        <v>0</v>
      </c>
      <c r="N14" s="633">
        <f t="shared" si="3"/>
        <v>9.6225044864937672</v>
      </c>
      <c r="O14" s="633">
        <f t="shared" si="4"/>
        <v>6.5938047339578816</v>
      </c>
      <c r="P14" s="633">
        <f t="shared" si="5"/>
        <v>13.130643285972253</v>
      </c>
      <c r="Q14" s="634">
        <f t="shared" si="6"/>
        <v>0</v>
      </c>
      <c r="R14" s="1">
        <v>3</v>
      </c>
      <c r="S14" s="447">
        <v>0.37454985873996804</v>
      </c>
      <c r="T14" s="447">
        <v>2.5306367821941587</v>
      </c>
      <c r="U14" s="447">
        <v>0.18655377666780648</v>
      </c>
      <c r="V14" s="447">
        <v>1.5620333924093488</v>
      </c>
      <c r="W14" s="633">
        <f>_xll.ke_chev(R14,A14,S14,B14,T14,C14,U14,D14,V14)</f>
        <v>5.2851642258168994</v>
      </c>
      <c r="X14" s="633">
        <f t="shared" si="7"/>
        <v>5.2851642258168994</v>
      </c>
      <c r="Y14" s="634">
        <f t="shared" si="8"/>
        <v>0</v>
      </c>
    </row>
    <row r="15" spans="1:27" x14ac:dyDescent="0.25">
      <c r="A15" s="635">
        <v>1.0878597104696426</v>
      </c>
      <c r="B15" s="635">
        <v>2.815667467531338</v>
      </c>
      <c r="C15" s="447">
        <v>0.25947715578938091</v>
      </c>
      <c r="D15" s="447">
        <v>0.2310698054285088</v>
      </c>
      <c r="E15" s="633">
        <f>_xll.ke_sym($A15,$B15,$C15,$D15)</f>
        <v>2.1291058142914943</v>
      </c>
      <c r="F15" s="633">
        <f>_xll.ke_chev(1,A15,A15,B15,B15,C15,C15,D15,D15)</f>
        <v>2.1291058142914943</v>
      </c>
      <c r="G15" s="634">
        <f t="shared" si="0"/>
        <v>0</v>
      </c>
      <c r="H15" s="633">
        <f>_xll.ke_asym($A15,$B15,$C15,$D15)</f>
        <v>1.7087153154335755</v>
      </c>
      <c r="I15" s="633">
        <f>_xll.ke_chev(2,A15,A15,B15,B15,C15,C15,D15,D15)</f>
        <v>1.7087153154335755</v>
      </c>
      <c r="J15" s="634">
        <f t="shared" si="1"/>
        <v>0</v>
      </c>
      <c r="K15" s="633">
        <f>_xll.ke_one($A15,$B15,$C15,$D15)</f>
        <v>2.1114721776575727</v>
      </c>
      <c r="L15" s="633">
        <f>_xll.ke_chev(1,A15,0,B15,9000000000,C15,0.00001,D15,9000000000)</f>
        <v>2.1114721776575727</v>
      </c>
      <c r="M15" s="634">
        <f t="shared" si="2"/>
        <v>0</v>
      </c>
      <c r="N15" s="633">
        <f t="shared" si="3"/>
        <v>2.1281413268969098</v>
      </c>
      <c r="O15" s="633">
        <f t="shared" si="4"/>
        <v>1.7077183985952533</v>
      </c>
      <c r="P15" s="633">
        <f t="shared" si="5"/>
        <v>2.1105314459656759</v>
      </c>
      <c r="Q15" s="634">
        <f t="shared" si="6"/>
        <v>3.4039129001657751E-7</v>
      </c>
      <c r="R15" s="1">
        <v>2</v>
      </c>
      <c r="S15" s="447">
        <v>1.1933171854484304</v>
      </c>
      <c r="T15" s="447">
        <v>2.6958513905899131</v>
      </c>
      <c r="U15" s="447">
        <v>0.15851590210398175</v>
      </c>
      <c r="V15" s="447">
        <v>0.76196423417345094</v>
      </c>
      <c r="W15" s="633">
        <f>_xll.ke_chev(R15,A15,S15,B15,T15,C15,U15,D15,V15)</f>
        <v>1.0816659234723429</v>
      </c>
      <c r="X15" s="633">
        <f t="shared" si="7"/>
        <v>1.0810968751610757</v>
      </c>
      <c r="Y15" s="634">
        <f t="shared" si="8"/>
        <v>2.7676551858124592E-7</v>
      </c>
    </row>
    <row r="16" spans="1:27" x14ac:dyDescent="0.25">
      <c r="A16" s="635">
        <v>0.16749087524696971</v>
      </c>
      <c r="B16" s="635">
        <v>2.6994013841524915</v>
      </c>
      <c r="C16" s="447">
        <v>0.10320202210193341</v>
      </c>
      <c r="D16" s="447">
        <v>1.973152415081791</v>
      </c>
      <c r="E16" s="633">
        <f>_xll.ke_sym($A16,$B16,$C16,$D16)</f>
        <v>9.6225044864937672</v>
      </c>
      <c r="F16" s="633">
        <f>_xll.ke_chev(1,A16,A16,B16,B16,C16,C16,D16,D16)</f>
        <v>9.6225044864937672</v>
      </c>
      <c r="G16" s="634">
        <f t="shared" si="0"/>
        <v>0</v>
      </c>
      <c r="H16" s="633">
        <f>_xll.ke_asym($A16,$B16,$C16,$D16)</f>
        <v>6.0745673923078822</v>
      </c>
      <c r="I16" s="633">
        <f>_xll.ke_chev(2,A16,A16,B16,B16,C16,C16,D16,D16)</f>
        <v>6.0745673923078822</v>
      </c>
      <c r="J16" s="634">
        <f t="shared" si="1"/>
        <v>0</v>
      </c>
      <c r="K16" s="633">
        <f>_xll.ke_one($A16,$B16,$C16,$D16)</f>
        <v>11.322770341445953</v>
      </c>
      <c r="L16" s="633">
        <f>_xll.ke_chev(1,A16,0,B16,9000000000,C16,0.00001,D16,9000000000)</f>
        <v>11.322770341445953</v>
      </c>
      <c r="M16" s="634">
        <f t="shared" si="2"/>
        <v>0</v>
      </c>
      <c r="N16" s="633">
        <f t="shared" si="3"/>
        <v>9.6225044864937672</v>
      </c>
      <c r="O16" s="633">
        <f t="shared" si="4"/>
        <v>6.0633906259083368</v>
      </c>
      <c r="P16" s="633">
        <f t="shared" si="5"/>
        <v>11.322770341445953</v>
      </c>
      <c r="Q16" s="634">
        <f t="shared" si="6"/>
        <v>3.3853349037653312E-6</v>
      </c>
      <c r="R16" s="1">
        <v>2</v>
      </c>
      <c r="S16" s="447">
        <v>0.38924949579681423</v>
      </c>
      <c r="T16" s="447">
        <v>2.1771065767147406</v>
      </c>
      <c r="U16" s="447">
        <v>0.338067785348863</v>
      </c>
      <c r="V16" s="447">
        <v>1.8451083956597492</v>
      </c>
      <c r="W16" s="633">
        <f>_xll.ke_chev(R16,A16,S16,B16,T16,C16,U16,D16,V16)</f>
        <v>6.1545745489666492</v>
      </c>
      <c r="X16" s="633">
        <f t="shared" si="7"/>
        <v>6.1545745489666492</v>
      </c>
      <c r="Y16" s="634">
        <f t="shared" si="8"/>
        <v>0</v>
      </c>
    </row>
    <row r="17" spans="1:25" x14ac:dyDescent="0.25">
      <c r="A17" s="635">
        <v>2.1315670959284794</v>
      </c>
      <c r="B17" s="635">
        <v>0.57922527813948943</v>
      </c>
      <c r="C17" s="447">
        <v>0.12886466153311829</v>
      </c>
      <c r="D17" s="447">
        <v>1.643571171079508</v>
      </c>
      <c r="E17" s="633">
        <f>_xll.ke_sym($A17,$B17,$C17,$D17)</f>
        <v>5.4799662435119156</v>
      </c>
      <c r="F17" s="633">
        <f>_xll.ke_chev(1,A17,A17,B17,B17,C17,C17,D17,D17)</f>
        <v>5.4799662435119156</v>
      </c>
      <c r="G17" s="634">
        <f t="shared" si="0"/>
        <v>0</v>
      </c>
      <c r="H17" s="633">
        <f>_xll.ke_asym($A17,$B17,$C17,$D17)</f>
        <v>3.5874800166708489</v>
      </c>
      <c r="I17" s="633">
        <f>_xll.ke_chev(2,A17,A17,B17,B17,C17,C17,D17,D17)</f>
        <v>3.5874800166708489</v>
      </c>
      <c r="J17" s="634">
        <f t="shared" si="1"/>
        <v>0</v>
      </c>
      <c r="K17" s="633">
        <f>_xll.ke_one($A17,$B17,$C17,$D17)</f>
        <v>7.3323557510676753</v>
      </c>
      <c r="L17" s="633">
        <f>_xll.ke_chev(1,A17,0,B17,9000000000,C17,0.00001,D17,9000000000)</f>
        <v>7.3323557510676753</v>
      </c>
      <c r="M17" s="634">
        <f t="shared" si="2"/>
        <v>0</v>
      </c>
      <c r="N17" s="633">
        <f t="shared" si="3"/>
        <v>5.471756551645834</v>
      </c>
      <c r="O17" s="633">
        <f t="shared" si="4"/>
        <v>3.5851736969103456</v>
      </c>
      <c r="P17" s="633">
        <f t="shared" si="5"/>
        <v>7.3323557510676753</v>
      </c>
      <c r="Q17" s="634">
        <f t="shared" si="6"/>
        <v>2.2443880498490326E-6</v>
      </c>
      <c r="R17" s="1">
        <v>2</v>
      </c>
      <c r="S17" s="447">
        <v>0.62406629113627221</v>
      </c>
      <c r="T17" s="447">
        <v>2.4676301027576377</v>
      </c>
      <c r="U17" s="447">
        <v>5.1378140551264065E-2</v>
      </c>
      <c r="V17" s="447">
        <v>1.7740473909624725</v>
      </c>
      <c r="W17" s="633">
        <f>_xll.ke_chev(R17,A17,S17,B17,T17,C17,U17,D17,V17)</f>
        <v>3.6466247874473368</v>
      </c>
      <c r="X17" s="633">
        <f t="shared" si="7"/>
        <v>3.6442025853949906</v>
      </c>
      <c r="Y17" s="634">
        <f t="shared" si="8"/>
        <v>4.4120312123567029E-7</v>
      </c>
    </row>
    <row r="18" spans="1:25" x14ac:dyDescent="0.25">
      <c r="A18" s="635">
        <v>1.7066617745850892</v>
      </c>
      <c r="B18" s="635">
        <v>1.0586552727482423</v>
      </c>
      <c r="C18" s="447">
        <v>0.29016152859427791</v>
      </c>
      <c r="D18" s="447">
        <v>0.88497642786354924</v>
      </c>
      <c r="E18" s="633">
        <f>_xll.ke_sym($A18,$B18,$C18,$D18)</f>
        <v>2.3980056885558612</v>
      </c>
      <c r="F18" s="633">
        <f>_xll.ke_chev(1,A18,A18,B18,B18,C18,C18,D18,D18)</f>
        <v>2.3980056885558612</v>
      </c>
      <c r="G18" s="634">
        <f t="shared" si="0"/>
        <v>0</v>
      </c>
      <c r="H18" s="633">
        <f>_xll.ke_asym($A18,$B18,$C18,$D18)</f>
        <v>2.0685720094603446</v>
      </c>
      <c r="I18" s="633">
        <f>_xll.ke_chev(2,A18,A18,B18,B18,C18,C18,D18,D18)</f>
        <v>2.0685720094603446</v>
      </c>
      <c r="J18" s="634">
        <f t="shared" si="1"/>
        <v>0</v>
      </c>
      <c r="K18" s="633">
        <f>_xll.ke_one($A18,$B18,$C18,$D18)</f>
        <v>2.7186362391351699</v>
      </c>
      <c r="L18" s="633">
        <f>_xll.ke_chev(1,A18,0,B18,9000000000,C18,0.00001,D18,9000000000)</f>
        <v>2.7186362391351699</v>
      </c>
      <c r="M18" s="634">
        <f t="shared" si="2"/>
        <v>0</v>
      </c>
      <c r="N18" s="633">
        <f t="shared" si="3"/>
        <v>2.3966279201637262</v>
      </c>
      <c r="O18" s="633">
        <f t="shared" si="4"/>
        <v>2.0676874372542096</v>
      </c>
      <c r="P18" s="633">
        <f t="shared" si="5"/>
        <v>2.7176321259932057</v>
      </c>
      <c r="Q18" s="634">
        <f t="shared" si="6"/>
        <v>3.3010493459749691E-7</v>
      </c>
      <c r="R18" s="1">
        <v>2</v>
      </c>
      <c r="S18" s="447">
        <v>4.4350268103822921E-2</v>
      </c>
      <c r="T18" s="447">
        <v>0.66250528101406869</v>
      </c>
      <c r="U18" s="447">
        <v>0.15582496155461206</v>
      </c>
      <c r="V18" s="447">
        <v>1.1416488861547234</v>
      </c>
      <c r="W18" s="633">
        <f>_xll.ke_chev(R18,A18,S18,B18,T18,C18,U18,D18,V18)</f>
        <v>2.0340502363727127</v>
      </c>
      <c r="X18" s="633">
        <f t="shared" si="7"/>
        <v>2.0327890704543976</v>
      </c>
      <c r="Y18" s="634">
        <f t="shared" si="8"/>
        <v>3.8443339074959734E-7</v>
      </c>
    </row>
    <row r="19" spans="1:25" x14ac:dyDescent="0.25">
      <c r="A19" s="635">
        <v>2.8711159335661689</v>
      </c>
      <c r="B19" s="635">
        <v>0.6958339609988734</v>
      </c>
      <c r="C19" s="447">
        <v>0.16965093112337054</v>
      </c>
      <c r="D19" s="447">
        <v>0.67096281867258978</v>
      </c>
      <c r="E19" s="633">
        <f>_xll.ke_sym($A19,$B19,$C19,$D19)</f>
        <v>2.9840776634222399</v>
      </c>
      <c r="F19" s="633">
        <f>_xll.ke_chev(1,A19,A19,B19,B19,C19,C19,D19,D19)</f>
        <v>2.9840776634222399</v>
      </c>
      <c r="G19" s="634">
        <f t="shared" si="0"/>
        <v>0</v>
      </c>
      <c r="H19" s="633">
        <f>_xll.ke_asym($A19,$B19,$C19,$D19)</f>
        <v>2.3505024736113658</v>
      </c>
      <c r="I19" s="633">
        <f>_xll.ke_chev(2,A19,A19,B19,B19,C19,C19,D19,D19)</f>
        <v>2.3505024736113658</v>
      </c>
      <c r="J19" s="634">
        <f t="shared" si="1"/>
        <v>0</v>
      </c>
      <c r="K19" s="633">
        <f>_xll.ke_one($A19,$B19,$C19,$D19)</f>
        <v>3.7986858819879052</v>
      </c>
      <c r="L19" s="633">
        <f>_xll.ke_chev(1,A19,0,B19,9000000000,C19,0.00001,D19,9000000000)</f>
        <v>3.7986858819879052</v>
      </c>
      <c r="M19" s="634">
        <f t="shared" si="2"/>
        <v>0</v>
      </c>
      <c r="N19" s="633">
        <f t="shared" si="3"/>
        <v>2.9827499313594386</v>
      </c>
      <c r="O19" s="633">
        <f t="shared" si="4"/>
        <v>2.3492049286747214</v>
      </c>
      <c r="P19" s="633">
        <f t="shared" si="5"/>
        <v>3.7959480900055906</v>
      </c>
      <c r="Q19" s="634">
        <f t="shared" si="6"/>
        <v>5.1943849223290371E-7</v>
      </c>
      <c r="R19" s="1">
        <v>1</v>
      </c>
      <c r="S19" s="447">
        <v>1.1295473851431088</v>
      </c>
      <c r="T19" s="447">
        <v>0.11005027896947905</v>
      </c>
      <c r="U19" s="447">
        <v>7.2748221073624747E-2</v>
      </c>
      <c r="V19" s="447">
        <v>0.67758509968104885</v>
      </c>
      <c r="W19" s="633">
        <f>_xll.ke_chev(R19,A19,S19,B19,T19,C19,U19,D19,V19)</f>
        <v>3.3131478096128295</v>
      </c>
      <c r="X19" s="633">
        <f t="shared" si="7"/>
        <v>3.3113308926625811</v>
      </c>
      <c r="Y19" s="634">
        <f t="shared" si="8"/>
        <v>3.007381542935767E-7</v>
      </c>
    </row>
    <row r="20" spans="1:25" x14ac:dyDescent="0.25">
      <c r="A20" s="635">
        <v>0.36917027840156391</v>
      </c>
      <c r="B20" s="635">
        <v>0.93595349806417183</v>
      </c>
      <c r="C20" s="447">
        <v>0.22861501716626048</v>
      </c>
      <c r="D20" s="447">
        <v>1.4817040146185079</v>
      </c>
      <c r="E20" s="633">
        <f>_xll.ke_sym($A20,$B20,$C20,$D20)</f>
        <v>4.1451333614483685</v>
      </c>
      <c r="F20" s="633">
        <f>_xll.ke_chev(1,A20,A20,B20,B20,C20,C20,D20,D20)</f>
        <v>4.1451333614483685</v>
      </c>
      <c r="G20" s="634">
        <f t="shared" si="0"/>
        <v>0</v>
      </c>
      <c r="H20" s="633">
        <f>_xll.ke_asym($A20,$B20,$C20,$D20)</f>
        <v>2.9880715233359547</v>
      </c>
      <c r="I20" s="633">
        <f>_xll.ke_chev(2,A20,A20,B20,B20,C20,C20,D20,D20)</f>
        <v>2.9880715233359547</v>
      </c>
      <c r="J20" s="634">
        <f t="shared" si="1"/>
        <v>0</v>
      </c>
      <c r="K20" s="633">
        <f>_xll.ke_one($A20,$B20,$C20,$D20)</f>
        <v>4.6373889576016678</v>
      </c>
      <c r="L20" s="633">
        <f>_xll.ke_chev(1,A20,0,B20,9000000000,C20,0.00001,D20,9000000000)</f>
        <v>4.6373889576016678</v>
      </c>
      <c r="M20" s="634">
        <f t="shared" si="2"/>
        <v>0</v>
      </c>
      <c r="N20" s="633">
        <f t="shared" si="3"/>
        <v>4.1415768328128886</v>
      </c>
      <c r="O20" s="633">
        <f t="shared" si="4"/>
        <v>2.986738455447465</v>
      </c>
      <c r="P20" s="633">
        <f t="shared" si="5"/>
        <v>4.6373889576016678</v>
      </c>
      <c r="Q20" s="634">
        <f t="shared" si="6"/>
        <v>7.3616574341641195E-7</v>
      </c>
      <c r="R20" s="1">
        <v>4</v>
      </c>
      <c r="S20" s="447">
        <v>0.30214278004534256</v>
      </c>
      <c r="T20" s="447">
        <v>0.87431879116234612</v>
      </c>
      <c r="U20" s="447">
        <v>7.3272973061880686E-2</v>
      </c>
      <c r="V20" s="447">
        <v>1.7433864170408209</v>
      </c>
      <c r="W20" s="633">
        <f>_xll.ke_chev(R20,A20,S20,B20,T20,C20,U20,D20,V20)</f>
        <v>1.2765032896649637</v>
      </c>
      <c r="X20" s="633">
        <f t="shared" si="7"/>
        <v>1.2757759076996251</v>
      </c>
      <c r="Y20" s="634">
        <f t="shared" si="8"/>
        <v>3.246991720718546E-7</v>
      </c>
    </row>
    <row r="21" spans="1:25" x14ac:dyDescent="0.25">
      <c r="A21" s="635">
        <v>2.1910997283430227</v>
      </c>
      <c r="B21" s="635">
        <v>2.8432841926820358</v>
      </c>
      <c r="C21" s="447">
        <v>0.25771383171019085</v>
      </c>
      <c r="D21" s="447">
        <v>1.9515355967701769</v>
      </c>
      <c r="E21" s="633">
        <f>_xll.ke_sym($A21,$B21,$C21,$D21)</f>
        <v>2.7534525848877567</v>
      </c>
      <c r="F21" s="633">
        <f>_xll.ke_chev(1,A21,A21,B21,B21,C21,C21,D21,D21)</f>
        <v>2.7534525848877567</v>
      </c>
      <c r="G21" s="634">
        <f t="shared" si="0"/>
        <v>0</v>
      </c>
      <c r="H21" s="633">
        <f>_xll.ke_asym($A21,$B21,$C21,$D21)</f>
        <v>2.0933516060466988</v>
      </c>
      <c r="I21" s="633">
        <f>_xll.ke_chev(2,A21,A21,B21,B21,C21,C21,D21,D21)</f>
        <v>2.0933516060466988</v>
      </c>
      <c r="J21" s="634">
        <f t="shared" si="1"/>
        <v>0</v>
      </c>
      <c r="K21" s="633">
        <f>_xll.ke_one($A21,$B21,$C21,$D21)</f>
        <v>3.7986858819879052</v>
      </c>
      <c r="L21" s="633">
        <f>_xll.ke_chev(1,A21,0,B21,9000000000,C21,0.00001,D21,9000000000)</f>
        <v>3.7986858819879052</v>
      </c>
      <c r="M21" s="634">
        <f t="shared" si="2"/>
        <v>0</v>
      </c>
      <c r="N21" s="633">
        <f t="shared" si="3"/>
        <v>2.7524094128158829</v>
      </c>
      <c r="O21" s="633">
        <f t="shared" si="4"/>
        <v>2.0924348765934768</v>
      </c>
      <c r="P21" s="633">
        <f t="shared" si="5"/>
        <v>3.7959480900055906</v>
      </c>
      <c r="Q21" s="634">
        <f t="shared" si="6"/>
        <v>5.1943849223290371E-7</v>
      </c>
      <c r="R21" s="1">
        <v>4</v>
      </c>
      <c r="S21" s="447">
        <v>2.2492230970659657</v>
      </c>
      <c r="T21" s="447">
        <v>0.25521005078302073</v>
      </c>
      <c r="U21" s="447">
        <v>0.26923619823412503</v>
      </c>
      <c r="V21" s="447">
        <v>1.5171744142921364</v>
      </c>
      <c r="W21" s="633">
        <f>_xll.ke_chev(R21,A21,S21,B21,T21,C21,U21,D21,V21)</f>
        <v>1.1378338965676236</v>
      </c>
      <c r="X21" s="633">
        <f t="shared" si="7"/>
        <v>1.1372451079659383</v>
      </c>
      <c r="Y21" s="634">
        <f t="shared" si="8"/>
        <v>2.677694662972832E-7</v>
      </c>
    </row>
    <row r="22" spans="1:25" x14ac:dyDescent="0.25">
      <c r="A22" s="635">
        <v>1.3146848054066584</v>
      </c>
      <c r="B22" s="635">
        <v>2.8783564932055747</v>
      </c>
      <c r="C22" s="447">
        <v>0.1831062801329188</v>
      </c>
      <c r="D22" s="447">
        <v>1.2249912058365582</v>
      </c>
      <c r="E22" s="633">
        <f>_xll.ke_sym($A22,$B22,$C22,$D22)</f>
        <v>3.5782813348225382</v>
      </c>
      <c r="F22" s="633">
        <f>_xll.ke_chev(1,A22,A22,B22,B22,C22,C22,D22,D22)</f>
        <v>3.5782813348225382</v>
      </c>
      <c r="G22" s="634">
        <f t="shared" si="0"/>
        <v>0</v>
      </c>
      <c r="H22" s="633">
        <f>_xll.ke_asym($A22,$B22,$C22,$D22)</f>
        <v>2.5310373177627761</v>
      </c>
      <c r="I22" s="633">
        <f>_xll.ke_chev(2,A22,A22,B22,B22,C22,C22,D22,D22)</f>
        <v>2.5310373177627761</v>
      </c>
      <c r="J22" s="634">
        <f t="shared" si="1"/>
        <v>0</v>
      </c>
      <c r="K22" s="633">
        <f>_xll.ke_one($A22,$B22,$C22,$D22)</f>
        <v>4.6028730894916006</v>
      </c>
      <c r="L22" s="633">
        <f>_xll.ke_chev(1,A22,0,B22,9000000000,C22,0.00001,D22,9000000000)</f>
        <v>4.6028730894916006</v>
      </c>
      <c r="M22" s="634">
        <f t="shared" si="2"/>
        <v>0</v>
      </c>
      <c r="N22" s="633">
        <f t="shared" si="3"/>
        <v>3.5759926992607296</v>
      </c>
      <c r="O22" s="633">
        <f t="shared" si="4"/>
        <v>2.5302269968462947</v>
      </c>
      <c r="P22" s="633">
        <f t="shared" si="5"/>
        <v>4.5980048987170132</v>
      </c>
      <c r="Q22" s="634">
        <f t="shared" si="6"/>
        <v>1.1186060829189852E-6</v>
      </c>
      <c r="R22" s="1">
        <v>4</v>
      </c>
      <c r="S22" s="447">
        <v>1.7045959886739488</v>
      </c>
      <c r="T22" s="447">
        <v>1.5006092886695241</v>
      </c>
      <c r="U22" s="447">
        <v>0.21086126066468031</v>
      </c>
      <c r="V22" s="447">
        <v>1.797675181444957</v>
      </c>
      <c r="W22" s="633">
        <f>_xll.ke_chev(R22,A22,S22,B22,T22,C22,U22,D22,V22)</f>
        <v>1.4388861576724403</v>
      </c>
      <c r="X22" s="633">
        <f t="shared" si="7"/>
        <v>1.4381419703158744</v>
      </c>
      <c r="Y22" s="634">
        <f t="shared" si="8"/>
        <v>2.6749255886776634E-7</v>
      </c>
    </row>
    <row r="23" spans="1:25" x14ac:dyDescent="0.25">
      <c r="A23" s="635">
        <v>6.5325923734259383E-2</v>
      </c>
      <c r="B23" s="635">
        <v>2.0280230415373706</v>
      </c>
      <c r="C23" s="447">
        <v>0.34312899019276955</v>
      </c>
      <c r="D23" s="447">
        <v>1.7519010019751691</v>
      </c>
      <c r="E23" s="633">
        <f>_xll.ke_sym($A23,$B23,$C23,$D23)</f>
        <v>3.8633370464312531</v>
      </c>
      <c r="F23" s="633">
        <f>_xll.ke_chev(1,A23,A23,B23,B23,C23,C23,D23,D23)</f>
        <v>3.8633370464312531</v>
      </c>
      <c r="G23" s="634">
        <f t="shared" si="0"/>
        <v>0</v>
      </c>
      <c r="H23" s="633">
        <f>_xll.ke_asym($A23,$B23,$C23,$D23)</f>
        <v>1.9045028063584204</v>
      </c>
      <c r="I23" s="633">
        <f>_xll.ke_chev(2,A23,A23,B23,B23,C23,C23,D23,D23)</f>
        <v>1.9045028063584204</v>
      </c>
      <c r="J23" s="634">
        <f t="shared" si="1"/>
        <v>0</v>
      </c>
      <c r="K23" s="633">
        <f>_xll.ke_one($A23,$B23,$C23,$D23)</f>
        <v>3.8662233651352698</v>
      </c>
      <c r="L23" s="633">
        <f>_xll.ke_chev(1,A23,0,B23,9000000000,C23,0.00001,D23,9000000000)</f>
        <v>3.8662233651352698</v>
      </c>
      <c r="M23" s="634">
        <f t="shared" si="2"/>
        <v>0</v>
      </c>
      <c r="N23" s="633">
        <f t="shared" si="3"/>
        <v>3.8633370464312531</v>
      </c>
      <c r="O23" s="633">
        <f t="shared" si="4"/>
        <v>1.9038123938628826</v>
      </c>
      <c r="P23" s="633">
        <f t="shared" si="5"/>
        <v>3.8633370464312531</v>
      </c>
      <c r="Q23" s="634">
        <f t="shared" si="6"/>
        <v>5.5733290573134644E-7</v>
      </c>
      <c r="R23" s="1">
        <v>2</v>
      </c>
      <c r="S23" s="447">
        <v>0.1128152571913702</v>
      </c>
      <c r="T23" s="447">
        <v>2.5272185614236111</v>
      </c>
      <c r="U23" s="447">
        <v>9.6220022404068739E-2</v>
      </c>
      <c r="V23" s="447">
        <v>0.75177949784735598</v>
      </c>
      <c r="W23" s="633">
        <f>_xll.ke_chev(R23,A23,S23,B23,T23,C23,U23,D23,V23)</f>
        <v>1.9048482943986966</v>
      </c>
      <c r="X23" s="633">
        <f t="shared" si="7"/>
        <v>1.9038123938628826</v>
      </c>
      <c r="Y23" s="634">
        <f t="shared" si="8"/>
        <v>2.9574358197955019E-7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M40"/>
  <sheetViews>
    <sheetView workbookViewId="0">
      <selection activeCell="C40" sqref="C40"/>
    </sheetView>
  </sheetViews>
  <sheetFormatPr defaultColWidth="9.140625" defaultRowHeight="15" x14ac:dyDescent="0.25"/>
  <cols>
    <col min="1" max="2" width="9.140625" style="1"/>
    <col min="3" max="3" width="13.7109375" style="1" customWidth="1"/>
    <col min="4" max="4" width="9.140625" style="1"/>
    <col min="5" max="6" width="9.140625" style="1" customWidth="1"/>
    <col min="7" max="18" width="9.140625" style="1"/>
    <col min="19" max="19" width="0" style="1" hidden="1" customWidth="1"/>
    <col min="20" max="77" width="9.140625" style="1"/>
    <col min="78" max="133" width="9.140625" style="1" customWidth="1"/>
    <col min="134" max="135" width="11.85546875" style="1" customWidth="1"/>
    <col min="136" max="138" width="9.140625" style="1" customWidth="1"/>
    <col min="139" max="139" width="9.140625" style="176" customWidth="1"/>
    <col min="140" max="140" width="9.140625" style="1" hidden="1" customWidth="1"/>
    <col min="141" max="141" width="11.85546875" style="1" hidden="1" customWidth="1"/>
    <col min="142" max="144" width="9.140625" style="1" hidden="1" customWidth="1"/>
    <col min="145" max="145" width="9.140625" style="176" hidden="1" customWidth="1"/>
    <col min="146" max="146" width="9.140625" style="1" customWidth="1"/>
    <col min="147" max="147" width="11.85546875" style="1" customWidth="1"/>
    <col min="148" max="150" width="9.140625" style="1" customWidth="1"/>
    <col min="151" max="151" width="9.140625" style="176" customWidth="1"/>
    <col min="152" max="152" width="9.140625" style="1" customWidth="1"/>
    <col min="153" max="153" width="11.85546875" style="1" customWidth="1"/>
    <col min="154" max="156" width="9.140625" style="1" customWidth="1"/>
    <col min="157" max="157" width="9.140625" style="176" customWidth="1"/>
    <col min="158" max="164" width="9.140625" style="1" customWidth="1"/>
    <col min="165" max="166" width="9.140625" style="176" customWidth="1"/>
    <col min="167" max="169" width="9.140625" style="1" customWidth="1"/>
    <col min="170" max="170" width="11.85546875" style="1" customWidth="1"/>
    <col min="171" max="171" width="9.140625" style="176" customWidth="1"/>
    <col min="172" max="173" width="9.140625" style="1" customWidth="1"/>
    <col min="174" max="174" width="9.140625" style="176" customWidth="1"/>
    <col min="175" max="175" width="9.140625" style="1" customWidth="1"/>
    <col min="176" max="176" width="11.85546875" style="1" customWidth="1"/>
    <col min="177" max="179" width="9.140625" style="1" customWidth="1"/>
    <col min="180" max="180" width="9.140625" style="176" customWidth="1"/>
    <col min="181" max="181" width="9.140625" style="1" customWidth="1"/>
    <col min="182" max="182" width="11.85546875" style="1" customWidth="1"/>
    <col min="183" max="185" width="9.140625" style="1" customWidth="1"/>
    <col min="186" max="186" width="9.140625" style="176" customWidth="1"/>
    <col min="187" max="187" width="9.140625" style="1" customWidth="1"/>
    <col min="188" max="188" width="11.85546875" style="1" customWidth="1"/>
    <col min="189" max="191" width="9.140625" style="1" customWidth="1"/>
    <col min="192" max="192" width="9.140625" style="176" customWidth="1"/>
    <col min="193" max="193" width="9.140625" style="1" customWidth="1"/>
    <col min="194" max="196" width="9.140625" style="173" customWidth="1"/>
    <col min="197" max="197" width="9.140625" style="1" customWidth="1"/>
    <col min="198" max="199" width="9.140625" style="1" hidden="1" customWidth="1"/>
    <col min="200" max="241" width="9.140625" style="1" customWidth="1"/>
    <col min="242" max="247" width="9.140625" style="1"/>
    <col min="248" max="248" width="0" style="1" hidden="1" customWidth="1"/>
    <col min="249" max="271" width="9.140625" style="1"/>
    <col min="272" max="272" width="10.7109375" style="1" bestFit="1" customWidth="1"/>
    <col min="273" max="273" width="12.7109375" style="1" bestFit="1" customWidth="1"/>
    <col min="274" max="16384" width="9.140625" style="1"/>
  </cols>
  <sheetData>
    <row r="1" spans="1:273" ht="15.75" thickBot="1" x14ac:dyDescent="0.3"/>
    <row r="2" spans="1:273" x14ac:dyDescent="0.25">
      <c r="A2" s="40" t="s">
        <v>25</v>
      </c>
      <c r="B2" s="41" t="s">
        <v>10</v>
      </c>
      <c r="C2" s="42">
        <v>205000</v>
      </c>
      <c r="E2" s="27" t="s">
        <v>174</v>
      </c>
      <c r="F2" s="27"/>
      <c r="EG2" s="1" t="s">
        <v>197</v>
      </c>
    </row>
    <row r="3" spans="1:273" ht="15.75" thickBot="1" x14ac:dyDescent="0.3">
      <c r="A3" s="43" t="s">
        <v>124</v>
      </c>
      <c r="B3" s="44" t="s">
        <v>125</v>
      </c>
      <c r="C3" s="45">
        <f>C2/(2*(1+0.3))</f>
        <v>78846.153846153844</v>
      </c>
      <c r="E3" s="28" t="s">
        <v>175</v>
      </c>
      <c r="F3" s="28"/>
      <c r="EG3" s="1" t="s">
        <v>196</v>
      </c>
    </row>
    <row r="4" spans="1:273" x14ac:dyDescent="0.25">
      <c r="E4" s="75" t="s">
        <v>176</v>
      </c>
      <c r="F4" s="75"/>
      <c r="DX4" s="1">
        <f>9.7*4</f>
        <v>38.799999999999997</v>
      </c>
    </row>
    <row r="6" spans="1:273" ht="15.75" thickBot="1" x14ac:dyDescent="0.3">
      <c r="E6" s="24" t="s">
        <v>136</v>
      </c>
      <c r="F6" s="24"/>
      <c r="H6" s="24" t="s">
        <v>106</v>
      </c>
      <c r="M6" s="24" t="s">
        <v>65</v>
      </c>
      <c r="Q6" s="29" t="s">
        <v>130</v>
      </c>
      <c r="Y6" s="24" t="s">
        <v>66</v>
      </c>
      <c r="AH6" s="24" t="s">
        <v>72</v>
      </c>
      <c r="AY6" s="24" t="s">
        <v>135</v>
      </c>
      <c r="CA6" s="24" t="s">
        <v>134</v>
      </c>
      <c r="CI6" s="1" t="s">
        <v>119</v>
      </c>
      <c r="CP6" s="24" t="s">
        <v>98</v>
      </c>
      <c r="CV6" s="270" t="s">
        <v>250</v>
      </c>
      <c r="CW6" s="1" t="s">
        <v>139</v>
      </c>
      <c r="DA6" s="1" t="s">
        <v>162</v>
      </c>
      <c r="DE6" s="1" t="s">
        <v>163</v>
      </c>
      <c r="DV6" s="1" t="s">
        <v>244</v>
      </c>
      <c r="EB6" s="24" t="s">
        <v>105</v>
      </c>
      <c r="GQ6" s="2"/>
      <c r="GR6" s="1" t="s">
        <v>182</v>
      </c>
      <c r="HH6" s="2"/>
      <c r="IA6" s="2"/>
      <c r="ID6" s="2"/>
      <c r="IN6" s="2"/>
      <c r="IQ6" s="1" t="s">
        <v>186</v>
      </c>
      <c r="IT6" s="1" t="s">
        <v>187</v>
      </c>
      <c r="IW6" s="2"/>
    </row>
    <row r="7" spans="1:273" ht="18.75" x14ac:dyDescent="0.35">
      <c r="A7" s="1" t="s">
        <v>0</v>
      </c>
      <c r="B7" s="1" t="s">
        <v>1</v>
      </c>
      <c r="C7" s="1" t="s">
        <v>2</v>
      </c>
      <c r="D7" s="1" t="s">
        <v>83</v>
      </c>
      <c r="E7" s="1" t="s">
        <v>7</v>
      </c>
      <c r="F7" s="1" t="s">
        <v>224</v>
      </c>
      <c r="G7" s="1" t="s">
        <v>8</v>
      </c>
      <c r="H7" s="1" t="s">
        <v>29</v>
      </c>
      <c r="I7" s="1" t="s">
        <v>226</v>
      </c>
      <c r="J7" s="1" t="s">
        <v>225</v>
      </c>
      <c r="K7" s="1" t="s">
        <v>28</v>
      </c>
      <c r="L7" s="78" t="s">
        <v>41</v>
      </c>
      <c r="M7" s="1" t="s">
        <v>67</v>
      </c>
      <c r="N7" s="1" t="s">
        <v>68</v>
      </c>
      <c r="O7" s="1" t="s">
        <v>4</v>
      </c>
      <c r="P7" s="1" t="s">
        <v>5</v>
      </c>
      <c r="Q7" s="1" t="s">
        <v>128</v>
      </c>
      <c r="R7" s="1" t="s">
        <v>129</v>
      </c>
      <c r="S7" s="1" t="s">
        <v>99</v>
      </c>
      <c r="T7" s="1" t="s">
        <v>3</v>
      </c>
      <c r="U7" s="1" t="s">
        <v>191</v>
      </c>
      <c r="V7" s="1" t="s">
        <v>6</v>
      </c>
      <c r="W7" s="3" t="s">
        <v>75</v>
      </c>
      <c r="X7" s="3" t="s">
        <v>131</v>
      </c>
      <c r="Y7" s="1" t="s">
        <v>67</v>
      </c>
      <c r="Z7" s="1" t="s">
        <v>68</v>
      </c>
      <c r="AA7" s="1" t="s">
        <v>4</v>
      </c>
      <c r="AB7" s="1" t="s">
        <v>5</v>
      </c>
      <c r="AC7" s="1" t="s">
        <v>71</v>
      </c>
      <c r="AD7" s="1" t="s">
        <v>70</v>
      </c>
      <c r="AE7" s="1" t="s">
        <v>69</v>
      </c>
      <c r="AF7" s="1" t="s">
        <v>27</v>
      </c>
      <c r="AG7" s="1" t="s">
        <v>123</v>
      </c>
      <c r="AH7" s="1" t="s">
        <v>67</v>
      </c>
      <c r="AI7" s="1" t="s">
        <v>68</v>
      </c>
      <c r="AJ7" s="1" t="s">
        <v>4</v>
      </c>
      <c r="AK7" s="1" t="s">
        <v>5</v>
      </c>
      <c r="AL7" s="1" t="s">
        <v>73</v>
      </c>
      <c r="AM7" s="1" t="s">
        <v>36</v>
      </c>
      <c r="AN7" s="1" t="s">
        <v>178</v>
      </c>
      <c r="AO7" s="1" t="s">
        <v>179</v>
      </c>
      <c r="AP7" s="1" t="s">
        <v>219</v>
      </c>
      <c r="AQ7" s="1" t="s">
        <v>220</v>
      </c>
      <c r="AR7" s="1" t="s">
        <v>87</v>
      </c>
      <c r="AS7" s="1" t="s">
        <v>248</v>
      </c>
      <c r="AT7" s="1" t="s">
        <v>223</v>
      </c>
      <c r="AU7" s="1" t="s">
        <v>101</v>
      </c>
      <c r="AV7" s="1" t="s">
        <v>218</v>
      </c>
      <c r="AW7" s="1" t="s">
        <v>221</v>
      </c>
      <c r="AX7" s="1" t="s">
        <v>101</v>
      </c>
      <c r="AY7" s="1" t="s">
        <v>97</v>
      </c>
      <c r="AZ7" s="1" t="s">
        <v>96</v>
      </c>
      <c r="BA7" s="1" t="s">
        <v>102</v>
      </c>
      <c r="BB7" s="1" t="s">
        <v>33</v>
      </c>
      <c r="BC7" s="1" t="s">
        <v>34</v>
      </c>
      <c r="BD7" s="1" t="s">
        <v>46</v>
      </c>
      <c r="BE7" s="1" t="s">
        <v>45</v>
      </c>
      <c r="BF7" s="3" t="s">
        <v>60</v>
      </c>
      <c r="BG7" s="40" t="s">
        <v>212</v>
      </c>
      <c r="BH7" s="41" t="s">
        <v>70</v>
      </c>
      <c r="BI7" s="41" t="s">
        <v>69</v>
      </c>
      <c r="BJ7" s="41" t="s">
        <v>73</v>
      </c>
      <c r="BK7" s="41" t="s">
        <v>36</v>
      </c>
      <c r="BL7" s="41" t="s">
        <v>35</v>
      </c>
      <c r="BM7" s="41" t="s">
        <v>214</v>
      </c>
      <c r="BN7" s="196" t="s">
        <v>217</v>
      </c>
      <c r="BO7" s="196" t="s">
        <v>206</v>
      </c>
      <c r="BP7" s="198" t="s">
        <v>207</v>
      </c>
      <c r="BQ7" s="198" t="s">
        <v>216</v>
      </c>
      <c r="BR7" s="41" t="s">
        <v>208</v>
      </c>
      <c r="BS7" s="41" t="s">
        <v>213</v>
      </c>
      <c r="BT7" s="41" t="s">
        <v>209</v>
      </c>
      <c r="BU7" s="41" t="s">
        <v>210</v>
      </c>
      <c r="BV7" s="41" t="s">
        <v>215</v>
      </c>
      <c r="BW7" s="42" t="s">
        <v>211</v>
      </c>
      <c r="BX7" s="1" t="s">
        <v>104</v>
      </c>
      <c r="BY7" s="1" t="s">
        <v>30</v>
      </c>
      <c r="CA7" s="1" t="s">
        <v>67</v>
      </c>
      <c r="CB7" s="1" t="s">
        <v>68</v>
      </c>
      <c r="CC7" s="1" t="s">
        <v>4</v>
      </c>
      <c r="CD7" s="1" t="s">
        <v>5</v>
      </c>
      <c r="CE7" s="1" t="s">
        <v>73</v>
      </c>
      <c r="CF7" s="1" t="s">
        <v>36</v>
      </c>
      <c r="CG7" s="1" t="s">
        <v>74</v>
      </c>
      <c r="CH7" s="1" t="s">
        <v>120</v>
      </c>
      <c r="CI7" s="1" t="s">
        <v>132</v>
      </c>
      <c r="CJ7" s="1" t="s">
        <v>133</v>
      </c>
      <c r="CK7" s="1" t="s">
        <v>118</v>
      </c>
      <c r="CL7" s="1" t="s">
        <v>121</v>
      </c>
      <c r="CM7" s="1" t="s">
        <v>168</v>
      </c>
      <c r="CN7" s="1" t="s">
        <v>26</v>
      </c>
      <c r="CO7" s="1" t="s">
        <v>122</v>
      </c>
      <c r="CP7" s="1" t="s">
        <v>164</v>
      </c>
      <c r="CQ7" s="1" t="s">
        <v>165</v>
      </c>
      <c r="CR7" s="1" t="s">
        <v>137</v>
      </c>
      <c r="CS7" s="1" t="s">
        <v>170</v>
      </c>
      <c r="CT7" s="1" t="s">
        <v>68</v>
      </c>
      <c r="CU7" s="1" t="s">
        <v>4</v>
      </c>
      <c r="CV7" s="40" t="s">
        <v>99</v>
      </c>
      <c r="CW7" s="41" t="s">
        <v>156</v>
      </c>
      <c r="CX7" s="41" t="s">
        <v>138</v>
      </c>
      <c r="CY7" s="41" t="s">
        <v>150</v>
      </c>
      <c r="CZ7" s="41" t="s">
        <v>161</v>
      </c>
      <c r="DA7" s="41" t="s">
        <v>157</v>
      </c>
      <c r="DB7" s="41" t="s">
        <v>140</v>
      </c>
      <c r="DC7" s="41" t="s">
        <v>141</v>
      </c>
      <c r="DD7" s="41" t="s">
        <v>160</v>
      </c>
      <c r="DE7" s="41" t="s">
        <v>158</v>
      </c>
      <c r="DF7" s="41" t="s">
        <v>142</v>
      </c>
      <c r="DG7" s="41" t="s">
        <v>143</v>
      </c>
      <c r="DH7" s="41" t="s">
        <v>159</v>
      </c>
      <c r="DI7" s="41" t="s">
        <v>144</v>
      </c>
      <c r="DJ7" s="41" t="s">
        <v>145</v>
      </c>
      <c r="DK7" s="41" t="s">
        <v>146</v>
      </c>
      <c r="DL7" s="41" t="s">
        <v>153</v>
      </c>
      <c r="DM7" s="41" t="s">
        <v>154</v>
      </c>
      <c r="DN7" s="41" t="s">
        <v>155</v>
      </c>
      <c r="DO7" s="41" t="s">
        <v>148</v>
      </c>
      <c r="DP7" s="41" t="s">
        <v>149</v>
      </c>
      <c r="DQ7" s="42" t="s">
        <v>147</v>
      </c>
      <c r="DR7" s="1" t="s">
        <v>47</v>
      </c>
      <c r="DS7" s="1" t="s">
        <v>100</v>
      </c>
      <c r="DT7" s="1" t="s">
        <v>31</v>
      </c>
      <c r="DU7" s="1" t="s">
        <v>251</v>
      </c>
      <c r="DV7" s="1" t="s">
        <v>245</v>
      </c>
      <c r="DW7" s="1" t="s">
        <v>246</v>
      </c>
      <c r="DX7" s="1" t="s">
        <v>100</v>
      </c>
      <c r="DY7" s="1" t="s">
        <v>247</v>
      </c>
      <c r="DZ7" s="1" t="s">
        <v>47</v>
      </c>
      <c r="EB7" s="40" t="s">
        <v>236</v>
      </c>
      <c r="EC7" s="41" t="s">
        <v>240</v>
      </c>
      <c r="ED7" s="41" t="s">
        <v>107</v>
      </c>
      <c r="EE7" s="41" t="s">
        <v>240</v>
      </c>
      <c r="EF7" s="41" t="s">
        <v>87</v>
      </c>
      <c r="EG7" s="41" t="s">
        <v>108</v>
      </c>
      <c r="EH7" s="41" t="s">
        <v>100</v>
      </c>
      <c r="EI7" s="243" t="s">
        <v>116</v>
      </c>
      <c r="EJ7" s="41" t="s">
        <v>110</v>
      </c>
      <c r="EK7" s="41" t="s">
        <v>240</v>
      </c>
      <c r="EL7" s="41" t="s">
        <v>87</v>
      </c>
      <c r="EM7" s="41" t="s">
        <v>108</v>
      </c>
      <c r="EN7" s="41" t="s">
        <v>100</v>
      </c>
      <c r="EO7" s="243" t="s">
        <v>116</v>
      </c>
      <c r="EP7" s="41" t="s">
        <v>111</v>
      </c>
      <c r="EQ7" s="41" t="s">
        <v>240</v>
      </c>
      <c r="ER7" s="41" t="s">
        <v>87</v>
      </c>
      <c r="ES7" s="41" t="s">
        <v>108</v>
      </c>
      <c r="ET7" s="41" t="s">
        <v>100</v>
      </c>
      <c r="EU7" s="243" t="s">
        <v>116</v>
      </c>
      <c r="EV7" s="41" t="s">
        <v>112</v>
      </c>
      <c r="EW7" s="41" t="s">
        <v>240</v>
      </c>
      <c r="EX7" s="41" t="s">
        <v>87</v>
      </c>
      <c r="EY7" s="41" t="s">
        <v>108</v>
      </c>
      <c r="EZ7" s="41" t="s">
        <v>100</v>
      </c>
      <c r="FA7" s="243" t="s">
        <v>116</v>
      </c>
      <c r="FB7" s="41" t="s">
        <v>113</v>
      </c>
      <c r="FC7" s="41" t="s">
        <v>114</v>
      </c>
      <c r="FD7" s="41" t="s">
        <v>230</v>
      </c>
      <c r="FE7" s="41" t="s">
        <v>129</v>
      </c>
      <c r="FF7" s="196" t="s">
        <v>229</v>
      </c>
      <c r="FG7" s="196" t="s">
        <v>103</v>
      </c>
      <c r="FH7" s="41" t="s">
        <v>100</v>
      </c>
      <c r="FI7" s="243" t="s">
        <v>116</v>
      </c>
      <c r="FJ7" s="244" t="s">
        <v>116</v>
      </c>
      <c r="FK7" s="41" t="s">
        <v>236</v>
      </c>
      <c r="FL7" s="41" t="s">
        <v>117</v>
      </c>
      <c r="FM7" s="41" t="s">
        <v>111</v>
      </c>
      <c r="FN7" s="41" t="s">
        <v>240</v>
      </c>
      <c r="FO7" s="243" t="s">
        <v>87</v>
      </c>
      <c r="FP7" s="41" t="s">
        <v>108</v>
      </c>
      <c r="FQ7" s="41" t="s">
        <v>100</v>
      </c>
      <c r="FR7" s="243" t="s">
        <v>117</v>
      </c>
      <c r="FS7" s="41" t="s">
        <v>112</v>
      </c>
      <c r="FT7" s="41" t="s">
        <v>240</v>
      </c>
      <c r="FU7" s="41" t="s">
        <v>87</v>
      </c>
      <c r="FV7" s="41" t="s">
        <v>108</v>
      </c>
      <c r="FW7" s="41" t="s">
        <v>100</v>
      </c>
      <c r="FX7" s="243" t="s">
        <v>117</v>
      </c>
      <c r="FY7" s="41" t="s">
        <v>237</v>
      </c>
      <c r="FZ7" s="41" t="s">
        <v>240</v>
      </c>
      <c r="GA7" s="41" t="s">
        <v>87</v>
      </c>
      <c r="GB7" s="41" t="s">
        <v>108</v>
      </c>
      <c r="GC7" s="41" t="s">
        <v>100</v>
      </c>
      <c r="GD7" s="243" t="s">
        <v>117</v>
      </c>
      <c r="GE7" s="41" t="s">
        <v>238</v>
      </c>
      <c r="GF7" s="41" t="s">
        <v>240</v>
      </c>
      <c r="GG7" s="41" t="s">
        <v>87</v>
      </c>
      <c r="GH7" s="41" t="s">
        <v>108</v>
      </c>
      <c r="GI7" s="41" t="s">
        <v>100</v>
      </c>
      <c r="GJ7" s="243" t="s">
        <v>117</v>
      </c>
      <c r="GK7" s="197" t="s">
        <v>117</v>
      </c>
      <c r="GL7" s="245" t="s">
        <v>41</v>
      </c>
      <c r="GM7" s="246" t="s">
        <v>201</v>
      </c>
      <c r="GN7" s="247" t="s">
        <v>200</v>
      </c>
      <c r="GO7" s="1" t="s">
        <v>48</v>
      </c>
      <c r="GQ7" s="2"/>
      <c r="GR7" s="1" t="s">
        <v>122</v>
      </c>
      <c r="GS7" s="1" t="s">
        <v>123</v>
      </c>
      <c r="GT7" s="1" t="s">
        <v>29</v>
      </c>
      <c r="GU7" s="1" t="s">
        <v>28</v>
      </c>
      <c r="GV7" s="1" t="s">
        <v>35</v>
      </c>
      <c r="GW7" s="1" t="s">
        <v>48</v>
      </c>
      <c r="GX7" s="1" t="s">
        <v>47</v>
      </c>
      <c r="GY7" s="1" t="s">
        <v>31</v>
      </c>
      <c r="GZ7" s="1" t="s">
        <v>32</v>
      </c>
      <c r="HA7" s="1" t="s">
        <v>30</v>
      </c>
      <c r="HB7" s="3" t="s">
        <v>33</v>
      </c>
      <c r="HC7" s="3" t="s">
        <v>34</v>
      </c>
      <c r="HD7" s="3" t="s">
        <v>46</v>
      </c>
      <c r="HE7" s="3" t="s">
        <v>45</v>
      </c>
      <c r="HF7" s="3" t="s">
        <v>249</v>
      </c>
      <c r="HG7" s="3" t="s">
        <v>60</v>
      </c>
      <c r="HH7" s="2"/>
      <c r="HI7" s="1" t="s">
        <v>122</v>
      </c>
      <c r="HJ7" s="1" t="s">
        <v>123</v>
      </c>
      <c r="HK7" s="1" t="s">
        <v>29</v>
      </c>
      <c r="HL7" s="1" t="s">
        <v>225</v>
      </c>
      <c r="HM7" s="1" t="s">
        <v>226</v>
      </c>
      <c r="HN7" s="1" t="s">
        <v>28</v>
      </c>
      <c r="HO7" s="1" t="s">
        <v>35</v>
      </c>
      <c r="HP7" s="1" t="s">
        <v>48</v>
      </c>
      <c r="HQ7" s="1" t="s">
        <v>47</v>
      </c>
      <c r="HR7" s="1" t="s">
        <v>31</v>
      </c>
      <c r="HS7" s="1" t="s">
        <v>32</v>
      </c>
      <c r="HT7" s="1" t="s">
        <v>30</v>
      </c>
      <c r="HU7" s="3" t="s">
        <v>33</v>
      </c>
      <c r="HV7" s="3" t="s">
        <v>34</v>
      </c>
      <c r="HW7" s="3" t="s">
        <v>46</v>
      </c>
      <c r="HX7" s="3" t="s">
        <v>45</v>
      </c>
      <c r="HY7" s="3" t="s">
        <v>249</v>
      </c>
      <c r="HZ7" s="3" t="s">
        <v>60</v>
      </c>
      <c r="IA7" s="4"/>
      <c r="IB7" s="3" t="s">
        <v>50</v>
      </c>
      <c r="IC7" s="3" t="s">
        <v>183</v>
      </c>
      <c r="ID7" s="4"/>
      <c r="IE7" s="1" t="s">
        <v>42</v>
      </c>
      <c r="IF7" s="3" t="s">
        <v>43</v>
      </c>
      <c r="IG7" s="1" t="s">
        <v>44</v>
      </c>
      <c r="IH7" s="1" t="s">
        <v>204</v>
      </c>
      <c r="II7" s="1" t="s">
        <v>205</v>
      </c>
      <c r="IJ7" s="1" t="s">
        <v>59</v>
      </c>
      <c r="IK7" s="1" t="s">
        <v>41</v>
      </c>
      <c r="IL7" s="3" t="s">
        <v>184</v>
      </c>
      <c r="IM7" s="3" t="s">
        <v>185</v>
      </c>
      <c r="IN7" s="2"/>
      <c r="IO7" s="5" t="s">
        <v>52</v>
      </c>
      <c r="IP7" s="5" t="s">
        <v>53</v>
      </c>
      <c r="IQ7" s="5" t="s">
        <v>51</v>
      </c>
      <c r="IR7" s="5" t="s">
        <v>188</v>
      </c>
      <c r="IS7" s="5" t="s">
        <v>54</v>
      </c>
      <c r="IT7" s="5" t="s">
        <v>51</v>
      </c>
      <c r="IU7" s="5" t="s">
        <v>188</v>
      </c>
      <c r="IV7" s="5" t="s">
        <v>54</v>
      </c>
      <c r="IW7" s="2"/>
      <c r="IX7" s="5" t="s">
        <v>55</v>
      </c>
      <c r="IY7" s="5" t="s">
        <v>122</v>
      </c>
      <c r="IZ7" s="5" t="s">
        <v>28</v>
      </c>
      <c r="JA7" s="5" t="s">
        <v>57</v>
      </c>
      <c r="JB7" s="5" t="s">
        <v>61</v>
      </c>
      <c r="JC7" s="5" t="s">
        <v>62</v>
      </c>
      <c r="JD7" s="5" t="s">
        <v>227</v>
      </c>
      <c r="JE7" s="5" t="s">
        <v>228</v>
      </c>
      <c r="JF7" s="5" t="s">
        <v>63</v>
      </c>
      <c r="JG7" s="5" t="s">
        <v>56</v>
      </c>
      <c r="JH7" s="5" t="s">
        <v>8</v>
      </c>
      <c r="JI7" s="5" t="s">
        <v>64</v>
      </c>
    </row>
    <row r="8" spans="1:273" s="46" customFormat="1" x14ac:dyDescent="0.25">
      <c r="E8" s="46" t="s">
        <v>11</v>
      </c>
      <c r="F8" s="46" t="s">
        <v>11</v>
      </c>
      <c r="G8" s="46" t="s">
        <v>11</v>
      </c>
      <c r="H8" s="46" t="s">
        <v>38</v>
      </c>
      <c r="I8" s="46" t="s">
        <v>38</v>
      </c>
      <c r="J8" s="46" t="s">
        <v>38</v>
      </c>
      <c r="K8" s="46" t="s">
        <v>38</v>
      </c>
      <c r="L8" s="46" t="s">
        <v>171</v>
      </c>
      <c r="O8" s="46" t="s">
        <v>10</v>
      </c>
      <c r="P8" s="46" t="s">
        <v>10</v>
      </c>
      <c r="Q8" s="46" t="s">
        <v>38</v>
      </c>
      <c r="R8" s="46" t="s">
        <v>38</v>
      </c>
      <c r="T8" s="46" t="s">
        <v>9</v>
      </c>
      <c r="V8" s="46" t="s">
        <v>58</v>
      </c>
      <c r="W8" s="46" t="s">
        <v>58</v>
      </c>
      <c r="AC8" s="46" t="s">
        <v>38</v>
      </c>
      <c r="AD8" s="46" t="s">
        <v>38</v>
      </c>
      <c r="AE8" s="46" t="s">
        <v>38</v>
      </c>
      <c r="AF8" s="46" t="s">
        <v>37</v>
      </c>
      <c r="AG8" s="46" t="s">
        <v>126</v>
      </c>
      <c r="AJ8" s="46" t="s">
        <v>10</v>
      </c>
      <c r="AK8" s="46" t="s">
        <v>10</v>
      </c>
      <c r="AL8" s="46" t="s">
        <v>38</v>
      </c>
      <c r="AM8" s="46" t="s">
        <v>38</v>
      </c>
      <c r="AN8" s="46" t="s">
        <v>38</v>
      </c>
      <c r="AO8" s="46" t="s">
        <v>38</v>
      </c>
      <c r="AP8" s="46" t="s">
        <v>9</v>
      </c>
      <c r="AQ8" s="46" t="s">
        <v>9</v>
      </c>
      <c r="AR8" s="46" t="s">
        <v>37</v>
      </c>
      <c r="AT8" s="46" t="s">
        <v>222</v>
      </c>
      <c r="AU8" s="46" t="s">
        <v>39</v>
      </c>
      <c r="AV8" s="46" t="s">
        <v>40</v>
      </c>
      <c r="AX8" s="46" t="s">
        <v>39</v>
      </c>
      <c r="AY8" s="46" t="s">
        <v>38</v>
      </c>
      <c r="AZ8" s="46" t="s">
        <v>38</v>
      </c>
      <c r="BB8" s="46" t="s">
        <v>40</v>
      </c>
      <c r="BC8" s="46" t="s">
        <v>40</v>
      </c>
      <c r="BD8" s="46" t="s">
        <v>38</v>
      </c>
      <c r="BE8" s="46" t="s">
        <v>38</v>
      </c>
      <c r="BF8" s="114" t="s">
        <v>38</v>
      </c>
      <c r="BG8" s="191" t="s">
        <v>38</v>
      </c>
      <c r="BH8" s="46" t="s">
        <v>38</v>
      </c>
      <c r="BI8" s="46" t="s">
        <v>38</v>
      </c>
      <c r="BJ8" s="46" t="s">
        <v>38</v>
      </c>
      <c r="BK8" s="46" t="s">
        <v>38</v>
      </c>
      <c r="BL8" s="46" t="s">
        <v>38</v>
      </c>
      <c r="BM8" s="46" t="s">
        <v>38</v>
      </c>
      <c r="BN8" s="46" t="s">
        <v>38</v>
      </c>
      <c r="BO8" s="46" t="s">
        <v>38</v>
      </c>
      <c r="BP8" s="46" t="s">
        <v>88</v>
      </c>
      <c r="BQ8" s="46" t="s">
        <v>49</v>
      </c>
      <c r="BR8" s="46" t="s">
        <v>39</v>
      </c>
      <c r="BS8" s="46" t="s">
        <v>38</v>
      </c>
      <c r="BT8" s="46" t="s">
        <v>38</v>
      </c>
      <c r="BU8" s="46" t="s">
        <v>88</v>
      </c>
      <c r="BV8" s="46" t="s">
        <v>49</v>
      </c>
      <c r="BW8" s="192" t="s">
        <v>39</v>
      </c>
      <c r="BX8" s="46" t="s">
        <v>39</v>
      </c>
      <c r="BY8" s="46" t="s">
        <v>49</v>
      </c>
      <c r="CC8" s="46" t="s">
        <v>10</v>
      </c>
      <c r="CE8" s="46" t="s">
        <v>38</v>
      </c>
      <c r="CF8" s="46" t="s">
        <v>38</v>
      </c>
      <c r="CG8" s="46" t="s">
        <v>38</v>
      </c>
      <c r="CH8" s="46" t="s">
        <v>37</v>
      </c>
      <c r="CI8" s="46" t="s">
        <v>38</v>
      </c>
      <c r="CJ8" s="46" t="s">
        <v>38</v>
      </c>
      <c r="CK8" s="46" t="s">
        <v>38</v>
      </c>
      <c r="CL8" s="46" t="s">
        <v>37</v>
      </c>
      <c r="CN8" s="46" t="s">
        <v>37</v>
      </c>
      <c r="CO8" s="46" t="s">
        <v>126</v>
      </c>
      <c r="CP8" s="46" t="s">
        <v>38</v>
      </c>
      <c r="CQ8" s="46" t="s">
        <v>38</v>
      </c>
      <c r="CR8" s="46" t="s">
        <v>38</v>
      </c>
      <c r="CS8" s="46" t="s">
        <v>171</v>
      </c>
      <c r="CV8" s="191" t="s">
        <v>38</v>
      </c>
      <c r="CW8" s="46" t="s">
        <v>38</v>
      </c>
      <c r="CX8" s="46" t="s">
        <v>38</v>
      </c>
      <c r="CY8" s="46" t="s">
        <v>38</v>
      </c>
      <c r="CZ8" s="46" t="s">
        <v>38</v>
      </c>
      <c r="DA8" s="46" t="s">
        <v>38</v>
      </c>
      <c r="DB8" s="46" t="s">
        <v>38</v>
      </c>
      <c r="DC8" s="46" t="s">
        <v>38</v>
      </c>
      <c r="DD8" s="46" t="s">
        <v>38</v>
      </c>
      <c r="DE8" s="46" t="s">
        <v>38</v>
      </c>
      <c r="DF8" s="46" t="s">
        <v>38</v>
      </c>
      <c r="DG8" s="46" t="s">
        <v>38</v>
      </c>
      <c r="DH8" s="46" t="s">
        <v>38</v>
      </c>
      <c r="DL8" s="46" t="s">
        <v>152</v>
      </c>
      <c r="DM8" s="46" t="s">
        <v>152</v>
      </c>
      <c r="DN8" s="46" t="s">
        <v>152</v>
      </c>
      <c r="DO8" s="46" t="s">
        <v>151</v>
      </c>
      <c r="DP8" s="46" t="s">
        <v>151</v>
      </c>
      <c r="DQ8" s="192" t="s">
        <v>151</v>
      </c>
      <c r="DR8" s="46" t="s">
        <v>49</v>
      </c>
      <c r="DU8" s="21"/>
      <c r="DV8" s="21" t="s">
        <v>11</v>
      </c>
      <c r="DW8" s="21" t="s">
        <v>38</v>
      </c>
      <c r="DX8" s="21" t="s">
        <v>38</v>
      </c>
      <c r="DY8" s="21" t="s">
        <v>39</v>
      </c>
      <c r="DZ8" s="46" t="s">
        <v>49</v>
      </c>
      <c r="EB8" s="191"/>
      <c r="EF8" s="46" t="s">
        <v>37</v>
      </c>
      <c r="EH8" s="46" t="s">
        <v>38</v>
      </c>
      <c r="EI8" s="48" t="s">
        <v>49</v>
      </c>
      <c r="EL8" s="46" t="s">
        <v>37</v>
      </c>
      <c r="EN8" s="46" t="s">
        <v>38</v>
      </c>
      <c r="EO8" s="48" t="s">
        <v>49</v>
      </c>
      <c r="ER8" s="46" t="s">
        <v>37</v>
      </c>
      <c r="ET8" s="46" t="s">
        <v>38</v>
      </c>
      <c r="EU8" s="48" t="s">
        <v>49</v>
      </c>
      <c r="EX8" s="46" t="s">
        <v>37</v>
      </c>
      <c r="EZ8" s="46" t="s">
        <v>38</v>
      </c>
      <c r="FA8" s="48" t="s">
        <v>49</v>
      </c>
      <c r="FC8" s="46" t="s">
        <v>37</v>
      </c>
      <c r="FD8" s="46" t="s">
        <v>37</v>
      </c>
      <c r="FE8" s="46" t="s">
        <v>38</v>
      </c>
      <c r="FF8" s="46" t="s">
        <v>231</v>
      </c>
      <c r="FG8" s="46" t="s">
        <v>233</v>
      </c>
      <c r="FH8" s="46" t="s">
        <v>38</v>
      </c>
      <c r="FI8" s="48" t="s">
        <v>49</v>
      </c>
      <c r="FJ8" s="48"/>
      <c r="FL8" s="46" t="s">
        <v>49</v>
      </c>
      <c r="FO8" s="48" t="s">
        <v>37</v>
      </c>
      <c r="FQ8" s="46" t="s">
        <v>38</v>
      </c>
      <c r="FR8" s="48" t="s">
        <v>49</v>
      </c>
      <c r="FU8" s="46" t="s">
        <v>37</v>
      </c>
      <c r="FW8" s="46" t="s">
        <v>38</v>
      </c>
      <c r="FX8" s="48" t="s">
        <v>49</v>
      </c>
      <c r="GA8" s="46" t="s">
        <v>37</v>
      </c>
      <c r="GC8" s="46" t="s">
        <v>38</v>
      </c>
      <c r="GD8" s="48" t="s">
        <v>49</v>
      </c>
      <c r="GG8" s="46" t="s">
        <v>37</v>
      </c>
      <c r="GI8" s="46" t="s">
        <v>38</v>
      </c>
      <c r="GJ8" s="48" t="s">
        <v>49</v>
      </c>
      <c r="GK8" s="46" t="s">
        <v>49</v>
      </c>
      <c r="GL8" s="21" t="s">
        <v>171</v>
      </c>
      <c r="GM8" s="46" t="s">
        <v>202</v>
      </c>
      <c r="GN8" s="192" t="s">
        <v>202</v>
      </c>
      <c r="GO8" s="46" t="s">
        <v>49</v>
      </c>
      <c r="GQ8" s="67"/>
      <c r="GR8" s="46" t="s">
        <v>203</v>
      </c>
      <c r="GS8" s="46" t="s">
        <v>203</v>
      </c>
      <c r="GT8" s="46" t="s">
        <v>38</v>
      </c>
      <c r="GU8" s="46" t="s">
        <v>38</v>
      </c>
      <c r="GV8" s="46" t="s">
        <v>38</v>
      </c>
      <c r="GW8" s="46" t="s">
        <v>49</v>
      </c>
      <c r="GX8" s="46" t="s">
        <v>49</v>
      </c>
      <c r="GY8" s="46" t="s">
        <v>49</v>
      </c>
      <c r="GZ8" s="46" t="s">
        <v>39</v>
      </c>
      <c r="HA8" s="46" t="s">
        <v>49</v>
      </c>
      <c r="HB8" s="114" t="s">
        <v>40</v>
      </c>
      <c r="HC8" s="114" t="s">
        <v>40</v>
      </c>
      <c r="HD8" s="114" t="s">
        <v>38</v>
      </c>
      <c r="HE8" s="114" t="s">
        <v>38</v>
      </c>
      <c r="HF8" s="114" t="s">
        <v>40</v>
      </c>
      <c r="HG8" s="114" t="s">
        <v>38</v>
      </c>
      <c r="HH8" s="67"/>
      <c r="HI8" s="46" t="s">
        <v>203</v>
      </c>
      <c r="HJ8" s="46" t="s">
        <v>203</v>
      </c>
      <c r="HK8" s="46" t="s">
        <v>38</v>
      </c>
      <c r="HN8" s="46" t="s">
        <v>38</v>
      </c>
      <c r="HO8" s="46" t="s">
        <v>38</v>
      </c>
      <c r="HP8" s="46" t="s">
        <v>49</v>
      </c>
      <c r="HQ8" s="46" t="s">
        <v>49</v>
      </c>
      <c r="HR8" s="46" t="s">
        <v>49</v>
      </c>
      <c r="HS8" s="46" t="s">
        <v>39</v>
      </c>
      <c r="HT8" s="46" t="s">
        <v>49</v>
      </c>
      <c r="HU8" s="114" t="s">
        <v>40</v>
      </c>
      <c r="HV8" s="114" t="s">
        <v>40</v>
      </c>
      <c r="HW8" s="114" t="s">
        <v>38</v>
      </c>
      <c r="HX8" s="114" t="s">
        <v>38</v>
      </c>
      <c r="HY8" s="114" t="s">
        <v>40</v>
      </c>
      <c r="HZ8" s="114" t="s">
        <v>38</v>
      </c>
      <c r="IA8" s="115"/>
      <c r="IB8" s="114" t="s">
        <v>40</v>
      </c>
      <c r="IC8" s="114" t="s">
        <v>49</v>
      </c>
      <c r="ID8" s="115"/>
      <c r="IE8" s="46" t="s">
        <v>58</v>
      </c>
      <c r="IF8" s="46" t="s">
        <v>58</v>
      </c>
      <c r="IG8" s="46" t="s">
        <v>58</v>
      </c>
      <c r="IJ8" s="46" t="s">
        <v>58</v>
      </c>
      <c r="IK8" s="46" t="s">
        <v>40</v>
      </c>
      <c r="IL8" s="46" t="s">
        <v>40</v>
      </c>
      <c r="IM8" s="46" t="s">
        <v>40</v>
      </c>
      <c r="IN8" s="67"/>
      <c r="IW8" s="67"/>
      <c r="IY8" s="46" t="s">
        <v>203</v>
      </c>
      <c r="IZ8" s="46" t="s">
        <v>109</v>
      </c>
      <c r="JA8" s="46" t="s">
        <v>11</v>
      </c>
      <c r="JB8" s="116" t="s">
        <v>11</v>
      </c>
      <c r="JC8" s="116" t="s">
        <v>11</v>
      </c>
      <c r="JD8" s="116" t="s">
        <v>39</v>
      </c>
      <c r="JE8" s="116" t="s">
        <v>39</v>
      </c>
      <c r="JF8" s="116" t="s">
        <v>39</v>
      </c>
      <c r="JG8" s="46" t="s">
        <v>11</v>
      </c>
    </row>
    <row r="9" spans="1:273" s="63" customFormat="1" hidden="1" x14ac:dyDescent="0.25">
      <c r="A9" s="63" t="s">
        <v>189</v>
      </c>
      <c r="D9" s="63" t="s">
        <v>84</v>
      </c>
      <c r="E9" s="216"/>
      <c r="F9" s="136">
        <f>X9</f>
        <v>2035.6875000000002</v>
      </c>
      <c r="G9" s="136" t="s">
        <v>58</v>
      </c>
      <c r="H9" s="63">
        <v>6460</v>
      </c>
      <c r="I9" s="63">
        <v>1050</v>
      </c>
      <c r="J9" s="68">
        <f>I9+300</f>
        <v>1350</v>
      </c>
      <c r="K9" s="63">
        <v>1050</v>
      </c>
      <c r="L9" s="63">
        <v>35.54</v>
      </c>
      <c r="M9" s="63" t="s">
        <v>95</v>
      </c>
      <c r="N9" s="63" t="s">
        <v>94</v>
      </c>
      <c r="O9" s="62">
        <v>235</v>
      </c>
      <c r="Q9" s="63">
        <v>125</v>
      </c>
      <c r="R9" s="63">
        <v>125</v>
      </c>
      <c r="S9" s="63">
        <v>25</v>
      </c>
      <c r="T9" s="62">
        <f t="shared" ref="T9:T14" si="0">Q9*S9+(R9-S9)*S9</f>
        <v>5625</v>
      </c>
      <c r="U9" s="62">
        <f>T9*O9/10^3</f>
        <v>1321.875</v>
      </c>
      <c r="V9" s="138">
        <v>1.1000000000000001</v>
      </c>
      <c r="W9" s="138">
        <v>1.4</v>
      </c>
      <c r="X9" s="62">
        <f t="shared" ref="X9:X14" si="1">T9*O9*V9*W9/10^3</f>
        <v>2035.6875000000002</v>
      </c>
      <c r="Y9" s="63" t="s">
        <v>91</v>
      </c>
      <c r="Z9" s="63" t="s">
        <v>93</v>
      </c>
      <c r="AA9" s="68">
        <v>245</v>
      </c>
      <c r="AB9" s="68">
        <v>400</v>
      </c>
      <c r="AC9" s="63">
        <v>250</v>
      </c>
      <c r="AD9" s="63">
        <v>250</v>
      </c>
      <c r="AE9" s="63">
        <v>6</v>
      </c>
      <c r="AF9" s="139">
        <f t="shared" ref="AF9:AF15" si="2">IF(Y9="RHS",(AD9*AC9^3-(AD9-2*AE9)*(AC9-2*AE9)^3)/12,IF(Y9="CHS",PI()*(AC9^4-(AC9-2*AE9)^4)/64,#N/A))</f>
        <v>58142272</v>
      </c>
      <c r="AG9" s="73">
        <f t="shared" ref="AG9:AG14" si="3">$C$2*AF9</f>
        <v>11919165760000</v>
      </c>
      <c r="AH9" s="63" t="s">
        <v>95</v>
      </c>
      <c r="AI9" s="63" t="s">
        <v>94</v>
      </c>
      <c r="AJ9" s="62">
        <f>O9</f>
        <v>235</v>
      </c>
      <c r="AK9" s="137"/>
      <c r="AL9" s="63">
        <v>200</v>
      </c>
      <c r="AM9" s="63">
        <v>200</v>
      </c>
      <c r="AN9" s="63">
        <v>25</v>
      </c>
      <c r="AO9" s="63">
        <v>25</v>
      </c>
      <c r="AP9" s="63">
        <f t="shared" ref="AP9:AP14" si="4">AN9*AL9+(AM9-AN9)*AO9</f>
        <v>9375</v>
      </c>
      <c r="AQ9" s="63">
        <f t="shared" ref="AQ9:AQ14" si="5">AM9*AO9</f>
        <v>5000</v>
      </c>
      <c r="AR9" s="63">
        <f t="shared" ref="AR9:AR14" si="6">(AN9*AL9^3-(AM9-AN9)*AO9^3)/12</f>
        <v>16438802.083333334</v>
      </c>
      <c r="AT9" s="62">
        <f>(AN9*AL9^2+(AM9-AN9)*AN9^2)/4</f>
        <v>277343.75</v>
      </c>
      <c r="AU9" s="140">
        <f>AT9*AJ9/10^6</f>
        <v>65.17578125</v>
      </c>
      <c r="AV9" s="199">
        <f t="shared" ref="AV9:AV34" si="7">F9/(AJ9*AP9/10^3)</f>
        <v>0.92400000000000015</v>
      </c>
      <c r="AW9" s="199">
        <f t="shared" ref="AW9:AW14" si="8">((F9-AQ9*AJ9/10^3)/(AP9*AJ9/10^3-AQ9*AJ9/10^3))^2</f>
        <v>0.70080816326530659</v>
      </c>
      <c r="AX9" s="140">
        <f>AU9*(1-MIN(AV9:AW9))</f>
        <v>19.500061702806093</v>
      </c>
      <c r="AY9" s="63">
        <v>200</v>
      </c>
      <c r="AZ9" s="63" t="s">
        <v>58</v>
      </c>
      <c r="BA9" s="140">
        <f t="shared" ref="BA9:BA14" si="9">MIN(AY9:AZ9)/AL9</f>
        <v>1</v>
      </c>
      <c r="BB9" s="141">
        <v>0.01</v>
      </c>
      <c r="BC9" s="142">
        <f t="shared" ref="BC9:BC34" si="10">1/2000</f>
        <v>5.0000000000000001E-4</v>
      </c>
      <c r="BD9" s="63">
        <v>2</v>
      </c>
      <c r="BE9" s="137">
        <v>1</v>
      </c>
      <c r="BF9" s="140">
        <f t="shared" ref="BF9:BF34" si="11">BD9+H9*BC9+2*BE9/AY9*K9+BE9</f>
        <v>16.73</v>
      </c>
      <c r="BG9" s="193">
        <f>AA9</f>
        <v>245</v>
      </c>
      <c r="BH9" s="63">
        <f>AD9</f>
        <v>250</v>
      </c>
      <c r="BI9" s="63">
        <f>AE9</f>
        <v>6</v>
      </c>
      <c r="BJ9" s="63">
        <f>AL9</f>
        <v>200</v>
      </c>
      <c r="BK9" s="63">
        <f>AM9</f>
        <v>200</v>
      </c>
      <c r="BL9" s="63">
        <f>MIN(AY9:AZ9)</f>
        <v>200</v>
      </c>
      <c r="BM9" s="62">
        <f>(BH9-BK9)/2</f>
        <v>25</v>
      </c>
      <c r="BN9" s="62">
        <f>SQRT(BM9*(BH9-BM9)-BI9*(BH9-BI9))</f>
        <v>64.505813691480554</v>
      </c>
      <c r="BO9" s="62">
        <f>SQRT((PI()*BH9*BG9/4/$C$2+BH9/2*ACOS((BH9-2*BM9)/(BH9-2*BI9)))^2-BM9^2)</f>
        <v>67.35647220054048</v>
      </c>
      <c r="BP9" s="142">
        <f>(BO9-BN9)/BL9</f>
        <v>1.4253292545299629E-2</v>
      </c>
      <c r="BQ9" s="136">
        <f>2*BG9*BI9*BL9^3/(3*SQRT(BM9^2+BO9^2))*BO9/(BO9-SQRT(BM9*(BH9-BM9)-BI9*(BH9-BI9)))/10^6</f>
        <v>2578.3724095857092</v>
      </c>
      <c r="BR9" s="136">
        <f>BQ9*BP9</f>
        <v>36.750296244554228</v>
      </c>
      <c r="BS9" s="62">
        <f>(BH9-BK9)/4</f>
        <v>12.5</v>
      </c>
      <c r="BT9" s="138">
        <f>0.00164*BG9/$C$2*BH9/BI9*BJ9</f>
        <v>1.6333333333333335E-2</v>
      </c>
      <c r="BU9" s="142">
        <f>BT9/BL9</f>
        <v>8.1666666666666682E-5</v>
      </c>
      <c r="BV9" s="136">
        <f>$C$2*BH9*BI9^3*BL9^3/(6*BH9*BS9^3-9*BS9^4)/10^6</f>
        <v>32679.437837837839</v>
      </c>
      <c r="BW9" s="202">
        <f>BU9*BV9</f>
        <v>2.6688207567567575</v>
      </c>
      <c r="BX9" s="136">
        <f>IF(Y9="RHS",BW9,IF(Y9="CHS",BR9,#N/A))</f>
        <v>2.6688207567567575</v>
      </c>
      <c r="BY9" s="136">
        <f>IF(Y9="RHS",BV9,IF(Y9="CHS",BQ9,#N/A))</f>
        <v>32679.437837837839</v>
      </c>
      <c r="CA9" s="63" t="s">
        <v>95</v>
      </c>
      <c r="CB9" s="63" t="s">
        <v>94</v>
      </c>
      <c r="CC9" s="137">
        <f>AC9</f>
        <v>250</v>
      </c>
      <c r="CD9" s="137"/>
      <c r="CE9" s="63">
        <v>250</v>
      </c>
      <c r="CF9" s="63">
        <v>250</v>
      </c>
      <c r="CG9" s="63">
        <v>25</v>
      </c>
      <c r="CH9" s="82">
        <f t="shared" ref="CH9:CH15" si="12">(CG9*CE9^3-(CF9-CG9)*CG9^3)/12</f>
        <v>32259114.583333332</v>
      </c>
      <c r="CI9" s="63">
        <v>80</v>
      </c>
      <c r="CJ9" s="63">
        <v>80</v>
      </c>
      <c r="CK9" s="63">
        <v>12</v>
      </c>
      <c r="CL9" s="82">
        <f t="shared" ref="CL9:CL15" si="13">((2*CK9)*CE9^3-(2*CK9)*(2*CK9+CG9)^3+(2*CJ9)*(2*CK9+CG9)^3-(2*CJ9)*CG9^3)/12</f>
        <v>32375022</v>
      </c>
      <c r="CM9" s="82" t="s">
        <v>169</v>
      </c>
      <c r="CN9" s="143">
        <f t="shared" ref="CN9:CN15" si="14">CH9+IF(LOWER(CM9)="yes",CL9,IF(LOWER(CM9)="no",0,#N/A))</f>
        <v>32259114.583333332</v>
      </c>
      <c r="CO9" s="73">
        <f t="shared" ref="CO9:CO14" si="15">$C$2*CN9</f>
        <v>6613118489583.333</v>
      </c>
      <c r="CP9" s="63">
        <v>0</v>
      </c>
      <c r="CQ9" s="63">
        <v>0</v>
      </c>
      <c r="CR9" s="63">
        <v>437</v>
      </c>
      <c r="CS9" s="63">
        <v>0</v>
      </c>
      <c r="CV9" s="193">
        <v>25</v>
      </c>
      <c r="CW9" s="63">
        <v>280</v>
      </c>
      <c r="CX9" s="63">
        <v>382</v>
      </c>
      <c r="CY9" s="63">
        <v>421</v>
      </c>
      <c r="CZ9" s="159">
        <f>$CV9</f>
        <v>25</v>
      </c>
      <c r="DA9" s="63">
        <v>394</v>
      </c>
      <c r="DB9" s="63">
        <v>271</v>
      </c>
      <c r="DC9" s="63">
        <v>424</v>
      </c>
      <c r="DD9" s="159">
        <f>$CV9</f>
        <v>25</v>
      </c>
      <c r="DE9" s="63">
        <v>442</v>
      </c>
      <c r="DF9" s="63">
        <v>267</v>
      </c>
      <c r="DG9" s="63">
        <v>416</v>
      </c>
      <c r="DH9" s="159">
        <f>$CV9</f>
        <v>25</v>
      </c>
      <c r="DI9" s="81">
        <f t="shared" ref="DI9:DI14" si="16">2*CW9/(CX9+CY9)</f>
        <v>0.69738480697384808</v>
      </c>
      <c r="DJ9" s="81">
        <f t="shared" ref="DJ9:DJ14" si="17">2*DA9/(DB9+DC9)</f>
        <v>1.1338129496402878</v>
      </c>
      <c r="DK9" s="81">
        <f t="shared" ref="DK9:DK14" si="18">2*DE9/(DF9+DG9)</f>
        <v>1.2942898975109809</v>
      </c>
      <c r="DL9" s="82">
        <f t="shared" ref="DL9:DL14" si="19">$C$2*CZ9^3/(12*(1-0.3^2))</f>
        <v>293326465.20146519</v>
      </c>
      <c r="DM9" s="82">
        <f t="shared" ref="DM9:DM14" si="20">$C$2*DD9^3/(12*(1-0.3^2))</f>
        <v>293326465.20146519</v>
      </c>
      <c r="DN9" s="82">
        <f t="shared" ref="DN9:DN14" si="21">$C$2*DH9^3/(12*(1-0.3^2))</f>
        <v>293326465.20146519</v>
      </c>
      <c r="DO9" s="62">
        <f t="shared" ref="DO9:DO15" si="22">DI9*DL9*(SQRT(DA9^2-CX9^2)/(CW9*CX9)+SQRT(DE9^2-CY9^2)/(CW9*CY9))^2</f>
        <v>854.82641490982064</v>
      </c>
      <c r="DP9" s="62">
        <f t="shared" ref="DP9:DP14" si="23">DJ9*DM9/DB9^2</f>
        <v>4528.4969528959637</v>
      </c>
      <c r="DQ9" s="230">
        <f t="shared" ref="DQ9:DQ14" si="24">DK9*DN9/DF9^2</f>
        <v>5325.4987527228977</v>
      </c>
      <c r="DR9" s="136">
        <f t="shared" ref="DR9:DR34" si="25">K9^2*SUM(DO9:DQ9)/10^6</f>
        <v>11806.476387882874</v>
      </c>
      <c r="DS9" s="136"/>
      <c r="DT9" s="136"/>
      <c r="DU9" s="216"/>
      <c r="DV9" s="216"/>
      <c r="DW9" s="216"/>
      <c r="DX9" s="216"/>
      <c r="DY9" s="216"/>
      <c r="DZ9" s="136"/>
      <c r="EA9" s="136"/>
      <c r="EB9" s="193" t="s">
        <v>169</v>
      </c>
      <c r="EC9" s="73"/>
      <c r="ED9" s="63" t="s">
        <v>195</v>
      </c>
      <c r="EF9" s="63">
        <v>128000000</v>
      </c>
      <c r="EG9" s="63" t="s">
        <v>197</v>
      </c>
      <c r="EH9" s="63">
        <v>4300</v>
      </c>
      <c r="EI9" s="73">
        <f t="shared" ref="EI9:EI14" si="26">IF(ISBLANK(EG9),0,IF(EG9="Pinned",3,IF(EG9="Fixed",4,#N/A))*$C$2*EF9/10^6/EH9)</f>
        <v>18306.976744186046</v>
      </c>
      <c r="EJ9" s="63" t="s">
        <v>195</v>
      </c>
      <c r="EL9" s="63">
        <v>128000000</v>
      </c>
      <c r="EM9" s="63" t="s">
        <v>197</v>
      </c>
      <c r="EN9" s="63">
        <v>4300</v>
      </c>
      <c r="EO9" s="73">
        <f t="shared" ref="EO9:EO14" si="27">IF(ISBLANK(EM9),0,IF(EM9="Pinned",3,IF(EM9="Fixed",4,#N/A))*$C$2*EL9/10^6/EN9)</f>
        <v>18306.976744186046</v>
      </c>
      <c r="EU9" s="73">
        <f t="shared" ref="EU9:EU14" si="28">IF(ISBLANK(ES9),0,IF(ES9="Pinned",3,IF(ES9="Fixed",4,#N/A))*$C$2*ER9/10^6/ET9)</f>
        <v>0</v>
      </c>
      <c r="FA9" s="73">
        <f t="shared" ref="FA9:FA14" si="29">IF(ISBLANK(EY9),0,IF(EY9="Pinned",3,IF(EY9="Fixed",4,#N/A))*$C$2*EX9/10^6/EZ9)</f>
        <v>0</v>
      </c>
      <c r="FI9" s="73"/>
      <c r="FJ9" s="73">
        <f>SUM(EC9,EI9,EO9,EU9,FA9,FI9)</f>
        <v>36613.953488372092</v>
      </c>
      <c r="FK9" s="63" t="s">
        <v>115</v>
      </c>
      <c r="FL9" s="73">
        <f>10^9</f>
        <v>1000000000</v>
      </c>
      <c r="FO9" s="82"/>
      <c r="FR9" s="73">
        <f t="shared" ref="FR9:FR14" si="30">IF(ISBLANK(FP9),0,IF(FP9="Pinned",3,IF(FP9="Fixed",4,#N/A))*$C$2*FO9/10^6/FQ9)</f>
        <v>0</v>
      </c>
      <c r="FX9" s="73">
        <f t="shared" ref="FX9:FX14" si="31">IF(ISBLANK(FV9),0,IF(FV9="Pinned",3,IF(FV9="Fixed",4,#N/A))*$C$2*FU9/10^6/FW9)</f>
        <v>0</v>
      </c>
      <c r="GD9" s="73">
        <f t="shared" ref="GD9:GD14" si="32">IF(ISBLANK(GB9),0,IF(GB9="Pinned",3,IF(GB9="Fixed",4,#N/A))*$C$2*GA9/10^6/GC9)</f>
        <v>0</v>
      </c>
      <c r="GJ9" s="73">
        <f t="shared" ref="GJ9:GJ14" si="33">IF(ISBLANK(GH9),0,IF(GH9="Pinned",3,IF(GH9="Fixed",4,#N/A))*$C$2*GG9/10^6/GI9)</f>
        <v>0</v>
      </c>
      <c r="GK9" s="73">
        <f t="shared" ref="GK9:GK34" si="34">SUM(FR9,FX9,GD9,GJ9,FL9)</f>
        <v>1000000000</v>
      </c>
      <c r="GL9" s="174">
        <f t="shared" ref="GL9:GL14" si="35">L9</f>
        <v>35.54</v>
      </c>
      <c r="GM9" s="143">
        <f t="shared" ref="GM9:GM34" si="36">SIN(GL9*PI()/180)^2/FJ9</f>
        <v>9.228071419097255E-6</v>
      </c>
      <c r="GN9" s="248">
        <f t="shared" ref="GN9:GN14" si="37">SIN(GL9*PI()/180)^2/GK9</f>
        <v>3.3787617772620278E-10</v>
      </c>
      <c r="GO9" s="73">
        <f t="shared" ref="GO9:GO14" si="38">1/(GM9+GN9)</f>
        <v>108361.03688118904</v>
      </c>
      <c r="GQ9" s="144"/>
      <c r="GR9" s="145"/>
      <c r="GS9" s="145"/>
      <c r="GT9" s="146"/>
      <c r="GU9" s="146"/>
      <c r="GV9" s="146"/>
      <c r="GW9" s="147"/>
      <c r="GX9" s="148"/>
      <c r="GY9" s="149"/>
      <c r="GZ9" s="149"/>
      <c r="HA9" s="149"/>
      <c r="HB9" s="150"/>
      <c r="HC9" s="150"/>
      <c r="HD9" s="146"/>
      <c r="HE9" s="146"/>
      <c r="HF9" s="153"/>
      <c r="HG9" s="151"/>
      <c r="HH9" s="144"/>
      <c r="HI9" s="149">
        <f t="shared" ref="HI9:HI34" si="39">IF(NOT(ISBLANK(GR9)),GR9,CO9/10^9)</f>
        <v>6613.118489583333</v>
      </c>
      <c r="HJ9" s="149">
        <f t="shared" ref="HJ9:HJ34" si="40">IF(NOT(ISBLANK(GS9)),GS9,AG9/10^9)</f>
        <v>11919.16576</v>
      </c>
      <c r="HK9" s="146">
        <f t="shared" ref="HK9:HK34" si="41">IF(NOT(ISBLANK(GT9)),GT9,H9)</f>
        <v>6460</v>
      </c>
      <c r="HL9" s="152">
        <f t="shared" ref="HL9:HL34" si="42">J9</f>
        <v>1350</v>
      </c>
      <c r="HM9" s="152">
        <f t="shared" ref="HM9:HM34" si="43">I9</f>
        <v>1050</v>
      </c>
      <c r="HN9" s="149">
        <f>((HM9^3/HQ9+HL9^3/HP9)/(1/HQ9+1/HP9))^(1/3)</f>
        <v>1087.3539004600389</v>
      </c>
      <c r="HO9" s="146">
        <f t="shared" ref="HO9:HO34" si="44">IF(NOT(ISBLANK(GV9)),GV9,MIN(AY9:AZ9))</f>
        <v>200</v>
      </c>
      <c r="HP9" s="152">
        <f t="shared" ref="HP9:HP34" si="45">IF(NOT(ISBLANK(GW9)),GW9,GO9)</f>
        <v>108361.03688118904</v>
      </c>
      <c r="HQ9" s="148">
        <f t="shared" ref="HQ9:HQ16" si="46">IF(NOT(ISBLANK(GX9)),GX9,DR9)</f>
        <v>11806.476387882874</v>
      </c>
      <c r="HR9" s="149">
        <f>1/(HM9/HN9/HQ9+HL9/HN9/HP9)</f>
        <v>10724.194710260555</v>
      </c>
      <c r="HS9" s="226">
        <f t="shared" ref="HS9:HS34" si="47">IF(NOT(ISBLANK(GZ9)),GZ9,MIN(AX9,BX9))</f>
        <v>2.6688207567567575</v>
      </c>
      <c r="HT9" s="145">
        <f t="shared" ref="HT9:HT34" si="48">IF(NOT(ISBLANK(HA9)),HA9,BY9)</f>
        <v>32679.437837837839</v>
      </c>
      <c r="HU9" s="150">
        <f t="shared" ref="HU9:HU34" si="49">IF(NOT(ISBLANK(HB9)),HB9,BB9)</f>
        <v>0.01</v>
      </c>
      <c r="HV9" s="150">
        <f t="shared" ref="HV9:HV34" si="50">IF(NOT(ISBLANK(HC9)),HC9,BC9)</f>
        <v>5.0000000000000001E-4</v>
      </c>
      <c r="HW9" s="153">
        <f t="shared" ref="HW9:HW34" si="51">IF(NOT(ISBLANK(HD9)),HD9,BD9)</f>
        <v>2</v>
      </c>
      <c r="HX9" s="153">
        <f t="shared" ref="HX9:HX34" si="52">IF(NOT(ISBLANK(HE9)),HE9,BE9)</f>
        <v>1</v>
      </c>
      <c r="HY9" s="153"/>
      <c r="HZ9" s="151">
        <f t="shared" ref="HZ9:HZ14" si="53">HK9*HV9+HX9+IF(HO9=0,0,2*HX9/HO9*HN9)+HW9</f>
        <v>17.103539004600389</v>
      </c>
      <c r="IA9" s="154"/>
      <c r="IB9" s="155">
        <f t="shared" ref="IB9:IB34" si="54">IF(HO9=0,0,2*HX9/HO9*(1-2*IF9))</f>
        <v>6.6335792555416752E-3</v>
      </c>
      <c r="IC9" s="148">
        <f t="shared" ref="IC9:IC34" si="55">HI9/(HN9/10^3)</f>
        <v>6081.8455580887221</v>
      </c>
      <c r="ID9" s="154"/>
      <c r="IE9" s="156">
        <f t="shared" ref="IE9:IE34" si="56">HI9/HJ9</f>
        <v>0.55483065029404655</v>
      </c>
      <c r="IF9" s="156">
        <f t="shared" ref="IF9:IF34" si="57">HN9/HK9</f>
        <v>0.16832103722291622</v>
      </c>
      <c r="IG9" s="156">
        <f t="shared" ref="IG9:IG14" si="58">HT9/IC9</f>
        <v>5.3732765039347141</v>
      </c>
      <c r="IH9" s="183">
        <f t="shared" ref="IH9:IH34" si="59">HP9/IC9</f>
        <v>17.817130646645772</v>
      </c>
      <c r="II9" s="179">
        <f t="shared" ref="II9:II34" si="60">HQ9/IC9</f>
        <v>1.9412654062187618</v>
      </c>
      <c r="IJ9" s="156">
        <f t="shared" ref="IJ9:IJ14" si="61">HR9/IC9</f>
        <v>1.763312568172273</v>
      </c>
      <c r="IK9" s="157">
        <f t="shared" ref="IK9:IK15" si="62">IF(HT9=0,0,HS9/HT9)</f>
        <v>8.1666666666666682E-5</v>
      </c>
      <c r="IL9" s="157">
        <f t="shared" ref="IL9:IL15" si="63">MAX(0,HU9-IB9)</f>
        <v>3.366420744458325E-3</v>
      </c>
      <c r="IM9" s="157">
        <f t="shared" ref="IM9:IM34" si="64">HZ9/HN9</f>
        <v>1.572950535916982E-2</v>
      </c>
      <c r="IN9" s="144"/>
      <c r="IO9" s="94">
        <f t="shared" ref="IO9:IO14" si="65">IK9*IG9/PI()^2</f>
        <v>4.446151672565862E-5</v>
      </c>
      <c r="IP9" s="94">
        <f t="shared" ref="IP9:IP15" si="66">IL9*(1-2*IF9)*IJ9/PI()^2</f>
        <v>3.9897517532501442E-4</v>
      </c>
      <c r="IQ9" s="94">
        <f t="shared" ref="IQ9:IQ15" si="67">(IJ9/(IJ9+24/PI()^2))/4</f>
        <v>0.10508365622206196</v>
      </c>
      <c r="IR9" s="94">
        <f t="shared" ref="IR9:IR16" si="68">NcreSymNcr0(IE9,IF9,IJ9,IG9)</f>
        <v>0.11328999999998877</v>
      </c>
      <c r="IS9" s="94"/>
      <c r="IT9" s="94">
        <f t="shared" ref="IT9:IT15" si="69">(1-2*IF9)*(IJ9/(IJ9+24/PI()^2))/4</f>
        <v>6.9708076201114313E-2</v>
      </c>
      <c r="IU9" s="94">
        <f t="shared" ref="IU9:IU16" si="70">NcreAsymNcr0(IE9,IF9,IJ9,IG9)</f>
        <v>0.22953000000008877</v>
      </c>
      <c r="IV9" s="94">
        <f t="shared" ref="IV9:IV14" si="71">(MAX(0,IO9-IP9)/IM9+IQ9)/(MAX(0,IO9-IP9)/(IM9*MIN(IR9,IU9))+1)</f>
        <v>0.10508365622206196</v>
      </c>
      <c r="IW9" s="144"/>
      <c r="IX9" s="140">
        <f t="shared" ref="IX9:IX14" si="72">1/SQRT(IV9)</f>
        <v>3.0848383585691548</v>
      </c>
      <c r="IY9" s="148">
        <f>HI9</f>
        <v>6613.118489583333</v>
      </c>
      <c r="IZ9" s="151">
        <f>HN9/10^3</f>
        <v>1.0873539004600388</v>
      </c>
      <c r="JA9" s="148">
        <f>PI()^2*IY9/IZ9^2</f>
        <v>55203.195262795867</v>
      </c>
      <c r="JB9" s="148">
        <f>JA9*MIN(IQ9,IT9)</f>
        <v>3848.1085419239671</v>
      </c>
      <c r="JC9" s="148">
        <f t="shared" ref="JC9:JC15" si="73">JA9*MIN(IR9,IU9)</f>
        <v>6253.9699913215245</v>
      </c>
      <c r="JD9" s="148">
        <f>IO9*IZ9*JA9</f>
        <v>2.6688207567567575</v>
      </c>
      <c r="JE9" s="148">
        <f>IP9*IZ9*JA9</f>
        <v>23.948648353770079</v>
      </c>
      <c r="JF9" s="148">
        <f>MAX(0,JD9-JE9)</f>
        <v>0</v>
      </c>
      <c r="JG9" s="136">
        <f>JA9/IX9^2</f>
        <v>5800.9535933550014</v>
      </c>
      <c r="JH9" s="152" t="str">
        <f t="shared" ref="JH9:JH34" si="74">G9</f>
        <v>-</v>
      </c>
      <c r="JI9" s="158" t="e">
        <f t="shared" ref="JI9:JI20" si="75">JG9/JH9</f>
        <v>#VALUE!</v>
      </c>
    </row>
    <row r="10" spans="1:273" s="63" customFormat="1" hidden="1" x14ac:dyDescent="0.25">
      <c r="B10" s="63" t="s">
        <v>193</v>
      </c>
      <c r="C10" s="63" t="s">
        <v>190</v>
      </c>
      <c r="D10" s="159" t="str">
        <f>D$9</f>
        <v>Diagonal</v>
      </c>
      <c r="E10" s="217"/>
      <c r="F10" s="160">
        <f>F$9</f>
        <v>2035.6875000000002</v>
      </c>
      <c r="G10" s="160" t="str">
        <f t="shared" ref="G10:S14" si="76">G$9</f>
        <v>-</v>
      </c>
      <c r="H10" s="159">
        <f t="shared" si="76"/>
        <v>6460</v>
      </c>
      <c r="I10" s="159">
        <f t="shared" si="76"/>
        <v>1050</v>
      </c>
      <c r="J10" s="68">
        <f t="shared" ref="J10:J34" si="77">I10+300</f>
        <v>1350</v>
      </c>
      <c r="K10" s="159">
        <f t="shared" si="76"/>
        <v>1050</v>
      </c>
      <c r="L10" s="159">
        <f t="shared" si="76"/>
        <v>35.54</v>
      </c>
      <c r="M10" s="159" t="str">
        <f t="shared" si="76"/>
        <v>Cruciform</v>
      </c>
      <c r="N10" s="159" t="str">
        <f t="shared" si="76"/>
        <v>SN400B</v>
      </c>
      <c r="O10" s="159">
        <f t="shared" si="76"/>
        <v>235</v>
      </c>
      <c r="P10" s="159">
        <f t="shared" si="76"/>
        <v>0</v>
      </c>
      <c r="Q10" s="159">
        <f t="shared" si="76"/>
        <v>125</v>
      </c>
      <c r="R10" s="159">
        <f t="shared" si="76"/>
        <v>125</v>
      </c>
      <c r="S10" s="159">
        <f t="shared" si="76"/>
        <v>25</v>
      </c>
      <c r="T10" s="62">
        <f t="shared" si="0"/>
        <v>5625</v>
      </c>
      <c r="U10" s="62">
        <f t="shared" ref="U10:U34" si="78">T10*O10/10^3</f>
        <v>1321.875</v>
      </c>
      <c r="V10" s="159">
        <f t="shared" ref="V10:W14" si="79">V$9</f>
        <v>1.1000000000000001</v>
      </c>
      <c r="W10" s="159">
        <f t="shared" si="79"/>
        <v>1.4</v>
      </c>
      <c r="X10" s="62">
        <f t="shared" si="1"/>
        <v>2035.6875000000002</v>
      </c>
      <c r="Y10" s="159" t="str">
        <f t="shared" ref="Y10:AE14" si="80">Y$9</f>
        <v>RHS</v>
      </c>
      <c r="Z10" s="159" t="str">
        <f t="shared" si="80"/>
        <v>STKR400</v>
      </c>
      <c r="AA10" s="159">
        <f t="shared" si="80"/>
        <v>245</v>
      </c>
      <c r="AB10" s="159">
        <f t="shared" si="80"/>
        <v>400</v>
      </c>
      <c r="AC10" s="159">
        <f t="shared" si="80"/>
        <v>250</v>
      </c>
      <c r="AD10" s="159">
        <f t="shared" si="80"/>
        <v>250</v>
      </c>
      <c r="AE10" s="159">
        <f t="shared" si="80"/>
        <v>6</v>
      </c>
      <c r="AF10" s="139">
        <f t="shared" si="2"/>
        <v>58142272</v>
      </c>
      <c r="AG10" s="73">
        <f t="shared" si="3"/>
        <v>11919165760000</v>
      </c>
      <c r="AH10" s="159" t="str">
        <f t="shared" ref="AH10:AO14" si="81">AH$9</f>
        <v>Cruciform</v>
      </c>
      <c r="AI10" s="159" t="str">
        <f t="shared" si="81"/>
        <v>SN400B</v>
      </c>
      <c r="AJ10" s="159">
        <f t="shared" si="81"/>
        <v>235</v>
      </c>
      <c r="AK10" s="159">
        <f t="shared" si="81"/>
        <v>0</v>
      </c>
      <c r="AL10" s="159">
        <f t="shared" si="81"/>
        <v>200</v>
      </c>
      <c r="AM10" s="159">
        <f t="shared" si="81"/>
        <v>200</v>
      </c>
      <c r="AN10" s="159">
        <f t="shared" si="81"/>
        <v>25</v>
      </c>
      <c r="AO10" s="159">
        <f t="shared" si="81"/>
        <v>25</v>
      </c>
      <c r="AP10" s="159">
        <f t="shared" si="4"/>
        <v>9375</v>
      </c>
      <c r="AQ10" s="159">
        <f t="shared" si="5"/>
        <v>5000</v>
      </c>
      <c r="AR10" s="63">
        <f t="shared" si="6"/>
        <v>16438802.083333334</v>
      </c>
      <c r="AT10" s="62">
        <f t="shared" ref="AT10:AT34" si="82">(AN10*AL10^2+(AM10-AN10)*AN10^2)/4</f>
        <v>277343.75</v>
      </c>
      <c r="AU10" s="140">
        <f t="shared" ref="AU10:AU34" si="83">AT10*AJ10/10^6</f>
        <v>65.17578125</v>
      </c>
      <c r="AV10" s="199">
        <f t="shared" si="7"/>
        <v>0.92400000000000015</v>
      </c>
      <c r="AW10" s="199">
        <f t="shared" si="8"/>
        <v>0.70080816326530659</v>
      </c>
      <c r="AX10" s="140">
        <f t="shared" ref="AX10:AX34" si="84">AU10*(1-MIN(AV10:AW10))</f>
        <v>19.500061702806093</v>
      </c>
      <c r="AY10" s="159">
        <f>AY$9</f>
        <v>200</v>
      </c>
      <c r="AZ10" s="159" t="s">
        <v>58</v>
      </c>
      <c r="BA10" s="140">
        <f t="shared" si="9"/>
        <v>1</v>
      </c>
      <c r="BB10" s="163">
        <f t="shared" ref="BB10:BE14" si="85">BB$9</f>
        <v>0.01</v>
      </c>
      <c r="BC10" s="164">
        <f t="shared" si="85"/>
        <v>5.0000000000000001E-4</v>
      </c>
      <c r="BD10" s="159">
        <f t="shared" si="85"/>
        <v>2</v>
      </c>
      <c r="BE10" s="161">
        <f t="shared" si="85"/>
        <v>1</v>
      </c>
      <c r="BF10" s="140">
        <f t="shared" si="11"/>
        <v>16.73</v>
      </c>
      <c r="BG10" s="193">
        <f t="shared" ref="BG10:BG15" si="86">AA10</f>
        <v>245</v>
      </c>
      <c r="BH10" s="63">
        <f t="shared" ref="BH10:BH15" si="87">AD10</f>
        <v>250</v>
      </c>
      <c r="BI10" s="63">
        <f t="shared" ref="BI10:BI15" si="88">AE10</f>
        <v>6</v>
      </c>
      <c r="BJ10" s="63">
        <f t="shared" ref="BJ10:BJ15" si="89">AL10</f>
        <v>200</v>
      </c>
      <c r="BK10" s="63">
        <f t="shared" ref="BK10:BK15" si="90">AM10</f>
        <v>200</v>
      </c>
      <c r="BL10" s="63">
        <f t="shared" ref="BL10:BL15" si="91">MIN(AY10:AZ10)</f>
        <v>200</v>
      </c>
      <c r="BM10" s="62">
        <f t="shared" ref="BM10:BM15" si="92">(BH10-BK10)/2</f>
        <v>25</v>
      </c>
      <c r="BN10" s="62">
        <f t="shared" ref="BN10:BN15" si="93">SQRT(BM10*(BH10-BM10)-BI10*(BH10-BI10))</f>
        <v>64.505813691480554</v>
      </c>
      <c r="BO10" s="62">
        <f t="shared" ref="BO10:BO15" si="94">SQRT((PI()*BH10*BG10/4/$C$2+BH10/2*ACOS((BH10-2*BM10)/(BH10-2*BI10)))^2-BM10^2)</f>
        <v>67.35647220054048</v>
      </c>
      <c r="BP10" s="142">
        <f t="shared" ref="BP10:BP15" si="95">(BO10-BN10)/BL10</f>
        <v>1.4253292545299629E-2</v>
      </c>
      <c r="BQ10" s="136">
        <f t="shared" ref="BQ10:BQ15" si="96">2*BG10*BI10*BL10^3/(3*SQRT(BM10^2+BO10^2))*BO10/(BO10-SQRT(BM10*(BH10-BM10)-BI10*(BH10-BI10)))/10^6</f>
        <v>2578.3724095857092</v>
      </c>
      <c r="BR10" s="136">
        <f t="shared" ref="BR10:BR15" si="97">BQ10*BP10</f>
        <v>36.750296244554228</v>
      </c>
      <c r="BS10" s="62">
        <f t="shared" ref="BS10:BS15" si="98">(BH10-BK10)/4</f>
        <v>12.5</v>
      </c>
      <c r="BT10" s="138">
        <f t="shared" ref="BT10:BT15" si="99">0.00164*BG10/$C$2*BH10/BI10*BJ10</f>
        <v>1.6333333333333335E-2</v>
      </c>
      <c r="BU10" s="142">
        <f t="shared" ref="BU10:BU15" si="100">BT10/BL10</f>
        <v>8.1666666666666682E-5</v>
      </c>
      <c r="BV10" s="136">
        <f t="shared" ref="BV10:BV15" si="101">$C$2*BH10*BI10^3*BL10^3/(6*BH10*BS10^3-9*BS10^4)/10^6</f>
        <v>32679.437837837839</v>
      </c>
      <c r="BW10" s="202">
        <f t="shared" ref="BW10:BW15" si="102">BU10*BV10</f>
        <v>2.6688207567567575</v>
      </c>
      <c r="BX10" s="136">
        <f t="shared" ref="BX10:BX15" si="103">IF(Y10="RHS",BW10,IF(Y10="CHS",BR10,#N/A))</f>
        <v>2.6688207567567575</v>
      </c>
      <c r="BY10" s="136">
        <f t="shared" ref="BY10:BY15" si="104">IF(Y10="RHS",BV10,IF(Y10="CHS",BQ10,#N/A))</f>
        <v>32679.437837837839</v>
      </c>
      <c r="BZ10" s="159"/>
      <c r="CA10" s="161" t="str">
        <f t="shared" ref="CA10:CC14" si="105">CA$9</f>
        <v>Cruciform</v>
      </c>
      <c r="CB10" s="161" t="str">
        <f t="shared" si="105"/>
        <v>SN400B</v>
      </c>
      <c r="CC10" s="161">
        <f t="shared" si="105"/>
        <v>250</v>
      </c>
      <c r="CD10" s="161"/>
      <c r="CE10" s="162">
        <f t="shared" ref="CE10:CM14" si="106">CE$9</f>
        <v>250</v>
      </c>
      <c r="CF10" s="162">
        <f t="shared" si="106"/>
        <v>250</v>
      </c>
      <c r="CG10" s="162">
        <f t="shared" si="106"/>
        <v>25</v>
      </c>
      <c r="CH10" s="82">
        <f t="shared" si="12"/>
        <v>32259114.583333332</v>
      </c>
      <c r="CI10" s="159">
        <f t="shared" si="106"/>
        <v>80</v>
      </c>
      <c r="CJ10" s="159">
        <f t="shared" si="106"/>
        <v>80</v>
      </c>
      <c r="CK10" s="159">
        <f t="shared" si="106"/>
        <v>12</v>
      </c>
      <c r="CL10" s="82">
        <f t="shared" si="13"/>
        <v>32375022</v>
      </c>
      <c r="CM10" s="165" t="str">
        <f t="shared" si="106"/>
        <v>No</v>
      </c>
      <c r="CN10" s="143">
        <f t="shared" si="14"/>
        <v>32259114.583333332</v>
      </c>
      <c r="CO10" s="73">
        <f t="shared" si="15"/>
        <v>6613118489583.333</v>
      </c>
      <c r="CP10" s="63">
        <v>453</v>
      </c>
      <c r="CQ10" s="63">
        <v>280</v>
      </c>
      <c r="CR10" s="63">
        <v>329</v>
      </c>
      <c r="CS10" s="63">
        <v>0</v>
      </c>
      <c r="CU10" s="63">
        <f t="shared" ref="CS10:DH13" si="107">CU$9</f>
        <v>0</v>
      </c>
      <c r="CV10" s="193">
        <v>25</v>
      </c>
      <c r="CW10" s="63">
        <v>387</v>
      </c>
      <c r="CX10" s="63">
        <v>150</v>
      </c>
      <c r="CY10" s="63">
        <v>152</v>
      </c>
      <c r="CZ10" s="159">
        <f>$CV10</f>
        <v>25</v>
      </c>
      <c r="DA10" s="63">
        <v>390</v>
      </c>
      <c r="DB10" s="63">
        <v>273</v>
      </c>
      <c r="DC10" s="63">
        <v>149</v>
      </c>
      <c r="DD10" s="159">
        <f>$CV10</f>
        <v>25</v>
      </c>
      <c r="DE10" s="63">
        <v>369</v>
      </c>
      <c r="DF10" s="63">
        <v>159</v>
      </c>
      <c r="DG10" s="63">
        <v>391</v>
      </c>
      <c r="DH10" s="159">
        <f>$CV10</f>
        <v>25</v>
      </c>
      <c r="DI10" s="81">
        <f t="shared" si="16"/>
        <v>2.5629139072847682</v>
      </c>
      <c r="DJ10" s="81">
        <f t="shared" si="17"/>
        <v>1.8483412322274881</v>
      </c>
      <c r="DK10" s="81">
        <f t="shared" si="18"/>
        <v>1.3418181818181818</v>
      </c>
      <c r="DL10" s="82">
        <f t="shared" si="19"/>
        <v>293326465.20146519</v>
      </c>
      <c r="DM10" s="82">
        <f t="shared" si="20"/>
        <v>293326465.20146519</v>
      </c>
      <c r="DN10" s="82">
        <f t="shared" si="21"/>
        <v>293326465.20146519</v>
      </c>
      <c r="DO10" s="62">
        <f t="shared" si="22"/>
        <v>106772.92393335181</v>
      </c>
      <c r="DP10" s="62">
        <f t="shared" si="23"/>
        <v>7274.5830500262928</v>
      </c>
      <c r="DQ10" s="230">
        <f t="shared" si="24"/>
        <v>15568.639856642703</v>
      </c>
      <c r="DR10" s="136">
        <f t="shared" si="25"/>
        <v>142901.80189112294</v>
      </c>
      <c r="DS10" s="136"/>
      <c r="DT10" s="136"/>
      <c r="DU10" s="216"/>
      <c r="DV10" s="216"/>
      <c r="DW10" s="216"/>
      <c r="DX10" s="216"/>
      <c r="DY10" s="216"/>
      <c r="DZ10" s="136"/>
      <c r="EA10" s="136"/>
      <c r="EB10" s="231" t="s">
        <v>169</v>
      </c>
      <c r="EC10" s="73"/>
      <c r="ED10" s="159" t="str">
        <f>ED$9</f>
        <v>SHS250x16</v>
      </c>
      <c r="EE10" s="159"/>
      <c r="EF10" s="159">
        <f>EF$9</f>
        <v>128000000</v>
      </c>
      <c r="EG10" s="159" t="str">
        <f t="shared" ref="EG10:EN10" si="108">EG$9</f>
        <v>Pinned</v>
      </c>
      <c r="EH10" s="159">
        <f t="shared" si="108"/>
        <v>4300</v>
      </c>
      <c r="EI10" s="73">
        <f t="shared" si="26"/>
        <v>18306.976744186046</v>
      </c>
      <c r="EJ10" s="159" t="str">
        <f t="shared" si="108"/>
        <v>SHS250x16</v>
      </c>
      <c r="EK10" s="159"/>
      <c r="EL10" s="159">
        <f t="shared" si="108"/>
        <v>128000000</v>
      </c>
      <c r="EM10" s="159" t="str">
        <f t="shared" si="108"/>
        <v>Pinned</v>
      </c>
      <c r="EN10" s="159">
        <f t="shared" si="108"/>
        <v>4300</v>
      </c>
      <c r="EO10" s="73">
        <f t="shared" si="27"/>
        <v>18306.976744186046</v>
      </c>
      <c r="EP10" s="159"/>
      <c r="EQ10" s="159"/>
      <c r="ES10" s="159"/>
      <c r="ET10" s="159"/>
      <c r="EU10" s="73">
        <f t="shared" si="28"/>
        <v>0</v>
      </c>
      <c r="EW10" s="159"/>
      <c r="FA10" s="73">
        <f t="shared" si="29"/>
        <v>0</v>
      </c>
      <c r="FI10" s="73"/>
      <c r="FJ10" s="73">
        <f t="shared" ref="FJ10:FJ34" si="109">SUM(EC10,EI10,EO10,EU10,FA10,FI10)</f>
        <v>36613.953488372092</v>
      </c>
      <c r="FK10" s="63" t="s">
        <v>115</v>
      </c>
      <c r="FL10" s="73">
        <f t="shared" ref="FL10:FL20" si="110">10^9</f>
        <v>1000000000</v>
      </c>
      <c r="FN10" s="159"/>
      <c r="FO10" s="82"/>
      <c r="FR10" s="73">
        <f t="shared" si="30"/>
        <v>0</v>
      </c>
      <c r="FT10" s="159"/>
      <c r="FX10" s="73">
        <f t="shared" si="31"/>
        <v>0</v>
      </c>
      <c r="FZ10" s="159"/>
      <c r="GD10" s="73">
        <f t="shared" si="32"/>
        <v>0</v>
      </c>
      <c r="GF10" s="159"/>
      <c r="GJ10" s="73">
        <f t="shared" si="33"/>
        <v>0</v>
      </c>
      <c r="GK10" s="73">
        <f t="shared" si="34"/>
        <v>1000000000</v>
      </c>
      <c r="GL10" s="174">
        <f t="shared" si="35"/>
        <v>35.54</v>
      </c>
      <c r="GM10" s="143">
        <f t="shared" si="36"/>
        <v>9.228071419097255E-6</v>
      </c>
      <c r="GN10" s="248">
        <f t="shared" si="37"/>
        <v>3.3787617772620278E-10</v>
      </c>
      <c r="GO10" s="73">
        <f t="shared" si="38"/>
        <v>108361.03688118904</v>
      </c>
      <c r="GQ10" s="144"/>
      <c r="GR10" s="145"/>
      <c r="GS10" s="145"/>
      <c r="GT10" s="146"/>
      <c r="GU10" s="146"/>
      <c r="GV10" s="146"/>
      <c r="GW10" s="147"/>
      <c r="GX10" s="148"/>
      <c r="GY10" s="149"/>
      <c r="GZ10" s="149"/>
      <c r="HA10" s="149"/>
      <c r="HB10" s="150"/>
      <c r="HC10" s="150"/>
      <c r="HD10" s="146"/>
      <c r="HE10" s="146"/>
      <c r="HF10" s="153"/>
      <c r="HG10" s="151"/>
      <c r="HH10" s="144"/>
      <c r="HI10" s="149">
        <f t="shared" si="39"/>
        <v>6613.118489583333</v>
      </c>
      <c r="HJ10" s="149">
        <f t="shared" si="40"/>
        <v>11919.16576</v>
      </c>
      <c r="HK10" s="146">
        <f t="shared" si="41"/>
        <v>6460</v>
      </c>
      <c r="HL10" s="152">
        <f t="shared" si="42"/>
        <v>1350</v>
      </c>
      <c r="HM10" s="152">
        <f t="shared" si="43"/>
        <v>1050</v>
      </c>
      <c r="HN10" s="149">
        <f t="shared" ref="HN10:HN34" si="111">((HM10^3/HQ10+HL10^3/HP10)/(1/HQ10+1/HP10))^(1/3)</f>
        <v>1238.2457953013752</v>
      </c>
      <c r="HO10" s="146">
        <f t="shared" si="44"/>
        <v>200</v>
      </c>
      <c r="HP10" s="152">
        <f t="shared" si="45"/>
        <v>108361.03688118904</v>
      </c>
      <c r="HQ10" s="148">
        <f t="shared" si="46"/>
        <v>142901.80189112294</v>
      </c>
      <c r="HR10" s="149">
        <f>1/(HM10/HN10/HQ10+HL10/HN10/HP10)</f>
        <v>62518.545986517194</v>
      </c>
      <c r="HS10" s="226">
        <f t="shared" si="47"/>
        <v>2.6688207567567575</v>
      </c>
      <c r="HT10" s="145">
        <f t="shared" si="48"/>
        <v>32679.437837837839</v>
      </c>
      <c r="HU10" s="150">
        <f t="shared" si="49"/>
        <v>0.01</v>
      </c>
      <c r="HV10" s="150">
        <f t="shared" si="50"/>
        <v>5.0000000000000001E-4</v>
      </c>
      <c r="HW10" s="153">
        <f t="shared" si="51"/>
        <v>2</v>
      </c>
      <c r="HX10" s="153">
        <f t="shared" si="52"/>
        <v>1</v>
      </c>
      <c r="HY10" s="153"/>
      <c r="HZ10" s="151">
        <f t="shared" si="53"/>
        <v>18.612457953013752</v>
      </c>
      <c r="IA10" s="154"/>
      <c r="IB10" s="155">
        <f t="shared" si="54"/>
        <v>6.1664216863734512E-3</v>
      </c>
      <c r="IC10" s="148">
        <f t="shared" si="55"/>
        <v>5340.7154820774285</v>
      </c>
      <c r="ID10" s="154"/>
      <c r="IE10" s="156">
        <f t="shared" si="56"/>
        <v>0.55483065029404655</v>
      </c>
      <c r="IF10" s="156">
        <f t="shared" si="57"/>
        <v>0.19167891568132744</v>
      </c>
      <c r="IG10" s="156">
        <f t="shared" si="58"/>
        <v>6.1189250667826647</v>
      </c>
      <c r="IH10" s="183">
        <f t="shared" si="59"/>
        <v>20.289610492232928</v>
      </c>
      <c r="II10" s="179">
        <f t="shared" si="60"/>
        <v>26.757052003739595</v>
      </c>
      <c r="IJ10" s="156">
        <f t="shared" si="61"/>
        <v>11.706024444911783</v>
      </c>
      <c r="IK10" s="157">
        <f t="shared" si="62"/>
        <v>8.1666666666666682E-5</v>
      </c>
      <c r="IL10" s="157">
        <f t="shared" si="63"/>
        <v>3.833578313626549E-3</v>
      </c>
      <c r="IM10" s="157">
        <f t="shared" si="64"/>
        <v>1.5031311249866742E-2</v>
      </c>
      <c r="IN10" s="144"/>
      <c r="IO10" s="94">
        <f t="shared" si="65"/>
        <v>5.0631432981457224E-5</v>
      </c>
      <c r="IP10" s="94">
        <f t="shared" si="66"/>
        <v>2.8038013545558568E-3</v>
      </c>
      <c r="IQ10" s="94">
        <f t="shared" si="67"/>
        <v>0.20699967539322073</v>
      </c>
      <c r="IR10" s="94">
        <f t="shared" si="68"/>
        <v>0.18910000000004834</v>
      </c>
      <c r="IS10" s="94"/>
      <c r="IT10" s="94">
        <f t="shared" si="69"/>
        <v>0.1276447287417021</v>
      </c>
      <c r="IU10" s="94">
        <f t="shared" si="70"/>
        <v>0.46990000000032917</v>
      </c>
      <c r="IV10" s="94">
        <f t="shared" si="71"/>
        <v>0.20699967539322073</v>
      </c>
      <c r="IW10" s="144"/>
      <c r="IX10" s="140">
        <f t="shared" si="72"/>
        <v>2.1979366346656954</v>
      </c>
      <c r="IY10" s="148">
        <f t="shared" ref="IY10:IY34" si="112">HI10</f>
        <v>6613.118489583333</v>
      </c>
      <c r="IZ10" s="151">
        <f t="shared" ref="IZ10:IZ34" si="113">HN10/10^3</f>
        <v>1.2382457953013752</v>
      </c>
      <c r="JA10" s="148">
        <f>PI()^2*IY10/IZ10^2</f>
        <v>42568.889978785068</v>
      </c>
      <c r="JB10" s="148">
        <f t="shared" ref="JB10:JB15" si="114">JA10*MIN(IQ10,IT10)</f>
        <v>5433.6944141773811</v>
      </c>
      <c r="JC10" s="148">
        <f t="shared" si="73"/>
        <v>8049.7770949903143</v>
      </c>
      <c r="JD10" s="148">
        <f t="shared" ref="JD10:JD34" si="115">IO10*IZ10*JA10</f>
        <v>2.6688207567567579</v>
      </c>
      <c r="JE10" s="148">
        <f t="shared" ref="JE10:JE34" si="116">IP10*IZ10*JA10</f>
        <v>147.79046952121283</v>
      </c>
      <c r="JF10" s="148">
        <f t="shared" ref="JF10:JF34" si="117">MAX(0,JD10-JE10)</f>
        <v>0</v>
      </c>
      <c r="JG10" s="136">
        <f t="shared" ref="JG10:JG34" si="118">JA10/IX10^2</f>
        <v>8811.7464074582331</v>
      </c>
      <c r="JH10" s="152" t="str">
        <f t="shared" si="74"/>
        <v>-</v>
      </c>
      <c r="JI10" s="158" t="e">
        <f t="shared" si="75"/>
        <v>#VALUE!</v>
      </c>
    </row>
    <row r="11" spans="1:273" s="63" customFormat="1" hidden="1" x14ac:dyDescent="0.25">
      <c r="B11" s="63" t="s">
        <v>105</v>
      </c>
      <c r="C11" s="63" t="s">
        <v>190</v>
      </c>
      <c r="D11" s="159" t="str">
        <f>D$9</f>
        <v>Diagonal</v>
      </c>
      <c r="E11" s="217"/>
      <c r="F11" s="160">
        <f>F$9</f>
        <v>2035.6875000000002</v>
      </c>
      <c r="G11" s="160" t="str">
        <f t="shared" si="76"/>
        <v>-</v>
      </c>
      <c r="H11" s="159">
        <f t="shared" si="76"/>
        <v>6460</v>
      </c>
      <c r="I11" s="159">
        <f t="shared" si="76"/>
        <v>1050</v>
      </c>
      <c r="J11" s="68">
        <f t="shared" si="77"/>
        <v>1350</v>
      </c>
      <c r="K11" s="159">
        <f t="shared" si="76"/>
        <v>1050</v>
      </c>
      <c r="L11" s="159">
        <f t="shared" si="76"/>
        <v>35.54</v>
      </c>
      <c r="M11" s="159" t="str">
        <f t="shared" si="76"/>
        <v>Cruciform</v>
      </c>
      <c r="N11" s="159" t="str">
        <f t="shared" si="76"/>
        <v>SN400B</v>
      </c>
      <c r="O11" s="159">
        <f t="shared" si="76"/>
        <v>235</v>
      </c>
      <c r="P11" s="159">
        <f t="shared" si="76"/>
        <v>0</v>
      </c>
      <c r="Q11" s="159">
        <f t="shared" si="76"/>
        <v>125</v>
      </c>
      <c r="R11" s="159">
        <f t="shared" si="76"/>
        <v>125</v>
      </c>
      <c r="S11" s="159">
        <f t="shared" si="76"/>
        <v>25</v>
      </c>
      <c r="T11" s="62">
        <f t="shared" si="0"/>
        <v>5625</v>
      </c>
      <c r="U11" s="62">
        <f t="shared" si="78"/>
        <v>1321.875</v>
      </c>
      <c r="V11" s="159">
        <f t="shared" si="79"/>
        <v>1.1000000000000001</v>
      </c>
      <c r="W11" s="159">
        <f t="shared" si="79"/>
        <v>1.4</v>
      </c>
      <c r="X11" s="62">
        <f t="shared" si="1"/>
        <v>2035.6875000000002</v>
      </c>
      <c r="Y11" s="159" t="str">
        <f t="shared" si="80"/>
        <v>RHS</v>
      </c>
      <c r="Z11" s="159" t="str">
        <f t="shared" si="80"/>
        <v>STKR400</v>
      </c>
      <c r="AA11" s="159">
        <f t="shared" si="80"/>
        <v>245</v>
      </c>
      <c r="AB11" s="159">
        <f t="shared" si="80"/>
        <v>400</v>
      </c>
      <c r="AC11" s="159">
        <f t="shared" si="80"/>
        <v>250</v>
      </c>
      <c r="AD11" s="159">
        <f t="shared" si="80"/>
        <v>250</v>
      </c>
      <c r="AE11" s="159">
        <f t="shared" si="80"/>
        <v>6</v>
      </c>
      <c r="AF11" s="139">
        <f t="shared" si="2"/>
        <v>58142272</v>
      </c>
      <c r="AG11" s="73">
        <f t="shared" si="3"/>
        <v>11919165760000</v>
      </c>
      <c r="AH11" s="159" t="str">
        <f t="shared" si="81"/>
        <v>Cruciform</v>
      </c>
      <c r="AI11" s="159" t="str">
        <f t="shared" si="81"/>
        <v>SN400B</v>
      </c>
      <c r="AJ11" s="159">
        <f t="shared" si="81"/>
        <v>235</v>
      </c>
      <c r="AK11" s="159">
        <f t="shared" si="81"/>
        <v>0</v>
      </c>
      <c r="AL11" s="159">
        <f t="shared" si="81"/>
        <v>200</v>
      </c>
      <c r="AM11" s="159">
        <f t="shared" si="81"/>
        <v>200</v>
      </c>
      <c r="AN11" s="159">
        <f t="shared" si="81"/>
        <v>25</v>
      </c>
      <c r="AO11" s="159">
        <f t="shared" si="81"/>
        <v>25</v>
      </c>
      <c r="AP11" s="159">
        <f t="shared" si="4"/>
        <v>9375</v>
      </c>
      <c r="AQ11" s="159">
        <f t="shared" si="5"/>
        <v>5000</v>
      </c>
      <c r="AR11" s="63">
        <f t="shared" si="6"/>
        <v>16438802.083333334</v>
      </c>
      <c r="AT11" s="62">
        <f t="shared" si="82"/>
        <v>277343.75</v>
      </c>
      <c r="AU11" s="140">
        <f t="shared" si="83"/>
        <v>65.17578125</v>
      </c>
      <c r="AV11" s="199">
        <f t="shared" si="7"/>
        <v>0.92400000000000015</v>
      </c>
      <c r="AW11" s="199">
        <f t="shared" si="8"/>
        <v>0.70080816326530659</v>
      </c>
      <c r="AX11" s="140">
        <f t="shared" si="84"/>
        <v>19.500061702806093</v>
      </c>
      <c r="AY11" s="159">
        <f>AY$9</f>
        <v>200</v>
      </c>
      <c r="AZ11" s="159" t="s">
        <v>58</v>
      </c>
      <c r="BA11" s="140">
        <f t="shared" si="9"/>
        <v>1</v>
      </c>
      <c r="BB11" s="163">
        <f t="shared" si="85"/>
        <v>0.01</v>
      </c>
      <c r="BC11" s="164">
        <f t="shared" si="85"/>
        <v>5.0000000000000001E-4</v>
      </c>
      <c r="BD11" s="159">
        <f t="shared" si="85"/>
        <v>2</v>
      </c>
      <c r="BE11" s="161">
        <f t="shared" si="85"/>
        <v>1</v>
      </c>
      <c r="BF11" s="140">
        <f t="shared" si="11"/>
        <v>16.73</v>
      </c>
      <c r="BG11" s="193">
        <f t="shared" si="86"/>
        <v>245</v>
      </c>
      <c r="BH11" s="63">
        <f t="shared" si="87"/>
        <v>250</v>
      </c>
      <c r="BI11" s="63">
        <f t="shared" si="88"/>
        <v>6</v>
      </c>
      <c r="BJ11" s="63">
        <f t="shared" si="89"/>
        <v>200</v>
      </c>
      <c r="BK11" s="63">
        <f t="shared" si="90"/>
        <v>200</v>
      </c>
      <c r="BL11" s="63">
        <f t="shared" si="91"/>
        <v>200</v>
      </c>
      <c r="BM11" s="62">
        <f t="shared" si="92"/>
        <v>25</v>
      </c>
      <c r="BN11" s="62">
        <f t="shared" si="93"/>
        <v>64.505813691480554</v>
      </c>
      <c r="BO11" s="62">
        <f t="shared" si="94"/>
        <v>67.35647220054048</v>
      </c>
      <c r="BP11" s="142">
        <f t="shared" si="95"/>
        <v>1.4253292545299629E-2</v>
      </c>
      <c r="BQ11" s="136">
        <f t="shared" si="96"/>
        <v>2578.3724095857092</v>
      </c>
      <c r="BR11" s="136">
        <f t="shared" si="97"/>
        <v>36.750296244554228</v>
      </c>
      <c r="BS11" s="62">
        <f t="shared" si="98"/>
        <v>12.5</v>
      </c>
      <c r="BT11" s="138">
        <f t="shared" si="99"/>
        <v>1.6333333333333335E-2</v>
      </c>
      <c r="BU11" s="142">
        <f t="shared" si="100"/>
        <v>8.1666666666666682E-5</v>
      </c>
      <c r="BV11" s="136">
        <f t="shared" si="101"/>
        <v>32679.437837837839</v>
      </c>
      <c r="BW11" s="202">
        <f t="shared" si="102"/>
        <v>2.6688207567567575</v>
      </c>
      <c r="BX11" s="136">
        <f t="shared" si="103"/>
        <v>2.6688207567567575</v>
      </c>
      <c r="BY11" s="136">
        <f t="shared" si="104"/>
        <v>32679.437837837839</v>
      </c>
      <c r="BZ11" s="159"/>
      <c r="CA11" s="161" t="str">
        <f t="shared" si="105"/>
        <v>Cruciform</v>
      </c>
      <c r="CB11" s="161" t="str">
        <f t="shared" si="105"/>
        <v>SN400B</v>
      </c>
      <c r="CC11" s="161">
        <f t="shared" si="105"/>
        <v>250</v>
      </c>
      <c r="CD11" s="161"/>
      <c r="CE11" s="162">
        <f t="shared" si="106"/>
        <v>250</v>
      </c>
      <c r="CF11" s="162">
        <f t="shared" si="106"/>
        <v>250</v>
      </c>
      <c r="CG11" s="162">
        <f t="shared" si="106"/>
        <v>25</v>
      </c>
      <c r="CH11" s="82">
        <f t="shared" si="12"/>
        <v>32259114.583333332</v>
      </c>
      <c r="CI11" s="159">
        <f t="shared" si="106"/>
        <v>80</v>
      </c>
      <c r="CJ11" s="159">
        <f t="shared" si="106"/>
        <v>80</v>
      </c>
      <c r="CK11" s="159">
        <f t="shared" si="106"/>
        <v>12</v>
      </c>
      <c r="CL11" s="82">
        <f t="shared" si="13"/>
        <v>32375022</v>
      </c>
      <c r="CM11" s="165" t="str">
        <f t="shared" si="106"/>
        <v>No</v>
      </c>
      <c r="CN11" s="143">
        <f t="shared" si="14"/>
        <v>32259114.583333332</v>
      </c>
      <c r="CO11" s="73">
        <f t="shared" si="15"/>
        <v>6613118489583.333</v>
      </c>
      <c r="CP11" s="159">
        <f t="shared" ref="CP11:CR13" si="119">CP$9</f>
        <v>0</v>
      </c>
      <c r="CQ11" s="159">
        <f t="shared" si="119"/>
        <v>0</v>
      </c>
      <c r="CR11" s="159">
        <f t="shared" si="119"/>
        <v>437</v>
      </c>
      <c r="CS11" s="159">
        <f t="shared" si="107"/>
        <v>0</v>
      </c>
      <c r="CT11" s="159">
        <f t="shared" si="107"/>
        <v>0</v>
      </c>
      <c r="CU11" s="159">
        <f t="shared" si="107"/>
        <v>0</v>
      </c>
      <c r="CV11" s="231">
        <f t="shared" si="107"/>
        <v>25</v>
      </c>
      <c r="CW11" s="159">
        <f t="shared" si="107"/>
        <v>280</v>
      </c>
      <c r="CX11" s="159">
        <f t="shared" si="107"/>
        <v>382</v>
      </c>
      <c r="CY11" s="159">
        <f t="shared" si="107"/>
        <v>421</v>
      </c>
      <c r="CZ11" s="159">
        <f t="shared" si="107"/>
        <v>25</v>
      </c>
      <c r="DA11" s="159">
        <f t="shared" si="107"/>
        <v>394</v>
      </c>
      <c r="DB11" s="159">
        <f t="shared" si="107"/>
        <v>271</v>
      </c>
      <c r="DC11" s="159">
        <f t="shared" si="107"/>
        <v>424</v>
      </c>
      <c r="DD11" s="159">
        <f t="shared" si="107"/>
        <v>25</v>
      </c>
      <c r="DE11" s="159">
        <f t="shared" si="107"/>
        <v>442</v>
      </c>
      <c r="DF11" s="159">
        <f t="shared" si="107"/>
        <v>267</v>
      </c>
      <c r="DG11" s="159">
        <f t="shared" si="107"/>
        <v>416</v>
      </c>
      <c r="DH11" s="159">
        <f t="shared" si="107"/>
        <v>25</v>
      </c>
      <c r="DI11" s="81">
        <f t="shared" si="16"/>
        <v>0.69738480697384808</v>
      </c>
      <c r="DJ11" s="81">
        <f t="shared" si="17"/>
        <v>1.1338129496402878</v>
      </c>
      <c r="DK11" s="81">
        <f t="shared" si="18"/>
        <v>1.2942898975109809</v>
      </c>
      <c r="DL11" s="82">
        <f t="shared" si="19"/>
        <v>293326465.20146519</v>
      </c>
      <c r="DM11" s="82">
        <f t="shared" si="20"/>
        <v>293326465.20146519</v>
      </c>
      <c r="DN11" s="82">
        <f t="shared" si="21"/>
        <v>293326465.20146519</v>
      </c>
      <c r="DO11" s="62">
        <f t="shared" si="22"/>
        <v>854.82641490982064</v>
      </c>
      <c r="DP11" s="62">
        <f t="shared" si="23"/>
        <v>4528.4969528959637</v>
      </c>
      <c r="DQ11" s="230">
        <f t="shared" si="24"/>
        <v>5325.4987527228977</v>
      </c>
      <c r="DR11" s="136">
        <f t="shared" si="25"/>
        <v>11806.476387882874</v>
      </c>
      <c r="DS11" s="136"/>
      <c r="DT11" s="136"/>
      <c r="DU11" s="216"/>
      <c r="DV11" s="216"/>
      <c r="DW11" s="216"/>
      <c r="DX11" s="216"/>
      <c r="DY11" s="216"/>
      <c r="DZ11" s="136"/>
      <c r="EA11" s="136"/>
      <c r="EB11" s="193" t="s">
        <v>169</v>
      </c>
      <c r="EC11" s="73"/>
      <c r="ED11" s="63" t="s">
        <v>195</v>
      </c>
      <c r="EF11" s="63">
        <v>128000000</v>
      </c>
      <c r="EG11" s="63" t="s">
        <v>197</v>
      </c>
      <c r="EH11" s="63">
        <v>4300</v>
      </c>
      <c r="EI11" s="73">
        <f t="shared" si="26"/>
        <v>18306.976744186046</v>
      </c>
      <c r="EJ11" s="63" t="s">
        <v>195</v>
      </c>
      <c r="EL11" s="63">
        <v>128000000</v>
      </c>
      <c r="EM11" s="63" t="s">
        <v>197</v>
      </c>
      <c r="EN11" s="63">
        <v>4300</v>
      </c>
      <c r="EO11" s="73">
        <f t="shared" si="27"/>
        <v>18306.976744186046</v>
      </c>
      <c r="EP11" s="63" t="s">
        <v>198</v>
      </c>
      <c r="ER11" s="82">
        <v>328870000</v>
      </c>
      <c r="ES11" s="63" t="s">
        <v>197</v>
      </c>
      <c r="ET11" s="63">
        <v>6000</v>
      </c>
      <c r="EU11" s="73">
        <f t="shared" si="28"/>
        <v>33709.175000000003</v>
      </c>
      <c r="FA11" s="73">
        <f t="shared" si="29"/>
        <v>0</v>
      </c>
      <c r="FI11" s="73"/>
      <c r="FJ11" s="73">
        <f t="shared" si="109"/>
        <v>70323.128488372095</v>
      </c>
      <c r="FK11" s="63" t="s">
        <v>115</v>
      </c>
      <c r="FL11" s="73">
        <f t="shared" si="110"/>
        <v>1000000000</v>
      </c>
      <c r="FO11" s="82"/>
      <c r="FR11" s="73">
        <f t="shared" si="30"/>
        <v>0</v>
      </c>
      <c r="FX11" s="73">
        <f t="shared" si="31"/>
        <v>0</v>
      </c>
      <c r="GD11" s="73">
        <f t="shared" si="32"/>
        <v>0</v>
      </c>
      <c r="GJ11" s="73">
        <f t="shared" si="33"/>
        <v>0</v>
      </c>
      <c r="GK11" s="73">
        <f t="shared" si="34"/>
        <v>1000000000</v>
      </c>
      <c r="GL11" s="174">
        <f t="shared" si="35"/>
        <v>35.54</v>
      </c>
      <c r="GM11" s="143">
        <f t="shared" si="36"/>
        <v>4.8046238128053489E-6</v>
      </c>
      <c r="GN11" s="248">
        <f t="shared" si="37"/>
        <v>3.3787617772620278E-10</v>
      </c>
      <c r="GO11" s="73">
        <f t="shared" si="38"/>
        <v>208118.20462436206</v>
      </c>
      <c r="GQ11" s="144"/>
      <c r="GR11" s="145"/>
      <c r="GS11" s="145"/>
      <c r="GT11" s="146"/>
      <c r="GU11" s="146"/>
      <c r="GV11" s="146"/>
      <c r="GW11" s="147"/>
      <c r="GX11" s="148"/>
      <c r="GY11" s="149"/>
      <c r="GZ11" s="149"/>
      <c r="HA11" s="149"/>
      <c r="HB11" s="150"/>
      <c r="HC11" s="150"/>
      <c r="HD11" s="146"/>
      <c r="HE11" s="146"/>
      <c r="HF11" s="153"/>
      <c r="HG11" s="151"/>
      <c r="HH11" s="144"/>
      <c r="HI11" s="149">
        <f t="shared" si="39"/>
        <v>6613.118489583333</v>
      </c>
      <c r="HJ11" s="149">
        <f t="shared" si="40"/>
        <v>11919.16576</v>
      </c>
      <c r="HK11" s="146">
        <f t="shared" si="41"/>
        <v>6460</v>
      </c>
      <c r="HL11" s="152">
        <f t="shared" si="42"/>
        <v>1350</v>
      </c>
      <c r="HM11" s="152">
        <f t="shared" si="43"/>
        <v>1050</v>
      </c>
      <c r="HN11" s="149">
        <f t="shared" si="111"/>
        <v>1070.7329147068401</v>
      </c>
      <c r="HO11" s="146">
        <f t="shared" si="44"/>
        <v>200</v>
      </c>
      <c r="HP11" s="152">
        <f t="shared" si="45"/>
        <v>208118.20462436206</v>
      </c>
      <c r="HQ11" s="148">
        <f t="shared" si="46"/>
        <v>11806.476387882874</v>
      </c>
      <c r="HR11" s="149">
        <f t="shared" ref="HR11:HR34" si="120">1/(HM11/HN11/HQ11+HL11/HN11/HP11)</f>
        <v>11221.152698876702</v>
      </c>
      <c r="HS11" s="226">
        <f t="shared" si="47"/>
        <v>2.6688207567567575</v>
      </c>
      <c r="HT11" s="145">
        <f t="shared" si="48"/>
        <v>32679.437837837839</v>
      </c>
      <c r="HU11" s="150">
        <f t="shared" si="49"/>
        <v>0.01</v>
      </c>
      <c r="HV11" s="150">
        <f t="shared" si="50"/>
        <v>5.0000000000000001E-4</v>
      </c>
      <c r="HW11" s="153">
        <f t="shared" si="51"/>
        <v>2</v>
      </c>
      <c r="HX11" s="153">
        <f t="shared" si="52"/>
        <v>1</v>
      </c>
      <c r="HY11" s="153"/>
      <c r="HZ11" s="151">
        <f t="shared" si="53"/>
        <v>16.937329147068404</v>
      </c>
      <c r="IA11" s="154"/>
      <c r="IB11" s="155">
        <f t="shared" si="54"/>
        <v>6.685037415768297E-3</v>
      </c>
      <c r="IC11" s="148">
        <f t="shared" si="55"/>
        <v>6176.2540394062353</v>
      </c>
      <c r="ID11" s="154"/>
      <c r="IE11" s="156">
        <f t="shared" si="56"/>
        <v>0.55483065029404655</v>
      </c>
      <c r="IF11" s="156">
        <f t="shared" si="57"/>
        <v>0.16574812921158516</v>
      </c>
      <c r="IG11" s="156">
        <f t="shared" si="58"/>
        <v>5.2911421112755157</v>
      </c>
      <c r="IH11" s="183">
        <f t="shared" si="59"/>
        <v>33.696509777044383</v>
      </c>
      <c r="II11" s="179">
        <f t="shared" si="60"/>
        <v>1.9115917694696882</v>
      </c>
      <c r="IJ11" s="156">
        <f t="shared" si="61"/>
        <v>1.8168217543000331</v>
      </c>
      <c r="IK11" s="157">
        <f t="shared" si="62"/>
        <v>8.1666666666666682E-5</v>
      </c>
      <c r="IL11" s="157">
        <f t="shared" si="63"/>
        <v>3.3149625842317032E-3</v>
      </c>
      <c r="IM11" s="157">
        <f t="shared" si="64"/>
        <v>1.5818444464001311E-2</v>
      </c>
      <c r="IN11" s="144"/>
      <c r="IO11" s="94">
        <f t="shared" si="65"/>
        <v>4.3781890491964035E-5</v>
      </c>
      <c r="IP11" s="94">
        <f t="shared" si="66"/>
        <v>4.0793883309078028E-4</v>
      </c>
      <c r="IQ11" s="94">
        <f t="shared" si="67"/>
        <v>0.10690884171375113</v>
      </c>
      <c r="IR11" s="94">
        <f t="shared" si="68"/>
        <v>0.11107999999998963</v>
      </c>
      <c r="IS11" s="94"/>
      <c r="IT11" s="94">
        <f t="shared" si="69"/>
        <v>7.1468960693287675E-2</v>
      </c>
      <c r="IU11" s="94">
        <f t="shared" si="70"/>
        <v>0.22519000000008443</v>
      </c>
      <c r="IV11" s="94">
        <f t="shared" si="71"/>
        <v>0.10690884171375113</v>
      </c>
      <c r="IW11" s="144"/>
      <c r="IX11" s="140">
        <f t="shared" si="72"/>
        <v>3.0583922736247775</v>
      </c>
      <c r="IY11" s="148">
        <f t="shared" si="112"/>
        <v>6613.118489583333</v>
      </c>
      <c r="IZ11" s="151">
        <f t="shared" si="113"/>
        <v>1.0707329147068401</v>
      </c>
      <c r="JA11" s="148">
        <f t="shared" ref="JA11:JA34" si="121">PI()^2*IY11/IZ11^2</f>
        <v>56930.335485445874</v>
      </c>
      <c r="JB11" s="148">
        <f t="shared" si="114"/>
        <v>4068.7519090650117</v>
      </c>
      <c r="JC11" s="148">
        <f t="shared" si="73"/>
        <v>6323.8216657227376</v>
      </c>
      <c r="JD11" s="148">
        <f t="shared" si="115"/>
        <v>2.6688207567567579</v>
      </c>
      <c r="JE11" s="148">
        <f t="shared" si="116"/>
        <v>24.86680252968139</v>
      </c>
      <c r="JF11" s="148">
        <f t="shared" si="117"/>
        <v>0</v>
      </c>
      <c r="JG11" s="136">
        <f t="shared" si="118"/>
        <v>6086.3562251242829</v>
      </c>
      <c r="JH11" s="152" t="str">
        <f t="shared" si="74"/>
        <v>-</v>
      </c>
      <c r="JI11" s="158" t="e">
        <f t="shared" si="75"/>
        <v>#VALUE!</v>
      </c>
    </row>
    <row r="12" spans="1:273" s="63" customFormat="1" hidden="1" x14ac:dyDescent="0.25">
      <c r="B12" s="63" t="s">
        <v>192</v>
      </c>
      <c r="C12" s="63" t="s">
        <v>190</v>
      </c>
      <c r="D12" s="159" t="str">
        <f>D$9</f>
        <v>Diagonal</v>
      </c>
      <c r="E12" s="217"/>
      <c r="F12" s="160">
        <f>F$9</f>
        <v>2035.6875000000002</v>
      </c>
      <c r="G12" s="160" t="str">
        <f t="shared" si="76"/>
        <v>-</v>
      </c>
      <c r="H12" s="159">
        <f t="shared" si="76"/>
        <v>6460</v>
      </c>
      <c r="I12" s="159">
        <f t="shared" si="76"/>
        <v>1050</v>
      </c>
      <c r="J12" s="68">
        <f t="shared" si="77"/>
        <v>1350</v>
      </c>
      <c r="K12" s="159">
        <f t="shared" si="76"/>
        <v>1050</v>
      </c>
      <c r="L12" s="159">
        <f t="shared" si="76"/>
        <v>35.54</v>
      </c>
      <c r="M12" s="159" t="str">
        <f t="shared" si="76"/>
        <v>Cruciform</v>
      </c>
      <c r="N12" s="159" t="str">
        <f t="shared" si="76"/>
        <v>SN400B</v>
      </c>
      <c r="O12" s="159">
        <f t="shared" si="76"/>
        <v>235</v>
      </c>
      <c r="P12" s="159">
        <f t="shared" si="76"/>
        <v>0</v>
      </c>
      <c r="Q12" s="159">
        <f t="shared" si="76"/>
        <v>125</v>
      </c>
      <c r="R12" s="159">
        <f t="shared" si="76"/>
        <v>125</v>
      </c>
      <c r="S12" s="159">
        <f t="shared" si="76"/>
        <v>25</v>
      </c>
      <c r="T12" s="62">
        <f t="shared" si="0"/>
        <v>5625</v>
      </c>
      <c r="U12" s="62">
        <f>T12*O12/10^3</f>
        <v>1321.875</v>
      </c>
      <c r="V12" s="159">
        <f t="shared" si="79"/>
        <v>1.1000000000000001</v>
      </c>
      <c r="W12" s="159">
        <f t="shared" si="79"/>
        <v>1.4</v>
      </c>
      <c r="X12" s="62">
        <f t="shared" si="1"/>
        <v>2035.6875000000002</v>
      </c>
      <c r="Y12" s="159" t="str">
        <f t="shared" si="80"/>
        <v>RHS</v>
      </c>
      <c r="Z12" s="159" t="str">
        <f t="shared" si="80"/>
        <v>STKR400</v>
      </c>
      <c r="AA12" s="159">
        <f t="shared" si="80"/>
        <v>245</v>
      </c>
      <c r="AB12" s="159">
        <f t="shared" si="80"/>
        <v>400</v>
      </c>
      <c r="AC12" s="159">
        <f t="shared" si="80"/>
        <v>250</v>
      </c>
      <c r="AD12" s="159">
        <f t="shared" si="80"/>
        <v>250</v>
      </c>
      <c r="AE12" s="159">
        <f t="shared" si="80"/>
        <v>6</v>
      </c>
      <c r="AF12" s="139">
        <f t="shared" si="2"/>
        <v>58142272</v>
      </c>
      <c r="AG12" s="73">
        <f t="shared" si="3"/>
        <v>11919165760000</v>
      </c>
      <c r="AH12" s="159" t="str">
        <f t="shared" si="81"/>
        <v>Cruciform</v>
      </c>
      <c r="AI12" s="159" t="str">
        <f t="shared" si="81"/>
        <v>SN400B</v>
      </c>
      <c r="AJ12" s="159">
        <f t="shared" si="81"/>
        <v>235</v>
      </c>
      <c r="AK12" s="159">
        <f t="shared" si="81"/>
        <v>0</v>
      </c>
      <c r="AL12" s="159">
        <f t="shared" si="81"/>
        <v>200</v>
      </c>
      <c r="AM12" s="159">
        <f t="shared" si="81"/>
        <v>200</v>
      </c>
      <c r="AN12" s="159">
        <f t="shared" si="81"/>
        <v>25</v>
      </c>
      <c r="AO12" s="159">
        <f t="shared" si="81"/>
        <v>25</v>
      </c>
      <c r="AP12" s="159">
        <f t="shared" si="4"/>
        <v>9375</v>
      </c>
      <c r="AQ12" s="159">
        <f t="shared" si="5"/>
        <v>5000</v>
      </c>
      <c r="AR12" s="63">
        <f t="shared" si="6"/>
        <v>16438802.083333334</v>
      </c>
      <c r="AT12" s="62">
        <f t="shared" si="82"/>
        <v>277343.75</v>
      </c>
      <c r="AU12" s="140">
        <f t="shared" si="83"/>
        <v>65.17578125</v>
      </c>
      <c r="AV12" s="199">
        <f t="shared" si="7"/>
        <v>0.92400000000000015</v>
      </c>
      <c r="AW12" s="199">
        <f t="shared" si="8"/>
        <v>0.70080816326530659</v>
      </c>
      <c r="AX12" s="140">
        <f t="shared" si="84"/>
        <v>19.500061702806093</v>
      </c>
      <c r="AY12" s="68">
        <v>400</v>
      </c>
      <c r="AZ12" s="159" t="s">
        <v>58</v>
      </c>
      <c r="BA12" s="140">
        <f t="shared" si="9"/>
        <v>2</v>
      </c>
      <c r="BB12" s="163">
        <f t="shared" si="85"/>
        <v>0.01</v>
      </c>
      <c r="BC12" s="164">
        <f t="shared" si="85"/>
        <v>5.0000000000000001E-4</v>
      </c>
      <c r="BD12" s="159">
        <f t="shared" si="85"/>
        <v>2</v>
      </c>
      <c r="BE12" s="161">
        <f t="shared" si="85"/>
        <v>1</v>
      </c>
      <c r="BF12" s="140">
        <f t="shared" si="11"/>
        <v>11.48</v>
      </c>
      <c r="BG12" s="193">
        <f t="shared" si="86"/>
        <v>245</v>
      </c>
      <c r="BH12" s="63">
        <f t="shared" si="87"/>
        <v>250</v>
      </c>
      <c r="BI12" s="63">
        <f t="shared" si="88"/>
        <v>6</v>
      </c>
      <c r="BJ12" s="63">
        <f t="shared" si="89"/>
        <v>200</v>
      </c>
      <c r="BK12" s="63">
        <f t="shared" si="90"/>
        <v>200</v>
      </c>
      <c r="BL12" s="63">
        <f t="shared" si="91"/>
        <v>400</v>
      </c>
      <c r="BM12" s="62">
        <f t="shared" si="92"/>
        <v>25</v>
      </c>
      <c r="BN12" s="62">
        <f t="shared" si="93"/>
        <v>64.505813691480554</v>
      </c>
      <c r="BO12" s="62">
        <f t="shared" si="94"/>
        <v>67.35647220054048</v>
      </c>
      <c r="BP12" s="142">
        <f t="shared" si="95"/>
        <v>7.1266462726498146E-3</v>
      </c>
      <c r="BQ12" s="136">
        <f t="shared" si="96"/>
        <v>20626.979276685674</v>
      </c>
      <c r="BR12" s="136">
        <f t="shared" si="97"/>
        <v>147.00118497821691</v>
      </c>
      <c r="BS12" s="62">
        <f t="shared" si="98"/>
        <v>12.5</v>
      </c>
      <c r="BT12" s="138">
        <f t="shared" si="99"/>
        <v>1.6333333333333335E-2</v>
      </c>
      <c r="BU12" s="142">
        <f t="shared" si="100"/>
        <v>4.0833333333333341E-5</v>
      </c>
      <c r="BV12" s="136">
        <f t="shared" si="101"/>
        <v>261435.50270270271</v>
      </c>
      <c r="BW12" s="202">
        <f t="shared" si="102"/>
        <v>10.67528302702703</v>
      </c>
      <c r="BX12" s="136">
        <f t="shared" si="103"/>
        <v>10.67528302702703</v>
      </c>
      <c r="BY12" s="136">
        <f t="shared" si="104"/>
        <v>261435.50270270271</v>
      </c>
      <c r="BZ12" s="159"/>
      <c r="CA12" s="161" t="str">
        <f t="shared" si="105"/>
        <v>Cruciform</v>
      </c>
      <c r="CB12" s="161" t="str">
        <f t="shared" si="105"/>
        <v>SN400B</v>
      </c>
      <c r="CC12" s="161">
        <f t="shared" si="105"/>
        <v>250</v>
      </c>
      <c r="CD12" s="161"/>
      <c r="CE12" s="162">
        <f t="shared" si="106"/>
        <v>250</v>
      </c>
      <c r="CF12" s="162">
        <f t="shared" si="106"/>
        <v>250</v>
      </c>
      <c r="CG12" s="162">
        <f t="shared" si="106"/>
        <v>25</v>
      </c>
      <c r="CH12" s="82">
        <f t="shared" si="12"/>
        <v>32259114.583333332</v>
      </c>
      <c r="CI12" s="159">
        <f t="shared" si="106"/>
        <v>80</v>
      </c>
      <c r="CJ12" s="159">
        <f t="shared" si="106"/>
        <v>80</v>
      </c>
      <c r="CK12" s="159">
        <f t="shared" si="106"/>
        <v>12</v>
      </c>
      <c r="CL12" s="82">
        <f t="shared" si="13"/>
        <v>32375022</v>
      </c>
      <c r="CM12" s="165" t="str">
        <f t="shared" si="106"/>
        <v>No</v>
      </c>
      <c r="CN12" s="143">
        <f t="shared" si="14"/>
        <v>32259114.583333332</v>
      </c>
      <c r="CO12" s="73">
        <f t="shared" si="15"/>
        <v>6613118489583.333</v>
      </c>
      <c r="CP12" s="159">
        <f t="shared" si="119"/>
        <v>0</v>
      </c>
      <c r="CQ12" s="159">
        <f t="shared" si="119"/>
        <v>0</v>
      </c>
      <c r="CR12" s="159">
        <f t="shared" si="119"/>
        <v>437</v>
      </c>
      <c r="CS12" s="159">
        <f t="shared" si="107"/>
        <v>0</v>
      </c>
      <c r="CT12" s="159">
        <f t="shared" si="107"/>
        <v>0</v>
      </c>
      <c r="CU12" s="159">
        <f t="shared" si="107"/>
        <v>0</v>
      </c>
      <c r="CV12" s="231">
        <f t="shared" si="107"/>
        <v>25</v>
      </c>
      <c r="CW12" s="159">
        <f t="shared" si="107"/>
        <v>280</v>
      </c>
      <c r="CX12" s="159">
        <f t="shared" si="107"/>
        <v>382</v>
      </c>
      <c r="CY12" s="159">
        <f t="shared" si="107"/>
        <v>421</v>
      </c>
      <c r="CZ12" s="159">
        <f t="shared" si="107"/>
        <v>25</v>
      </c>
      <c r="DA12" s="159">
        <f t="shared" si="107"/>
        <v>394</v>
      </c>
      <c r="DB12" s="159">
        <f t="shared" si="107"/>
        <v>271</v>
      </c>
      <c r="DC12" s="159">
        <f t="shared" si="107"/>
        <v>424</v>
      </c>
      <c r="DD12" s="159">
        <f t="shared" si="107"/>
        <v>25</v>
      </c>
      <c r="DE12" s="159">
        <f t="shared" si="107"/>
        <v>442</v>
      </c>
      <c r="DF12" s="159">
        <f t="shared" si="107"/>
        <v>267</v>
      </c>
      <c r="DG12" s="159">
        <f t="shared" si="107"/>
        <v>416</v>
      </c>
      <c r="DH12" s="159">
        <f t="shared" si="107"/>
        <v>25</v>
      </c>
      <c r="DI12" s="81">
        <f t="shared" si="16"/>
        <v>0.69738480697384808</v>
      </c>
      <c r="DJ12" s="81">
        <f t="shared" si="17"/>
        <v>1.1338129496402878</v>
      </c>
      <c r="DK12" s="81">
        <f t="shared" si="18"/>
        <v>1.2942898975109809</v>
      </c>
      <c r="DL12" s="82">
        <f t="shared" si="19"/>
        <v>293326465.20146519</v>
      </c>
      <c r="DM12" s="82">
        <f t="shared" si="20"/>
        <v>293326465.20146519</v>
      </c>
      <c r="DN12" s="82">
        <f t="shared" si="21"/>
        <v>293326465.20146519</v>
      </c>
      <c r="DO12" s="62">
        <f t="shared" si="22"/>
        <v>854.82641490982064</v>
      </c>
      <c r="DP12" s="62">
        <f t="shared" si="23"/>
        <v>4528.4969528959637</v>
      </c>
      <c r="DQ12" s="230">
        <f t="shared" si="24"/>
        <v>5325.4987527228977</v>
      </c>
      <c r="DR12" s="136">
        <f t="shared" si="25"/>
        <v>11806.476387882874</v>
      </c>
      <c r="DS12" s="136"/>
      <c r="DT12" s="136"/>
      <c r="DU12" s="216"/>
      <c r="DV12" s="216"/>
      <c r="DW12" s="216"/>
      <c r="DX12" s="216"/>
      <c r="DY12" s="216"/>
      <c r="DZ12" s="136"/>
      <c r="EA12" s="136"/>
      <c r="EB12" s="231" t="s">
        <v>169</v>
      </c>
      <c r="EC12" s="73"/>
      <c r="ED12" s="159" t="str">
        <f t="shared" ref="ED12:EF13" si="122">ED$9</f>
        <v>SHS250x16</v>
      </c>
      <c r="EE12" s="159"/>
      <c r="EF12" s="159">
        <f t="shared" si="122"/>
        <v>128000000</v>
      </c>
      <c r="EG12" s="159" t="str">
        <f t="shared" ref="EG12:EN13" si="123">EG$9</f>
        <v>Pinned</v>
      </c>
      <c r="EH12" s="159">
        <f t="shared" si="123"/>
        <v>4300</v>
      </c>
      <c r="EI12" s="73">
        <f t="shared" si="26"/>
        <v>18306.976744186046</v>
      </c>
      <c r="EJ12" s="159" t="str">
        <f t="shared" si="123"/>
        <v>SHS250x16</v>
      </c>
      <c r="EK12" s="159"/>
      <c r="EL12" s="159">
        <f t="shared" si="123"/>
        <v>128000000</v>
      </c>
      <c r="EM12" s="159" t="str">
        <f t="shared" si="123"/>
        <v>Pinned</v>
      </c>
      <c r="EN12" s="159">
        <f t="shared" si="123"/>
        <v>4300</v>
      </c>
      <c r="EO12" s="73">
        <f t="shared" si="27"/>
        <v>18306.976744186046</v>
      </c>
      <c r="EP12" s="159"/>
      <c r="EQ12" s="159"/>
      <c r="ES12" s="159"/>
      <c r="ET12" s="159"/>
      <c r="EU12" s="73">
        <f t="shared" si="28"/>
        <v>0</v>
      </c>
      <c r="EW12" s="159"/>
      <c r="FA12" s="73">
        <f t="shared" si="29"/>
        <v>0</v>
      </c>
      <c r="FI12" s="73"/>
      <c r="FJ12" s="73">
        <f t="shared" si="109"/>
        <v>36613.953488372092</v>
      </c>
      <c r="FK12" s="63" t="s">
        <v>115</v>
      </c>
      <c r="FL12" s="73">
        <f t="shared" si="110"/>
        <v>1000000000</v>
      </c>
      <c r="FN12" s="159"/>
      <c r="FO12" s="82"/>
      <c r="FR12" s="73">
        <f t="shared" si="30"/>
        <v>0</v>
      </c>
      <c r="FT12" s="159"/>
      <c r="FX12" s="73">
        <f t="shared" si="31"/>
        <v>0</v>
      </c>
      <c r="FZ12" s="159"/>
      <c r="GD12" s="73">
        <f t="shared" si="32"/>
        <v>0</v>
      </c>
      <c r="GF12" s="159"/>
      <c r="GJ12" s="73">
        <f t="shared" si="33"/>
        <v>0</v>
      </c>
      <c r="GK12" s="73">
        <f t="shared" si="34"/>
        <v>1000000000</v>
      </c>
      <c r="GL12" s="174">
        <f t="shared" si="35"/>
        <v>35.54</v>
      </c>
      <c r="GM12" s="143">
        <f t="shared" si="36"/>
        <v>9.228071419097255E-6</v>
      </c>
      <c r="GN12" s="248">
        <f t="shared" si="37"/>
        <v>3.3787617772620278E-10</v>
      </c>
      <c r="GO12" s="73">
        <f t="shared" si="38"/>
        <v>108361.03688118904</v>
      </c>
      <c r="GQ12" s="144"/>
      <c r="GR12" s="145"/>
      <c r="GS12" s="145"/>
      <c r="GT12" s="146"/>
      <c r="GU12" s="146"/>
      <c r="GV12" s="146"/>
      <c r="GW12" s="147"/>
      <c r="GX12" s="148"/>
      <c r="GY12" s="149"/>
      <c r="GZ12" s="149"/>
      <c r="HA12" s="149"/>
      <c r="HB12" s="150"/>
      <c r="HC12" s="150"/>
      <c r="HD12" s="146"/>
      <c r="HE12" s="146"/>
      <c r="HF12" s="153"/>
      <c r="HG12" s="151"/>
      <c r="HH12" s="144"/>
      <c r="HI12" s="149">
        <f t="shared" si="39"/>
        <v>6613.118489583333</v>
      </c>
      <c r="HJ12" s="149">
        <f t="shared" si="40"/>
        <v>11919.16576</v>
      </c>
      <c r="HK12" s="146">
        <f t="shared" si="41"/>
        <v>6460</v>
      </c>
      <c r="HL12" s="152">
        <f t="shared" si="42"/>
        <v>1350</v>
      </c>
      <c r="HM12" s="152">
        <f t="shared" si="43"/>
        <v>1050</v>
      </c>
      <c r="HN12" s="149">
        <f t="shared" si="111"/>
        <v>1087.3539004600389</v>
      </c>
      <c r="HO12" s="146">
        <f t="shared" si="44"/>
        <v>400</v>
      </c>
      <c r="HP12" s="152">
        <f t="shared" si="45"/>
        <v>108361.03688118904</v>
      </c>
      <c r="HQ12" s="148">
        <f t="shared" si="46"/>
        <v>11806.476387882874</v>
      </c>
      <c r="HR12" s="149">
        <f t="shared" si="120"/>
        <v>10724.194710260555</v>
      </c>
      <c r="HS12" s="226">
        <f t="shared" si="47"/>
        <v>10.67528302702703</v>
      </c>
      <c r="HT12" s="145">
        <f t="shared" si="48"/>
        <v>261435.50270270271</v>
      </c>
      <c r="HU12" s="150">
        <f t="shared" si="49"/>
        <v>0.01</v>
      </c>
      <c r="HV12" s="150">
        <f t="shared" si="50"/>
        <v>5.0000000000000001E-4</v>
      </c>
      <c r="HW12" s="153">
        <f t="shared" si="51"/>
        <v>2</v>
      </c>
      <c r="HX12" s="153">
        <f t="shared" si="52"/>
        <v>1</v>
      </c>
      <c r="HY12" s="153"/>
      <c r="HZ12" s="151">
        <f t="shared" si="53"/>
        <v>11.666769502300195</v>
      </c>
      <c r="IA12" s="154"/>
      <c r="IB12" s="155">
        <f t="shared" si="54"/>
        <v>3.3167896277708376E-3</v>
      </c>
      <c r="IC12" s="148">
        <f t="shared" si="55"/>
        <v>6081.8455580887221</v>
      </c>
      <c r="ID12" s="154"/>
      <c r="IE12" s="156">
        <f t="shared" si="56"/>
        <v>0.55483065029404655</v>
      </c>
      <c r="IF12" s="156">
        <f t="shared" si="57"/>
        <v>0.16832103722291622</v>
      </c>
      <c r="IG12" s="156">
        <f t="shared" si="58"/>
        <v>42.986212031477713</v>
      </c>
      <c r="IH12" s="183">
        <f t="shared" si="59"/>
        <v>17.817130646645772</v>
      </c>
      <c r="II12" s="179">
        <f t="shared" si="60"/>
        <v>1.9412654062187618</v>
      </c>
      <c r="IJ12" s="156">
        <f t="shared" si="61"/>
        <v>1.763312568172273</v>
      </c>
      <c r="IK12" s="157">
        <f t="shared" si="62"/>
        <v>4.0833333333333341E-5</v>
      </c>
      <c r="IL12" s="157">
        <f t="shared" si="63"/>
        <v>6.6832103722291626E-3</v>
      </c>
      <c r="IM12" s="157">
        <f t="shared" si="64"/>
        <v>1.0729505359169821E-2</v>
      </c>
      <c r="IN12" s="144"/>
      <c r="IO12" s="94">
        <f t="shared" si="65"/>
        <v>1.7784606690263448E-4</v>
      </c>
      <c r="IP12" s="94">
        <f t="shared" si="66"/>
        <v>7.9206826252585017E-4</v>
      </c>
      <c r="IQ12" s="94">
        <f t="shared" si="67"/>
        <v>0.10508365622206196</v>
      </c>
      <c r="IR12" s="94">
        <f t="shared" si="68"/>
        <v>0.11329999999998877</v>
      </c>
      <c r="IS12" s="94"/>
      <c r="IT12" s="94">
        <f t="shared" si="69"/>
        <v>6.9708076201114313E-2</v>
      </c>
      <c r="IU12" s="94">
        <f t="shared" si="70"/>
        <v>0.24428000000010353</v>
      </c>
      <c r="IV12" s="94">
        <f t="shared" si="71"/>
        <v>0.10508365622206196</v>
      </c>
      <c r="IW12" s="144"/>
      <c r="IX12" s="140">
        <f t="shared" si="72"/>
        <v>3.0848383585691548</v>
      </c>
      <c r="IY12" s="148">
        <f t="shared" si="112"/>
        <v>6613.118489583333</v>
      </c>
      <c r="IZ12" s="151">
        <f t="shared" si="113"/>
        <v>1.0873539004600388</v>
      </c>
      <c r="JA12" s="148">
        <f t="shared" si="121"/>
        <v>55203.195262795867</v>
      </c>
      <c r="JB12" s="148">
        <f t="shared" si="114"/>
        <v>3848.1085419239671</v>
      </c>
      <c r="JC12" s="148">
        <f t="shared" si="73"/>
        <v>6254.5220232741522</v>
      </c>
      <c r="JD12" s="148">
        <f t="shared" si="115"/>
        <v>10.67528302702703</v>
      </c>
      <c r="JE12" s="148">
        <f t="shared" si="116"/>
        <v>47.544221958072129</v>
      </c>
      <c r="JF12" s="148">
        <f t="shared" si="117"/>
        <v>0</v>
      </c>
      <c r="JG12" s="136">
        <f t="shared" si="118"/>
        <v>5800.9535933550014</v>
      </c>
      <c r="JH12" s="152" t="str">
        <f t="shared" si="74"/>
        <v>-</v>
      </c>
      <c r="JI12" s="158" t="e">
        <f t="shared" si="75"/>
        <v>#VALUE!</v>
      </c>
    </row>
    <row r="13" spans="1:273" s="63" customFormat="1" hidden="1" x14ac:dyDescent="0.25">
      <c r="B13" s="63" t="s">
        <v>92</v>
      </c>
      <c r="C13" s="63" t="s">
        <v>190</v>
      </c>
      <c r="D13" s="159" t="str">
        <f>D$9</f>
        <v>Diagonal</v>
      </c>
      <c r="E13" s="217"/>
      <c r="F13" s="160">
        <f>F$9</f>
        <v>2035.6875000000002</v>
      </c>
      <c r="G13" s="160" t="str">
        <f t="shared" si="76"/>
        <v>-</v>
      </c>
      <c r="H13" s="159">
        <f t="shared" si="76"/>
        <v>6460</v>
      </c>
      <c r="I13" s="159">
        <f t="shared" si="76"/>
        <v>1050</v>
      </c>
      <c r="J13" s="68">
        <f t="shared" si="77"/>
        <v>1350</v>
      </c>
      <c r="K13" s="159">
        <f t="shared" si="76"/>
        <v>1050</v>
      </c>
      <c r="L13" s="159">
        <f t="shared" si="76"/>
        <v>35.54</v>
      </c>
      <c r="M13" s="159" t="str">
        <f t="shared" si="76"/>
        <v>Cruciform</v>
      </c>
      <c r="N13" s="159" t="str">
        <f t="shared" si="76"/>
        <v>SN400B</v>
      </c>
      <c r="O13" s="159">
        <f t="shared" si="76"/>
        <v>235</v>
      </c>
      <c r="P13" s="159">
        <f t="shared" si="76"/>
        <v>0</v>
      </c>
      <c r="Q13" s="159">
        <f t="shared" si="76"/>
        <v>125</v>
      </c>
      <c r="R13" s="159">
        <f t="shared" si="76"/>
        <v>125</v>
      </c>
      <c r="S13" s="159">
        <f t="shared" si="76"/>
        <v>25</v>
      </c>
      <c r="T13" s="62">
        <f t="shared" si="0"/>
        <v>5625</v>
      </c>
      <c r="U13" s="62">
        <f>T13*O13/10^3</f>
        <v>1321.875</v>
      </c>
      <c r="V13" s="159">
        <f t="shared" si="79"/>
        <v>1.1000000000000001</v>
      </c>
      <c r="W13" s="159">
        <f t="shared" si="79"/>
        <v>1.4</v>
      </c>
      <c r="X13" s="62">
        <f t="shared" si="1"/>
        <v>2035.6875000000002</v>
      </c>
      <c r="Y13" s="68" t="s">
        <v>92</v>
      </c>
      <c r="Z13" s="159" t="str">
        <f t="shared" si="80"/>
        <v>STKR400</v>
      </c>
      <c r="AA13" s="159">
        <f t="shared" si="80"/>
        <v>245</v>
      </c>
      <c r="AB13" s="159">
        <f t="shared" si="80"/>
        <v>400</v>
      </c>
      <c r="AC13" s="68">
        <v>267.39999999999998</v>
      </c>
      <c r="AD13" s="68">
        <v>267.39999999999998</v>
      </c>
      <c r="AE13" s="68">
        <f t="shared" si="80"/>
        <v>6</v>
      </c>
      <c r="AF13" s="139">
        <f t="shared" si="2"/>
        <v>42107226.447440892</v>
      </c>
      <c r="AG13" s="73">
        <f t="shared" si="3"/>
        <v>8631981421725.3828</v>
      </c>
      <c r="AH13" s="159" t="str">
        <f t="shared" si="81"/>
        <v>Cruciform</v>
      </c>
      <c r="AI13" s="159" t="str">
        <f t="shared" si="81"/>
        <v>SN400B</v>
      </c>
      <c r="AJ13" s="159">
        <f t="shared" si="81"/>
        <v>235</v>
      </c>
      <c r="AK13" s="159">
        <f t="shared" si="81"/>
        <v>0</v>
      </c>
      <c r="AL13" s="159">
        <f t="shared" si="81"/>
        <v>200</v>
      </c>
      <c r="AM13" s="159">
        <f t="shared" si="81"/>
        <v>200</v>
      </c>
      <c r="AN13" s="159">
        <f t="shared" si="81"/>
        <v>25</v>
      </c>
      <c r="AO13" s="159">
        <f t="shared" si="81"/>
        <v>25</v>
      </c>
      <c r="AP13" s="159">
        <f t="shared" si="4"/>
        <v>9375</v>
      </c>
      <c r="AQ13" s="159">
        <f t="shared" si="5"/>
        <v>5000</v>
      </c>
      <c r="AR13" s="63">
        <f t="shared" si="6"/>
        <v>16438802.083333334</v>
      </c>
      <c r="AT13" s="62">
        <f t="shared" si="82"/>
        <v>277343.75</v>
      </c>
      <c r="AU13" s="140">
        <f t="shared" si="83"/>
        <v>65.17578125</v>
      </c>
      <c r="AV13" s="199">
        <f t="shared" si="7"/>
        <v>0.92400000000000015</v>
      </c>
      <c r="AW13" s="199">
        <f t="shared" si="8"/>
        <v>0.70080816326530659</v>
      </c>
      <c r="AX13" s="140">
        <f t="shared" si="84"/>
        <v>19.500061702806093</v>
      </c>
      <c r="AY13" s="159">
        <f>AY$9</f>
        <v>200</v>
      </c>
      <c r="AZ13" s="159" t="s">
        <v>58</v>
      </c>
      <c r="BA13" s="140">
        <f t="shared" si="9"/>
        <v>1</v>
      </c>
      <c r="BB13" s="163">
        <f t="shared" si="85"/>
        <v>0.01</v>
      </c>
      <c r="BC13" s="164">
        <f t="shared" si="85"/>
        <v>5.0000000000000001E-4</v>
      </c>
      <c r="BD13" s="159">
        <f t="shared" si="85"/>
        <v>2</v>
      </c>
      <c r="BE13" s="161">
        <f t="shared" si="85"/>
        <v>1</v>
      </c>
      <c r="BF13" s="140">
        <f t="shared" si="11"/>
        <v>16.73</v>
      </c>
      <c r="BG13" s="193">
        <f t="shared" si="86"/>
        <v>245</v>
      </c>
      <c r="BH13" s="63">
        <f t="shared" si="87"/>
        <v>267.39999999999998</v>
      </c>
      <c r="BI13" s="63">
        <f t="shared" si="88"/>
        <v>6</v>
      </c>
      <c r="BJ13" s="63">
        <f t="shared" si="89"/>
        <v>200</v>
      </c>
      <c r="BK13" s="63">
        <f t="shared" si="90"/>
        <v>200</v>
      </c>
      <c r="BL13" s="63">
        <f t="shared" si="91"/>
        <v>200</v>
      </c>
      <c r="BM13" s="62">
        <f t="shared" si="92"/>
        <v>33.699999999999989</v>
      </c>
      <c r="BN13" s="62">
        <f t="shared" si="93"/>
        <v>79.418448738312676</v>
      </c>
      <c r="BO13" s="62">
        <f t="shared" si="94"/>
        <v>83.439936870036561</v>
      </c>
      <c r="BP13" s="142">
        <f t="shared" si="95"/>
        <v>2.0107440658619424E-2</v>
      </c>
      <c r="BQ13" s="136">
        <f t="shared" si="96"/>
        <v>1807.6597298406421</v>
      </c>
      <c r="BR13" s="136">
        <f t="shared" si="97"/>
        <v>36.347410748746732</v>
      </c>
      <c r="BS13" s="62">
        <f t="shared" si="98"/>
        <v>16.849999999999994</v>
      </c>
      <c r="BT13" s="138">
        <f t="shared" si="99"/>
        <v>1.7470133333333332E-2</v>
      </c>
      <c r="BU13" s="142">
        <f t="shared" si="100"/>
        <v>8.7350666666666664E-5</v>
      </c>
      <c r="BV13" s="136">
        <f t="shared" si="101"/>
        <v>13629.13842193167</v>
      </c>
      <c r="BW13" s="202">
        <f t="shared" si="102"/>
        <v>1.1905143272480125</v>
      </c>
      <c r="BX13" s="136">
        <f t="shared" si="103"/>
        <v>36.347410748746732</v>
      </c>
      <c r="BY13" s="136">
        <f t="shared" si="104"/>
        <v>1807.6597298406421</v>
      </c>
      <c r="BZ13" s="159"/>
      <c r="CA13" s="161" t="str">
        <f t="shared" si="105"/>
        <v>Cruciform</v>
      </c>
      <c r="CB13" s="161" t="str">
        <f t="shared" si="105"/>
        <v>SN400B</v>
      </c>
      <c r="CC13" s="161">
        <f t="shared" si="105"/>
        <v>250</v>
      </c>
      <c r="CD13" s="161"/>
      <c r="CE13" s="162">
        <f t="shared" si="106"/>
        <v>250</v>
      </c>
      <c r="CF13" s="162">
        <f t="shared" si="106"/>
        <v>250</v>
      </c>
      <c r="CG13" s="162">
        <f t="shared" si="106"/>
        <v>25</v>
      </c>
      <c r="CH13" s="82">
        <f t="shared" si="12"/>
        <v>32259114.583333332</v>
      </c>
      <c r="CI13" s="159">
        <f t="shared" si="106"/>
        <v>80</v>
      </c>
      <c r="CJ13" s="159">
        <f t="shared" si="106"/>
        <v>80</v>
      </c>
      <c r="CK13" s="159">
        <f t="shared" si="106"/>
        <v>12</v>
      </c>
      <c r="CL13" s="82">
        <f t="shared" si="13"/>
        <v>32375022</v>
      </c>
      <c r="CM13" s="165" t="str">
        <f t="shared" si="106"/>
        <v>No</v>
      </c>
      <c r="CN13" s="143">
        <f t="shared" si="14"/>
        <v>32259114.583333332</v>
      </c>
      <c r="CO13" s="73">
        <f t="shared" si="15"/>
        <v>6613118489583.333</v>
      </c>
      <c r="CP13" s="159">
        <f t="shared" si="119"/>
        <v>0</v>
      </c>
      <c r="CQ13" s="159">
        <f t="shared" si="119"/>
        <v>0</v>
      </c>
      <c r="CR13" s="159">
        <f t="shared" si="119"/>
        <v>437</v>
      </c>
      <c r="CS13" s="159">
        <f t="shared" si="107"/>
        <v>0</v>
      </c>
      <c r="CT13" s="159">
        <f t="shared" si="107"/>
        <v>0</v>
      </c>
      <c r="CU13" s="159">
        <f t="shared" si="107"/>
        <v>0</v>
      </c>
      <c r="CV13" s="231">
        <f t="shared" si="107"/>
        <v>25</v>
      </c>
      <c r="CW13" s="159">
        <f t="shared" si="107"/>
        <v>280</v>
      </c>
      <c r="CX13" s="159">
        <f t="shared" si="107"/>
        <v>382</v>
      </c>
      <c r="CY13" s="159">
        <f t="shared" si="107"/>
        <v>421</v>
      </c>
      <c r="CZ13" s="159">
        <f t="shared" si="107"/>
        <v>25</v>
      </c>
      <c r="DA13" s="159">
        <f t="shared" si="107"/>
        <v>394</v>
      </c>
      <c r="DB13" s="159">
        <f t="shared" si="107"/>
        <v>271</v>
      </c>
      <c r="DC13" s="159">
        <f t="shared" si="107"/>
        <v>424</v>
      </c>
      <c r="DD13" s="159">
        <f t="shared" si="107"/>
        <v>25</v>
      </c>
      <c r="DE13" s="159">
        <f t="shared" si="107"/>
        <v>442</v>
      </c>
      <c r="DF13" s="159">
        <f t="shared" si="107"/>
        <v>267</v>
      </c>
      <c r="DG13" s="159">
        <f t="shared" si="107"/>
        <v>416</v>
      </c>
      <c r="DH13" s="159">
        <f t="shared" si="107"/>
        <v>25</v>
      </c>
      <c r="DI13" s="81">
        <f t="shared" si="16"/>
        <v>0.69738480697384808</v>
      </c>
      <c r="DJ13" s="81">
        <f t="shared" si="17"/>
        <v>1.1338129496402878</v>
      </c>
      <c r="DK13" s="81">
        <f t="shared" si="18"/>
        <v>1.2942898975109809</v>
      </c>
      <c r="DL13" s="82">
        <f t="shared" si="19"/>
        <v>293326465.20146519</v>
      </c>
      <c r="DM13" s="82">
        <f t="shared" si="20"/>
        <v>293326465.20146519</v>
      </c>
      <c r="DN13" s="82">
        <f t="shared" si="21"/>
        <v>293326465.20146519</v>
      </c>
      <c r="DO13" s="62">
        <f t="shared" si="22"/>
        <v>854.82641490982064</v>
      </c>
      <c r="DP13" s="62">
        <f t="shared" si="23"/>
        <v>4528.4969528959637</v>
      </c>
      <c r="DQ13" s="230">
        <f t="shared" si="24"/>
        <v>5325.4987527228977</v>
      </c>
      <c r="DR13" s="136">
        <f t="shared" si="25"/>
        <v>11806.476387882874</v>
      </c>
      <c r="DS13" s="136"/>
      <c r="DT13" s="136"/>
      <c r="DU13" s="216"/>
      <c r="DV13" s="216"/>
      <c r="DW13" s="216"/>
      <c r="DX13" s="216"/>
      <c r="DY13" s="216"/>
      <c r="DZ13" s="136"/>
      <c r="EA13" s="136"/>
      <c r="EB13" s="231" t="s">
        <v>169</v>
      </c>
      <c r="EC13" s="73"/>
      <c r="ED13" s="159" t="str">
        <f t="shared" si="122"/>
        <v>SHS250x16</v>
      </c>
      <c r="EE13" s="159"/>
      <c r="EF13" s="159">
        <f t="shared" si="122"/>
        <v>128000000</v>
      </c>
      <c r="EG13" s="159" t="str">
        <f t="shared" si="123"/>
        <v>Pinned</v>
      </c>
      <c r="EH13" s="159">
        <f t="shared" si="123"/>
        <v>4300</v>
      </c>
      <c r="EI13" s="73">
        <f t="shared" si="26"/>
        <v>18306.976744186046</v>
      </c>
      <c r="EJ13" s="159" t="str">
        <f t="shared" si="123"/>
        <v>SHS250x16</v>
      </c>
      <c r="EK13" s="159"/>
      <c r="EL13" s="159">
        <f t="shared" si="123"/>
        <v>128000000</v>
      </c>
      <c r="EM13" s="159" t="str">
        <f t="shared" si="123"/>
        <v>Pinned</v>
      </c>
      <c r="EN13" s="159">
        <f t="shared" si="123"/>
        <v>4300</v>
      </c>
      <c r="EO13" s="73">
        <f t="shared" si="27"/>
        <v>18306.976744186046</v>
      </c>
      <c r="EP13" s="159"/>
      <c r="EQ13" s="159"/>
      <c r="ES13" s="159"/>
      <c r="ET13" s="159"/>
      <c r="EU13" s="73">
        <f t="shared" si="28"/>
        <v>0</v>
      </c>
      <c r="EW13" s="159"/>
      <c r="FA13" s="73">
        <f t="shared" si="29"/>
        <v>0</v>
      </c>
      <c r="FI13" s="73"/>
      <c r="FJ13" s="73">
        <f t="shared" si="109"/>
        <v>36613.953488372092</v>
      </c>
      <c r="FK13" s="63" t="s">
        <v>115</v>
      </c>
      <c r="FL13" s="73">
        <f t="shared" si="110"/>
        <v>1000000000</v>
      </c>
      <c r="FN13" s="159"/>
      <c r="FO13" s="82"/>
      <c r="FR13" s="73">
        <f t="shared" si="30"/>
        <v>0</v>
      </c>
      <c r="FT13" s="159"/>
      <c r="FX13" s="73">
        <f t="shared" si="31"/>
        <v>0</v>
      </c>
      <c r="FZ13" s="159"/>
      <c r="GD13" s="73">
        <f t="shared" si="32"/>
        <v>0</v>
      </c>
      <c r="GF13" s="159"/>
      <c r="GJ13" s="73">
        <f t="shared" si="33"/>
        <v>0</v>
      </c>
      <c r="GK13" s="73">
        <f t="shared" si="34"/>
        <v>1000000000</v>
      </c>
      <c r="GL13" s="174">
        <f t="shared" si="35"/>
        <v>35.54</v>
      </c>
      <c r="GM13" s="143">
        <f t="shared" si="36"/>
        <v>9.228071419097255E-6</v>
      </c>
      <c r="GN13" s="248">
        <f t="shared" si="37"/>
        <v>3.3787617772620278E-10</v>
      </c>
      <c r="GO13" s="73">
        <f t="shared" si="38"/>
        <v>108361.03688118904</v>
      </c>
      <c r="GQ13" s="144"/>
      <c r="GR13" s="145"/>
      <c r="GS13" s="145"/>
      <c r="GT13" s="146"/>
      <c r="GU13" s="146"/>
      <c r="GV13" s="146"/>
      <c r="GW13" s="147"/>
      <c r="GX13" s="148"/>
      <c r="GY13" s="149"/>
      <c r="GZ13" s="149"/>
      <c r="HA13" s="149"/>
      <c r="HB13" s="150"/>
      <c r="HC13" s="150"/>
      <c r="HD13" s="146"/>
      <c r="HE13" s="146"/>
      <c r="HF13" s="153"/>
      <c r="HG13" s="151"/>
      <c r="HH13" s="144"/>
      <c r="HI13" s="149">
        <f t="shared" si="39"/>
        <v>6613.118489583333</v>
      </c>
      <c r="HJ13" s="149">
        <f t="shared" si="40"/>
        <v>8631.9814217253825</v>
      </c>
      <c r="HK13" s="146">
        <f t="shared" si="41"/>
        <v>6460</v>
      </c>
      <c r="HL13" s="152">
        <f t="shared" si="42"/>
        <v>1350</v>
      </c>
      <c r="HM13" s="152">
        <f t="shared" si="43"/>
        <v>1050</v>
      </c>
      <c r="HN13" s="149">
        <f t="shared" si="111"/>
        <v>1087.3539004600389</v>
      </c>
      <c r="HO13" s="146">
        <f t="shared" si="44"/>
        <v>200</v>
      </c>
      <c r="HP13" s="152">
        <f t="shared" si="45"/>
        <v>108361.03688118904</v>
      </c>
      <c r="HQ13" s="148">
        <f t="shared" si="46"/>
        <v>11806.476387882874</v>
      </c>
      <c r="HR13" s="149">
        <f t="shared" si="120"/>
        <v>10724.194710260555</v>
      </c>
      <c r="HS13" s="226">
        <f t="shared" si="47"/>
        <v>19.500061702806093</v>
      </c>
      <c r="HT13" s="145">
        <f t="shared" si="48"/>
        <v>1807.6597298406421</v>
      </c>
      <c r="HU13" s="150">
        <f t="shared" si="49"/>
        <v>0.01</v>
      </c>
      <c r="HV13" s="150">
        <f t="shared" si="50"/>
        <v>5.0000000000000001E-4</v>
      </c>
      <c r="HW13" s="153">
        <f t="shared" si="51"/>
        <v>2</v>
      </c>
      <c r="HX13" s="153">
        <f t="shared" si="52"/>
        <v>1</v>
      </c>
      <c r="HY13" s="153"/>
      <c r="HZ13" s="151">
        <f t="shared" si="53"/>
        <v>17.103539004600389</v>
      </c>
      <c r="IA13" s="154"/>
      <c r="IB13" s="155">
        <f t="shared" si="54"/>
        <v>6.6335792555416752E-3</v>
      </c>
      <c r="IC13" s="148">
        <f t="shared" si="55"/>
        <v>6081.8455580887221</v>
      </c>
      <c r="ID13" s="154"/>
      <c r="IE13" s="156">
        <f t="shared" si="56"/>
        <v>0.76611824869538314</v>
      </c>
      <c r="IF13" s="156">
        <f t="shared" si="57"/>
        <v>0.16832103722291622</v>
      </c>
      <c r="IG13" s="156">
        <f t="shared" si="58"/>
        <v>0.29722223502313272</v>
      </c>
      <c r="IH13" s="183">
        <f t="shared" si="59"/>
        <v>17.817130646645772</v>
      </c>
      <c r="II13" s="179">
        <f t="shared" si="60"/>
        <v>1.9412654062187618</v>
      </c>
      <c r="IJ13" s="156">
        <f t="shared" si="61"/>
        <v>1.763312568172273</v>
      </c>
      <c r="IK13" s="157">
        <f t="shared" si="62"/>
        <v>1.0787462585408794E-2</v>
      </c>
      <c r="IL13" s="157">
        <f t="shared" si="63"/>
        <v>3.366420744458325E-3</v>
      </c>
      <c r="IM13" s="157">
        <f t="shared" si="64"/>
        <v>1.572950535916982E-2</v>
      </c>
      <c r="IN13" s="144"/>
      <c r="IO13" s="94">
        <f t="shared" si="65"/>
        <v>3.2486345040432733E-4</v>
      </c>
      <c r="IP13" s="94">
        <f t="shared" si="66"/>
        <v>3.9897517532501442E-4</v>
      </c>
      <c r="IQ13" s="94">
        <f t="shared" si="67"/>
        <v>0.10508365622206196</v>
      </c>
      <c r="IR13" s="94">
        <f t="shared" si="68"/>
        <v>9.2439999999996858E-2</v>
      </c>
      <c r="IS13" s="94"/>
      <c r="IT13" s="94">
        <f t="shared" si="69"/>
        <v>6.9708076201114313E-2</v>
      </c>
      <c r="IU13" s="94">
        <f t="shared" si="70"/>
        <v>0.13262999999999187</v>
      </c>
      <c r="IV13" s="94">
        <f t="shared" si="71"/>
        <v>0.10508365622206196</v>
      </c>
      <c r="IW13" s="144"/>
      <c r="IX13" s="140">
        <f t="shared" si="72"/>
        <v>3.0848383585691548</v>
      </c>
      <c r="IY13" s="148">
        <f t="shared" si="112"/>
        <v>6613.118489583333</v>
      </c>
      <c r="IZ13" s="151">
        <f t="shared" si="113"/>
        <v>1.0873539004600388</v>
      </c>
      <c r="JA13" s="148">
        <f t="shared" si="121"/>
        <v>55203.195262795867</v>
      </c>
      <c r="JB13" s="148">
        <f t="shared" si="114"/>
        <v>3848.1085419239671</v>
      </c>
      <c r="JC13" s="148">
        <f t="shared" si="73"/>
        <v>5102.9833700926765</v>
      </c>
      <c r="JD13" s="148">
        <f t="shared" si="115"/>
        <v>19.500061702806097</v>
      </c>
      <c r="JE13" s="148">
        <f t="shared" si="116"/>
        <v>23.948648353770079</v>
      </c>
      <c r="JF13" s="148">
        <f t="shared" si="117"/>
        <v>0</v>
      </c>
      <c r="JG13" s="136">
        <f t="shared" si="118"/>
        <v>5800.9535933550014</v>
      </c>
      <c r="JH13" s="152" t="str">
        <f t="shared" si="74"/>
        <v>-</v>
      </c>
      <c r="JI13" s="158" t="e">
        <f t="shared" si="75"/>
        <v>#VALUE!</v>
      </c>
    </row>
    <row r="14" spans="1:273" s="63" customFormat="1" hidden="1" x14ac:dyDescent="0.25">
      <c r="A14" s="36"/>
      <c r="B14" s="36" t="s">
        <v>194</v>
      </c>
      <c r="C14" s="63" t="s">
        <v>190</v>
      </c>
      <c r="D14" s="166" t="str">
        <f>D$9</f>
        <v>Diagonal</v>
      </c>
      <c r="E14" s="218"/>
      <c r="F14" s="167">
        <f>F$9</f>
        <v>2035.6875000000002</v>
      </c>
      <c r="G14" s="167" t="str">
        <f t="shared" si="76"/>
        <v>-</v>
      </c>
      <c r="H14" s="166">
        <f t="shared" si="76"/>
        <v>6460</v>
      </c>
      <c r="I14" s="166">
        <f t="shared" si="76"/>
        <v>1050</v>
      </c>
      <c r="J14" s="25">
        <f t="shared" si="77"/>
        <v>1350</v>
      </c>
      <c r="K14" s="166">
        <f t="shared" si="76"/>
        <v>1050</v>
      </c>
      <c r="L14" s="166">
        <f t="shared" si="76"/>
        <v>35.54</v>
      </c>
      <c r="M14" s="166" t="str">
        <f t="shared" si="76"/>
        <v>Cruciform</v>
      </c>
      <c r="N14" s="166" t="str">
        <f t="shared" si="76"/>
        <v>SN400B</v>
      </c>
      <c r="O14" s="166">
        <f t="shared" si="76"/>
        <v>235</v>
      </c>
      <c r="P14" s="166">
        <f t="shared" si="76"/>
        <v>0</v>
      </c>
      <c r="Q14" s="166">
        <f t="shared" si="76"/>
        <v>125</v>
      </c>
      <c r="R14" s="166">
        <f t="shared" si="76"/>
        <v>125</v>
      </c>
      <c r="S14" s="166">
        <f t="shared" si="76"/>
        <v>25</v>
      </c>
      <c r="T14" s="30">
        <f t="shared" si="0"/>
        <v>5625</v>
      </c>
      <c r="U14" s="30">
        <f>T14*O14/10^3</f>
        <v>1321.875</v>
      </c>
      <c r="V14" s="166">
        <f t="shared" si="79"/>
        <v>1.1000000000000001</v>
      </c>
      <c r="W14" s="166">
        <f t="shared" si="79"/>
        <v>1.4</v>
      </c>
      <c r="X14" s="30">
        <f t="shared" si="1"/>
        <v>2035.6875000000002</v>
      </c>
      <c r="Y14" s="25" t="s">
        <v>92</v>
      </c>
      <c r="Z14" s="166" t="str">
        <f t="shared" si="80"/>
        <v>STKR400</v>
      </c>
      <c r="AA14" s="166">
        <f t="shared" si="80"/>
        <v>245</v>
      </c>
      <c r="AB14" s="166">
        <f t="shared" si="80"/>
        <v>400</v>
      </c>
      <c r="AC14" s="25">
        <v>267.39999999999998</v>
      </c>
      <c r="AD14" s="25">
        <v>267.39999999999998</v>
      </c>
      <c r="AE14" s="25">
        <f t="shared" si="80"/>
        <v>6</v>
      </c>
      <c r="AF14" s="118">
        <f t="shared" si="2"/>
        <v>42107226.447440892</v>
      </c>
      <c r="AG14" s="74">
        <f t="shared" si="3"/>
        <v>8631981421725.3828</v>
      </c>
      <c r="AH14" s="166" t="str">
        <f t="shared" si="81"/>
        <v>Cruciform</v>
      </c>
      <c r="AI14" s="166" t="str">
        <f t="shared" si="81"/>
        <v>SN400B</v>
      </c>
      <c r="AJ14" s="166">
        <f t="shared" si="81"/>
        <v>235</v>
      </c>
      <c r="AK14" s="166">
        <f t="shared" si="81"/>
        <v>0</v>
      </c>
      <c r="AL14" s="166">
        <f t="shared" si="81"/>
        <v>200</v>
      </c>
      <c r="AM14" s="166">
        <f t="shared" si="81"/>
        <v>200</v>
      </c>
      <c r="AN14" s="166">
        <f t="shared" si="81"/>
        <v>25</v>
      </c>
      <c r="AO14" s="166">
        <f t="shared" si="81"/>
        <v>25</v>
      </c>
      <c r="AP14" s="166">
        <f t="shared" si="4"/>
        <v>9375</v>
      </c>
      <c r="AQ14" s="166">
        <f t="shared" si="5"/>
        <v>5000</v>
      </c>
      <c r="AR14" s="36">
        <f t="shared" si="6"/>
        <v>16438802.083333334</v>
      </c>
      <c r="AS14" s="36"/>
      <c r="AT14" s="30">
        <f t="shared" si="82"/>
        <v>277343.75</v>
      </c>
      <c r="AU14" s="119">
        <f t="shared" si="83"/>
        <v>65.17578125</v>
      </c>
      <c r="AV14" s="215">
        <f t="shared" si="7"/>
        <v>0.92400000000000015</v>
      </c>
      <c r="AW14" s="215">
        <f t="shared" si="8"/>
        <v>0.70080816326530659</v>
      </c>
      <c r="AX14" s="119">
        <f t="shared" si="84"/>
        <v>19.500061702806093</v>
      </c>
      <c r="AY14" s="25">
        <v>400</v>
      </c>
      <c r="AZ14" s="166" t="s">
        <v>58</v>
      </c>
      <c r="BA14" s="119">
        <f t="shared" si="9"/>
        <v>2</v>
      </c>
      <c r="BB14" s="170">
        <f t="shared" si="85"/>
        <v>0.01</v>
      </c>
      <c r="BC14" s="171">
        <f t="shared" si="85"/>
        <v>5.0000000000000001E-4</v>
      </c>
      <c r="BD14" s="166">
        <f t="shared" si="85"/>
        <v>2</v>
      </c>
      <c r="BE14" s="168">
        <f t="shared" si="85"/>
        <v>1</v>
      </c>
      <c r="BF14" s="119">
        <f t="shared" si="11"/>
        <v>11.48</v>
      </c>
      <c r="BG14" s="194">
        <f t="shared" si="86"/>
        <v>245</v>
      </c>
      <c r="BH14" s="36">
        <f t="shared" si="87"/>
        <v>267.39999999999998</v>
      </c>
      <c r="BI14" s="36">
        <f t="shared" si="88"/>
        <v>6</v>
      </c>
      <c r="BJ14" s="36">
        <f t="shared" si="89"/>
        <v>200</v>
      </c>
      <c r="BK14" s="36">
        <f t="shared" si="90"/>
        <v>200</v>
      </c>
      <c r="BL14" s="36">
        <f t="shared" si="91"/>
        <v>400</v>
      </c>
      <c r="BM14" s="30">
        <f t="shared" si="92"/>
        <v>33.699999999999989</v>
      </c>
      <c r="BN14" s="30">
        <f t="shared" si="93"/>
        <v>79.418448738312676</v>
      </c>
      <c r="BO14" s="30">
        <f t="shared" si="94"/>
        <v>83.439936870036561</v>
      </c>
      <c r="BP14" s="212">
        <f t="shared" si="95"/>
        <v>1.0053720329309712E-2</v>
      </c>
      <c r="BQ14" s="117">
        <f t="shared" si="96"/>
        <v>14461.277838725136</v>
      </c>
      <c r="BR14" s="117">
        <f t="shared" si="97"/>
        <v>145.38964299498693</v>
      </c>
      <c r="BS14" s="30">
        <f t="shared" si="98"/>
        <v>16.849999999999994</v>
      </c>
      <c r="BT14" s="213">
        <f t="shared" si="99"/>
        <v>1.7470133333333332E-2</v>
      </c>
      <c r="BU14" s="212">
        <f t="shared" si="100"/>
        <v>4.3675333333333332E-5</v>
      </c>
      <c r="BV14" s="117">
        <f t="shared" si="101"/>
        <v>109033.10737545336</v>
      </c>
      <c r="BW14" s="214">
        <f t="shared" si="102"/>
        <v>4.7620573089920502</v>
      </c>
      <c r="BX14" s="117">
        <f t="shared" si="103"/>
        <v>145.38964299498693</v>
      </c>
      <c r="BY14" s="117">
        <f t="shared" si="104"/>
        <v>14461.277838725136</v>
      </c>
      <c r="BZ14" s="166"/>
      <c r="CA14" s="168" t="str">
        <f t="shared" si="105"/>
        <v>Cruciform</v>
      </c>
      <c r="CB14" s="168" t="str">
        <f t="shared" si="105"/>
        <v>SN400B</v>
      </c>
      <c r="CC14" s="168">
        <f t="shared" si="105"/>
        <v>250</v>
      </c>
      <c r="CD14" s="168"/>
      <c r="CE14" s="169">
        <f t="shared" si="106"/>
        <v>250</v>
      </c>
      <c r="CF14" s="169">
        <f t="shared" si="106"/>
        <v>250</v>
      </c>
      <c r="CG14" s="169">
        <f t="shared" si="106"/>
        <v>25</v>
      </c>
      <c r="CH14" s="54">
        <f t="shared" si="12"/>
        <v>32259114.583333332</v>
      </c>
      <c r="CI14" s="166">
        <f t="shared" si="106"/>
        <v>80</v>
      </c>
      <c r="CJ14" s="166">
        <f t="shared" si="106"/>
        <v>80</v>
      </c>
      <c r="CK14" s="166">
        <f t="shared" si="106"/>
        <v>12</v>
      </c>
      <c r="CL14" s="54">
        <f t="shared" si="13"/>
        <v>32375022</v>
      </c>
      <c r="CM14" s="172" t="str">
        <f t="shared" si="106"/>
        <v>No</v>
      </c>
      <c r="CN14" s="120">
        <f t="shared" si="14"/>
        <v>32259114.583333332</v>
      </c>
      <c r="CO14" s="74">
        <f t="shared" si="15"/>
        <v>6613118489583.333</v>
      </c>
      <c r="CP14" s="36">
        <f t="shared" ref="CP14:CU14" si="124">CP10</f>
        <v>453</v>
      </c>
      <c r="CQ14" s="36">
        <f t="shared" si="124"/>
        <v>280</v>
      </c>
      <c r="CR14" s="36">
        <f t="shared" si="124"/>
        <v>329</v>
      </c>
      <c r="CS14" s="36">
        <f t="shared" si="124"/>
        <v>0</v>
      </c>
      <c r="CT14" s="36">
        <f t="shared" si="124"/>
        <v>0</v>
      </c>
      <c r="CU14" s="36">
        <f t="shared" si="124"/>
        <v>0</v>
      </c>
      <c r="CV14" s="194">
        <f t="shared" ref="CV14:DD14" si="125">CV10</f>
        <v>25</v>
      </c>
      <c r="CW14" s="36">
        <f t="shared" si="125"/>
        <v>387</v>
      </c>
      <c r="CX14" s="36">
        <f t="shared" si="125"/>
        <v>150</v>
      </c>
      <c r="CY14" s="36">
        <f t="shared" si="125"/>
        <v>152</v>
      </c>
      <c r="CZ14" s="36">
        <f t="shared" si="125"/>
        <v>25</v>
      </c>
      <c r="DA14" s="36">
        <f t="shared" si="125"/>
        <v>390</v>
      </c>
      <c r="DB14" s="36">
        <f t="shared" si="125"/>
        <v>273</v>
      </c>
      <c r="DC14" s="36">
        <f t="shared" si="125"/>
        <v>149</v>
      </c>
      <c r="DD14" s="36">
        <f t="shared" si="125"/>
        <v>25</v>
      </c>
      <c r="DE14" s="36">
        <f>DE10</f>
        <v>369</v>
      </c>
      <c r="DF14" s="36">
        <f>DF10</f>
        <v>159</v>
      </c>
      <c r="DG14" s="36">
        <f>DG10</f>
        <v>391</v>
      </c>
      <c r="DH14" s="36">
        <f>DH10</f>
        <v>25</v>
      </c>
      <c r="DI14" s="53">
        <f t="shared" si="16"/>
        <v>2.5629139072847682</v>
      </c>
      <c r="DJ14" s="53">
        <f t="shared" si="17"/>
        <v>1.8483412322274881</v>
      </c>
      <c r="DK14" s="53">
        <f t="shared" si="18"/>
        <v>1.3418181818181818</v>
      </c>
      <c r="DL14" s="54">
        <f t="shared" si="19"/>
        <v>293326465.20146519</v>
      </c>
      <c r="DM14" s="54">
        <f t="shared" si="20"/>
        <v>293326465.20146519</v>
      </c>
      <c r="DN14" s="54">
        <f t="shared" si="21"/>
        <v>293326465.20146519</v>
      </c>
      <c r="DO14" s="30">
        <f t="shared" si="22"/>
        <v>106772.92393335181</v>
      </c>
      <c r="DP14" s="30">
        <f t="shared" si="23"/>
        <v>7274.5830500262928</v>
      </c>
      <c r="DQ14" s="232">
        <f t="shared" si="24"/>
        <v>15568.639856642703</v>
      </c>
      <c r="DR14" s="117">
        <f t="shared" si="25"/>
        <v>142901.80189112294</v>
      </c>
      <c r="DS14" s="117"/>
      <c r="DT14" s="117"/>
      <c r="DU14" s="261"/>
      <c r="DV14" s="261"/>
      <c r="DW14" s="261"/>
      <c r="DX14" s="261"/>
      <c r="DY14" s="261"/>
      <c r="DZ14" s="117"/>
      <c r="EA14" s="117"/>
      <c r="EB14" s="194" t="s">
        <v>169</v>
      </c>
      <c r="EC14" s="74"/>
      <c r="ED14" s="36" t="str">
        <f>ED11</f>
        <v>SHS250x16</v>
      </c>
      <c r="EE14" s="36"/>
      <c r="EF14" s="36">
        <f>EF11</f>
        <v>128000000</v>
      </c>
      <c r="EG14" s="36" t="str">
        <f>EG11</f>
        <v>Pinned</v>
      </c>
      <c r="EH14" s="36">
        <f>EH11</f>
        <v>4300</v>
      </c>
      <c r="EI14" s="74">
        <f t="shared" si="26"/>
        <v>18306.976744186046</v>
      </c>
      <c r="EJ14" s="36" t="str">
        <f>EJ11</f>
        <v>SHS250x16</v>
      </c>
      <c r="EK14" s="36"/>
      <c r="EL14" s="36">
        <f>EL11</f>
        <v>128000000</v>
      </c>
      <c r="EM14" s="36" t="str">
        <f>EM11</f>
        <v>Pinned</v>
      </c>
      <c r="EN14" s="36">
        <f>EN11</f>
        <v>4300</v>
      </c>
      <c r="EO14" s="74">
        <f t="shared" si="27"/>
        <v>18306.976744186046</v>
      </c>
      <c r="EP14" s="36" t="str">
        <f>EP11</f>
        <v>H450x200x14x9</v>
      </c>
      <c r="EQ14" s="36"/>
      <c r="ER14" s="36">
        <f>ER11</f>
        <v>328870000</v>
      </c>
      <c r="ES14" s="36" t="str">
        <f>ES11</f>
        <v>Pinned</v>
      </c>
      <c r="ET14" s="36">
        <f>ET11</f>
        <v>6000</v>
      </c>
      <c r="EU14" s="74">
        <f t="shared" si="28"/>
        <v>33709.175000000003</v>
      </c>
      <c r="EV14" s="36"/>
      <c r="EW14" s="36"/>
      <c r="EX14" s="36"/>
      <c r="EY14" s="36"/>
      <c r="EZ14" s="36"/>
      <c r="FA14" s="74">
        <f t="shared" si="29"/>
        <v>0</v>
      </c>
      <c r="FB14" s="36"/>
      <c r="FC14" s="36"/>
      <c r="FD14" s="36"/>
      <c r="FE14" s="36"/>
      <c r="FF14" s="36"/>
      <c r="FG14" s="36"/>
      <c r="FH14" s="36"/>
      <c r="FI14" s="74"/>
      <c r="FJ14" s="74">
        <f t="shared" si="109"/>
        <v>70323.128488372095</v>
      </c>
      <c r="FK14" s="36" t="s">
        <v>115</v>
      </c>
      <c r="FL14" s="74">
        <f t="shared" si="110"/>
        <v>1000000000</v>
      </c>
      <c r="FM14" s="36"/>
      <c r="FN14" s="36"/>
      <c r="FO14" s="54"/>
      <c r="FP14" s="36"/>
      <c r="FQ14" s="36"/>
      <c r="FR14" s="74">
        <f t="shared" si="30"/>
        <v>0</v>
      </c>
      <c r="FS14" s="36"/>
      <c r="FT14" s="36"/>
      <c r="FU14" s="36"/>
      <c r="FV14" s="36"/>
      <c r="FW14" s="36"/>
      <c r="FX14" s="74">
        <f t="shared" si="31"/>
        <v>0</v>
      </c>
      <c r="FY14" s="36"/>
      <c r="FZ14" s="36"/>
      <c r="GA14" s="36"/>
      <c r="GB14" s="36"/>
      <c r="GC14" s="36"/>
      <c r="GD14" s="74">
        <f t="shared" si="32"/>
        <v>0</v>
      </c>
      <c r="GE14" s="36"/>
      <c r="GF14" s="36"/>
      <c r="GG14" s="36"/>
      <c r="GH14" s="36"/>
      <c r="GI14" s="36"/>
      <c r="GJ14" s="74">
        <f t="shared" si="33"/>
        <v>0</v>
      </c>
      <c r="GK14" s="74">
        <f t="shared" si="34"/>
        <v>1000000000</v>
      </c>
      <c r="GL14" s="175">
        <f t="shared" si="35"/>
        <v>35.54</v>
      </c>
      <c r="GM14" s="120">
        <f t="shared" si="36"/>
        <v>4.8046238128053489E-6</v>
      </c>
      <c r="GN14" s="249">
        <f t="shared" si="37"/>
        <v>3.3787617772620278E-10</v>
      </c>
      <c r="GO14" s="74">
        <f t="shared" si="38"/>
        <v>208118.20462436206</v>
      </c>
      <c r="GP14" s="36"/>
      <c r="GQ14" s="121"/>
      <c r="GR14" s="122"/>
      <c r="GS14" s="122"/>
      <c r="GT14" s="123"/>
      <c r="GU14" s="123"/>
      <c r="GV14" s="123"/>
      <c r="GW14" s="124"/>
      <c r="GX14" s="125"/>
      <c r="GY14" s="126"/>
      <c r="GZ14" s="126"/>
      <c r="HA14" s="126"/>
      <c r="HB14" s="127"/>
      <c r="HC14" s="127"/>
      <c r="HD14" s="123"/>
      <c r="HE14" s="123"/>
      <c r="HF14" s="130"/>
      <c r="HG14" s="128"/>
      <c r="HH14" s="121"/>
      <c r="HI14" s="126">
        <f t="shared" si="39"/>
        <v>6613.118489583333</v>
      </c>
      <c r="HJ14" s="126">
        <f t="shared" si="40"/>
        <v>8631.9814217253825</v>
      </c>
      <c r="HK14" s="123">
        <f t="shared" si="41"/>
        <v>6460</v>
      </c>
      <c r="HL14" s="129">
        <f t="shared" si="42"/>
        <v>1350</v>
      </c>
      <c r="HM14" s="129">
        <f t="shared" si="43"/>
        <v>1050</v>
      </c>
      <c r="HN14" s="126">
        <f t="shared" si="111"/>
        <v>1190.6637317050097</v>
      </c>
      <c r="HO14" s="123">
        <f t="shared" si="44"/>
        <v>400</v>
      </c>
      <c r="HP14" s="129">
        <f t="shared" si="45"/>
        <v>208118.20462436206</v>
      </c>
      <c r="HQ14" s="125">
        <f t="shared" si="46"/>
        <v>142901.80189112294</v>
      </c>
      <c r="HR14" s="126">
        <f t="shared" si="120"/>
        <v>86065.432588569427</v>
      </c>
      <c r="HS14" s="227">
        <f t="shared" si="47"/>
        <v>19.500061702806093</v>
      </c>
      <c r="HT14" s="122">
        <f t="shared" si="48"/>
        <v>14461.277838725136</v>
      </c>
      <c r="HU14" s="127">
        <f t="shared" si="49"/>
        <v>0.01</v>
      </c>
      <c r="HV14" s="127">
        <f t="shared" si="50"/>
        <v>5.0000000000000001E-4</v>
      </c>
      <c r="HW14" s="130">
        <f t="shared" si="51"/>
        <v>2</v>
      </c>
      <c r="HX14" s="130">
        <f t="shared" si="52"/>
        <v>1</v>
      </c>
      <c r="HY14" s="130"/>
      <c r="HZ14" s="128">
        <f t="shared" si="53"/>
        <v>12.183318658525049</v>
      </c>
      <c r="IA14" s="131"/>
      <c r="IB14" s="132">
        <f t="shared" si="54"/>
        <v>3.1568672883823378E-3</v>
      </c>
      <c r="IC14" s="125">
        <f t="shared" si="55"/>
        <v>5554.1445611293311</v>
      </c>
      <c r="ID14" s="131"/>
      <c r="IE14" s="133">
        <f t="shared" si="56"/>
        <v>0.76611824869538314</v>
      </c>
      <c r="IF14" s="133">
        <f t="shared" si="57"/>
        <v>0.18431327116176621</v>
      </c>
      <c r="IG14" s="133">
        <f t="shared" si="58"/>
        <v>2.603691293873112</v>
      </c>
      <c r="IH14" s="184">
        <f t="shared" si="59"/>
        <v>37.470793626956862</v>
      </c>
      <c r="II14" s="180">
        <f t="shared" si="60"/>
        <v>25.728858930179978</v>
      </c>
      <c r="IJ14" s="133">
        <f t="shared" si="61"/>
        <v>15.495713451698427</v>
      </c>
      <c r="IK14" s="134">
        <f t="shared" si="62"/>
        <v>1.3484328231760992E-3</v>
      </c>
      <c r="IL14" s="134">
        <f t="shared" si="63"/>
        <v>6.8431327116176624E-3</v>
      </c>
      <c r="IM14" s="134">
        <f t="shared" si="64"/>
        <v>1.0232375719615437E-2</v>
      </c>
      <c r="IN14" s="121"/>
      <c r="IO14" s="16">
        <f t="shared" si="65"/>
        <v>3.5572882755957629E-4</v>
      </c>
      <c r="IP14" s="16">
        <f t="shared" si="66"/>
        <v>6.7834888350057606E-3</v>
      </c>
      <c r="IQ14" s="16">
        <f t="shared" si="67"/>
        <v>0.21608954111575457</v>
      </c>
      <c r="IR14" s="16">
        <f t="shared" si="68"/>
        <v>0.14604000000000528</v>
      </c>
      <c r="IS14" s="16"/>
      <c r="IT14" s="16">
        <f t="shared" si="69"/>
        <v>0.13643320074197518</v>
      </c>
      <c r="IU14" s="16">
        <f t="shared" si="70"/>
        <v>0.34939000000020864</v>
      </c>
      <c r="IV14" s="16">
        <f t="shared" si="71"/>
        <v>0.21608954111575457</v>
      </c>
      <c r="IW14" s="121"/>
      <c r="IX14" s="119">
        <f t="shared" si="72"/>
        <v>2.1512115767669227</v>
      </c>
      <c r="IY14" s="125">
        <f t="shared" si="112"/>
        <v>6613.118489583333</v>
      </c>
      <c r="IZ14" s="128">
        <f t="shared" si="113"/>
        <v>1.1906637317050097</v>
      </c>
      <c r="JA14" s="125">
        <f t="shared" si="121"/>
        <v>46039.20329908032</v>
      </c>
      <c r="JB14" s="125">
        <f t="shared" si="114"/>
        <v>6281.2758657040313</v>
      </c>
      <c r="JC14" s="125">
        <f t="shared" si="73"/>
        <v>6723.5652497979327</v>
      </c>
      <c r="JD14" s="125">
        <f t="shared" si="115"/>
        <v>19.500061702806097</v>
      </c>
      <c r="JE14" s="125">
        <f t="shared" si="116"/>
        <v>371.85192932038944</v>
      </c>
      <c r="JF14" s="125">
        <f t="shared" si="117"/>
        <v>0</v>
      </c>
      <c r="JG14" s="117">
        <f t="shared" si="118"/>
        <v>9948.5903142332027</v>
      </c>
      <c r="JH14" s="129" t="str">
        <f t="shared" si="74"/>
        <v>-</v>
      </c>
      <c r="JI14" s="135" t="e">
        <f t="shared" si="75"/>
        <v>#VALUE!</v>
      </c>
    </row>
    <row r="15" spans="1:273" s="46" customFormat="1" x14ac:dyDescent="0.25">
      <c r="A15" s="46" t="s">
        <v>14</v>
      </c>
      <c r="B15" s="46">
        <v>2014</v>
      </c>
      <c r="C15" s="46" t="s">
        <v>82</v>
      </c>
      <c r="D15" s="59" t="s">
        <v>84</v>
      </c>
      <c r="E15" s="219">
        <v>452</v>
      </c>
      <c r="F15" s="56">
        <f t="shared" ref="F15:F20" si="126">X15</f>
        <v>431</v>
      </c>
      <c r="G15" s="60" t="s">
        <v>58</v>
      </c>
      <c r="H15" s="59">
        <v>2392</v>
      </c>
      <c r="I15" s="68">
        <f>($H15-1380)/2</f>
        <v>506</v>
      </c>
      <c r="J15" s="68">
        <f t="shared" si="77"/>
        <v>806</v>
      </c>
      <c r="K15" s="68">
        <f>($H15-1380)/2</f>
        <v>506</v>
      </c>
      <c r="L15" s="59">
        <v>38.21</v>
      </c>
      <c r="M15" s="59" t="s">
        <v>90</v>
      </c>
      <c r="N15" s="59" t="s">
        <v>94</v>
      </c>
      <c r="O15" s="79">
        <v>266</v>
      </c>
      <c r="P15" s="224">
        <f>O15*W15</f>
        <v>399.07407407407413</v>
      </c>
      <c r="Q15" s="59">
        <v>90</v>
      </c>
      <c r="R15" s="59">
        <v>12</v>
      </c>
      <c r="S15" s="59"/>
      <c r="T15" s="69">
        <f>Q15*R15</f>
        <v>1080</v>
      </c>
      <c r="U15" s="69">
        <f t="shared" si="78"/>
        <v>287.27999999999997</v>
      </c>
      <c r="V15" s="80">
        <v>1</v>
      </c>
      <c r="W15" s="80">
        <f t="shared" ref="W15:W20" si="127">X15/U15</f>
        <v>1.5002784739626847</v>
      </c>
      <c r="X15" s="69">
        <v>431</v>
      </c>
      <c r="Y15" s="59" t="s">
        <v>91</v>
      </c>
      <c r="Z15" s="59" t="s">
        <v>93</v>
      </c>
      <c r="AA15" s="59">
        <v>305</v>
      </c>
      <c r="AB15" s="68">
        <v>400</v>
      </c>
      <c r="AC15" s="59">
        <v>125</v>
      </c>
      <c r="AD15" s="59">
        <v>125</v>
      </c>
      <c r="AE15" s="59">
        <v>2.2999999999999998</v>
      </c>
      <c r="AF15" s="21">
        <f t="shared" si="2"/>
        <v>2833497.5211999961</v>
      </c>
      <c r="AG15" s="64">
        <f t="shared" ref="AG15:AG34" si="128">$C$2*AF15</f>
        <v>580866991845.99915</v>
      </c>
      <c r="AH15" s="59" t="s">
        <v>95</v>
      </c>
      <c r="AI15" s="59" t="s">
        <v>94</v>
      </c>
      <c r="AJ15" s="79">
        <f t="shared" ref="AJ15:AJ20" si="129">O15</f>
        <v>266</v>
      </c>
      <c r="AK15" s="79">
        <f>P15</f>
        <v>399.07407407407413</v>
      </c>
      <c r="AL15" s="59">
        <v>90</v>
      </c>
      <c r="AM15" s="59">
        <v>90</v>
      </c>
      <c r="AN15" s="59">
        <v>12</v>
      </c>
      <c r="AO15" s="59">
        <v>12</v>
      </c>
      <c r="AP15" s="63">
        <f>AN15*AL15+(AM15-AN15)*AO15</f>
        <v>2016</v>
      </c>
      <c r="AQ15" s="63">
        <f>AM15*AO15</f>
        <v>1080</v>
      </c>
      <c r="AR15" s="46">
        <f>(AN15*AL15^3-(AM15-AN15)*AO15^3)/12</f>
        <v>717768</v>
      </c>
      <c r="AS15" s="49">
        <f>AR15/(AL15/2)</f>
        <v>15950.4</v>
      </c>
      <c r="AT15" s="49">
        <f t="shared" si="82"/>
        <v>27108</v>
      </c>
      <c r="AU15" s="65">
        <f t="shared" si="83"/>
        <v>7.2107279999999996</v>
      </c>
      <c r="AV15" s="206">
        <f t="shared" si="7"/>
        <v>0.80372061105143822</v>
      </c>
      <c r="AW15" s="206">
        <f t="shared" ref="AW15:AW20" si="130">((F15-AQ15*AJ15/10^3)/(AP15*AK15/10^3-AQ15*AJ15/10^3))^2</f>
        <v>7.7201870158543962E-2</v>
      </c>
      <c r="AX15" s="65">
        <f t="shared" si="84"/>
        <v>6.6540463131954226</v>
      </c>
      <c r="AY15" s="59">
        <v>90</v>
      </c>
      <c r="AZ15" s="59" t="s">
        <v>58</v>
      </c>
      <c r="BA15" s="65">
        <f t="shared" ref="BA15:BA20" si="131">MIN(AY15:AZ15)/AL15</f>
        <v>1</v>
      </c>
      <c r="BB15" s="66">
        <v>0.01</v>
      </c>
      <c r="BC15" s="109">
        <f>1/2000</f>
        <v>5.0000000000000001E-4</v>
      </c>
      <c r="BD15" s="68">
        <v>0</v>
      </c>
      <c r="BE15" s="79">
        <v>1</v>
      </c>
      <c r="BF15" s="65">
        <f t="shared" si="11"/>
        <v>13.440444444444445</v>
      </c>
      <c r="BG15" s="191">
        <f t="shared" si="86"/>
        <v>305</v>
      </c>
      <c r="BH15" s="46">
        <f t="shared" si="87"/>
        <v>125</v>
      </c>
      <c r="BI15" s="46">
        <f t="shared" si="88"/>
        <v>2.2999999999999998</v>
      </c>
      <c r="BJ15" s="46">
        <f t="shared" si="89"/>
        <v>90</v>
      </c>
      <c r="BK15" s="46">
        <f t="shared" si="90"/>
        <v>90</v>
      </c>
      <c r="BL15" s="46">
        <f t="shared" si="91"/>
        <v>90</v>
      </c>
      <c r="BM15" s="49">
        <f t="shared" si="92"/>
        <v>17.5</v>
      </c>
      <c r="BN15" s="49">
        <f t="shared" si="93"/>
        <v>39.987998199459796</v>
      </c>
      <c r="BO15" s="49">
        <f t="shared" si="94"/>
        <v>42.056217512194799</v>
      </c>
      <c r="BP15" s="208">
        <f t="shared" si="95"/>
        <v>2.2980214585944479E-2</v>
      </c>
      <c r="BQ15" s="58">
        <f t="shared" si="96"/>
        <v>152.19174134576275</v>
      </c>
      <c r="BR15" s="58">
        <f t="shared" si="97"/>
        <v>3.4973988743341868</v>
      </c>
      <c r="BS15" s="49">
        <f t="shared" si="98"/>
        <v>8.75</v>
      </c>
      <c r="BT15" s="61">
        <f t="shared" si="99"/>
        <v>1.1934782608695654E-2</v>
      </c>
      <c r="BU15" s="208">
        <f t="shared" si="100"/>
        <v>1.3260869565217393E-4</v>
      </c>
      <c r="BV15" s="58">
        <f t="shared" si="101"/>
        <v>505.43632711695994</v>
      </c>
      <c r="BW15" s="203">
        <f t="shared" si="102"/>
        <v>6.7025252074205566E-2</v>
      </c>
      <c r="BX15" s="58">
        <f t="shared" si="103"/>
        <v>6.7025252074205566E-2</v>
      </c>
      <c r="BY15" s="58">
        <f t="shared" si="104"/>
        <v>505.43632711695994</v>
      </c>
      <c r="CA15" s="59" t="s">
        <v>95</v>
      </c>
      <c r="CB15" s="59" t="s">
        <v>94</v>
      </c>
      <c r="CC15" s="79">
        <f t="shared" ref="CC15:CC22" si="132">AC15</f>
        <v>125</v>
      </c>
      <c r="CD15" s="79"/>
      <c r="CE15" s="59">
        <v>180</v>
      </c>
      <c r="CF15" s="59">
        <v>180</v>
      </c>
      <c r="CG15" s="59">
        <v>12</v>
      </c>
      <c r="CH15" s="48">
        <f t="shared" si="12"/>
        <v>5807808</v>
      </c>
      <c r="CI15" s="68"/>
      <c r="CJ15" s="68"/>
      <c r="CK15" s="68"/>
      <c r="CL15" s="48">
        <f t="shared" si="13"/>
        <v>0</v>
      </c>
      <c r="CM15" s="48" t="s">
        <v>169</v>
      </c>
      <c r="CN15" s="72">
        <f t="shared" si="14"/>
        <v>5807808</v>
      </c>
      <c r="CO15" s="64">
        <f t="shared" ref="CO15:CO34" si="133">$C$2*CN15</f>
        <v>1190600640000</v>
      </c>
      <c r="CP15" s="59">
        <v>262</v>
      </c>
      <c r="CQ15" s="59">
        <v>90</v>
      </c>
      <c r="CR15" s="59">
        <v>56</v>
      </c>
      <c r="CS15" s="59">
        <v>0</v>
      </c>
      <c r="CV15" s="233">
        <v>12</v>
      </c>
      <c r="CW15" s="59">
        <v>269</v>
      </c>
      <c r="CX15" s="59">
        <v>126</v>
      </c>
      <c r="CY15" s="59">
        <v>127</v>
      </c>
      <c r="CZ15" s="59">
        <f t="shared" ref="CZ15:CZ20" si="134">$CV15</f>
        <v>12</v>
      </c>
      <c r="DA15" s="59">
        <v>278</v>
      </c>
      <c r="DB15" s="59">
        <v>121</v>
      </c>
      <c r="DC15" s="59">
        <v>88</v>
      </c>
      <c r="DD15" s="59">
        <f t="shared" ref="DD15:DD20" si="135">$CV15</f>
        <v>12</v>
      </c>
      <c r="DE15" s="59">
        <v>264</v>
      </c>
      <c r="DF15" s="59">
        <v>129</v>
      </c>
      <c r="DG15" s="59">
        <v>241</v>
      </c>
      <c r="DH15" s="59">
        <f t="shared" ref="DH15:DH20" si="136">$CV15</f>
        <v>12</v>
      </c>
      <c r="DI15" s="81">
        <f t="shared" ref="DI15:DI20" si="137">2*CW15/(CX15+CY15)</f>
        <v>2.1264822134387353</v>
      </c>
      <c r="DJ15" s="81">
        <f t="shared" ref="DJ15:DJ20" si="138">2*DA15/(DB15+DC15)</f>
        <v>2.660287081339713</v>
      </c>
      <c r="DK15" s="81">
        <f t="shared" ref="DK15:DK20" si="139">2*DE15/(DF15+DG15)</f>
        <v>1.4270270270270271</v>
      </c>
      <c r="DL15" s="82">
        <f t="shared" ref="DL15:DL34" si="140">$C$2*CZ15^3/(12*(1-0.3^2))</f>
        <v>32439560.439560439</v>
      </c>
      <c r="DM15" s="82">
        <f t="shared" ref="DM15:DM34" si="141">$C$2*DD15^3/(12*(1-0.3^2))</f>
        <v>32439560.439560439</v>
      </c>
      <c r="DN15" s="82">
        <f t="shared" ref="DN15:DN34" si="142">$C$2*DH15^3/(12*(1-0.3^2))</f>
        <v>32439560.439560439</v>
      </c>
      <c r="DO15" s="49">
        <f t="shared" si="22"/>
        <v>13687.036832303982</v>
      </c>
      <c r="DP15" s="49">
        <f t="shared" ref="DP15:DP20" si="143">DJ15*DM15/DB15^2</f>
        <v>5894.3066431050793</v>
      </c>
      <c r="DQ15" s="234">
        <f t="shared" ref="DQ15:DQ20" si="144">DK15*DN15/DF15^2</f>
        <v>2781.8117596376119</v>
      </c>
      <c r="DR15" s="58">
        <f t="shared" si="25"/>
        <v>5725.7728137604099</v>
      </c>
      <c r="DS15" s="58">
        <v>324</v>
      </c>
      <c r="DT15" s="58">
        <f>DR15*DS15/K15</f>
        <v>3666.3051218544915</v>
      </c>
      <c r="DU15" s="271" t="s">
        <v>252</v>
      </c>
      <c r="DV15" s="257"/>
      <c r="DW15" s="257"/>
      <c r="DX15" s="257"/>
      <c r="DY15" s="257"/>
      <c r="DZ15" s="259"/>
      <c r="EA15" s="259"/>
      <c r="EB15" s="191" t="s">
        <v>199</v>
      </c>
      <c r="EC15" s="177">
        <v>1000000000</v>
      </c>
      <c r="EI15" s="177"/>
      <c r="EO15" s="177"/>
      <c r="EU15" s="177"/>
      <c r="FA15" s="177"/>
      <c r="FG15" s="63"/>
      <c r="FH15" s="63"/>
      <c r="FI15" s="73"/>
      <c r="FJ15" s="177">
        <f t="shared" si="109"/>
        <v>1000000000</v>
      </c>
      <c r="FK15" s="46" t="s">
        <v>199</v>
      </c>
      <c r="FL15" s="177">
        <f t="shared" si="110"/>
        <v>1000000000</v>
      </c>
      <c r="FO15" s="48"/>
      <c r="FR15" s="177"/>
      <c r="FX15" s="177"/>
      <c r="GD15" s="177"/>
      <c r="GJ15" s="177"/>
      <c r="GK15" s="177">
        <f t="shared" si="34"/>
        <v>1000000000</v>
      </c>
      <c r="GL15" s="21">
        <f t="shared" ref="GL15:GL34" si="145">L15</f>
        <v>38.21</v>
      </c>
      <c r="GM15" s="21">
        <f t="shared" si="36"/>
        <v>3.8259858980470899E-10</v>
      </c>
      <c r="GN15" s="250">
        <f t="shared" ref="GN15:GN34" si="146">SIN(GL15*PI()/180)^2/GK15</f>
        <v>3.8259858980470899E-10</v>
      </c>
      <c r="GO15" s="177">
        <f t="shared" ref="GO15:GO34" si="147">1/(GM15+GN15)</f>
        <v>1306852699.7321568</v>
      </c>
      <c r="GQ15" s="67"/>
      <c r="GR15" s="83"/>
      <c r="GS15" s="83"/>
      <c r="GT15" s="84"/>
      <c r="GU15" s="84"/>
      <c r="GV15" s="84"/>
      <c r="GW15" s="85"/>
      <c r="GX15" s="86">
        <v>690</v>
      </c>
      <c r="GY15" s="87"/>
      <c r="GZ15" s="87">
        <v>2.46</v>
      </c>
      <c r="HA15" s="87"/>
      <c r="HB15" s="88"/>
      <c r="HC15" s="88">
        <v>5.0000000000000001E-4</v>
      </c>
      <c r="HD15" s="84">
        <v>0</v>
      </c>
      <c r="HE15" s="84">
        <v>1</v>
      </c>
      <c r="HF15" s="264">
        <f t="shared" ref="HF15:HF20" si="148">2*HE15/HO15</f>
        <v>2.2222222222222223E-2</v>
      </c>
      <c r="HG15" s="89">
        <f t="shared" ref="HG15:HG20" si="149">HC15*HK15+HD15+HE15+HF15*416</f>
        <v>11.440444444444445</v>
      </c>
      <c r="HH15" s="67"/>
      <c r="HI15" s="187">
        <f t="shared" si="39"/>
        <v>1190.6006400000001</v>
      </c>
      <c r="HJ15" s="187">
        <f t="shared" si="40"/>
        <v>580.86699184599911</v>
      </c>
      <c r="HK15" s="189">
        <f t="shared" si="41"/>
        <v>2392</v>
      </c>
      <c r="HL15" s="90">
        <f t="shared" si="42"/>
        <v>806</v>
      </c>
      <c r="HM15" s="90">
        <f t="shared" si="43"/>
        <v>506</v>
      </c>
      <c r="HN15" s="187">
        <f t="shared" si="111"/>
        <v>506.00027086549034</v>
      </c>
      <c r="HO15" s="189">
        <f t="shared" si="44"/>
        <v>90</v>
      </c>
      <c r="HP15" s="90">
        <f t="shared" si="45"/>
        <v>1306852699.7321568</v>
      </c>
      <c r="HQ15" s="86">
        <f t="shared" si="46"/>
        <v>690</v>
      </c>
      <c r="HR15" s="87">
        <f t="shared" si="120"/>
        <v>689.99978905753767</v>
      </c>
      <c r="HS15" s="228">
        <f t="shared" si="47"/>
        <v>2.46</v>
      </c>
      <c r="HT15" s="83">
        <f t="shared" si="48"/>
        <v>505.43632711695994</v>
      </c>
      <c r="HU15" s="88">
        <f t="shared" si="49"/>
        <v>0.01</v>
      </c>
      <c r="HV15" s="88">
        <f t="shared" si="50"/>
        <v>5.0000000000000001E-4</v>
      </c>
      <c r="HW15" s="108">
        <f t="shared" si="51"/>
        <v>0</v>
      </c>
      <c r="HX15" s="108">
        <f>IF(NOT(ISBLANK(HE15)),HE15,BE15)</f>
        <v>1</v>
      </c>
      <c r="HY15" s="264">
        <f>IF(NOT(ISBLANK(HF15)),HF15,IF(HO15=0,0,2*HX15/HO15))</f>
        <v>2.2222222222222223E-2</v>
      </c>
      <c r="HZ15" s="89">
        <f>IF(NOT(ISBLANK(HG15)),HG15,HK15*HV15+HX15+HY15*HN15+HW15)</f>
        <v>11.440444444444445</v>
      </c>
      <c r="IA15" s="91"/>
      <c r="IB15" s="92">
        <f t="shared" si="54"/>
        <v>1.2820507787709209E-2</v>
      </c>
      <c r="IC15" s="86">
        <f t="shared" si="55"/>
        <v>2352.9644321405835</v>
      </c>
      <c r="ID15" s="91"/>
      <c r="IE15" s="93">
        <f t="shared" si="56"/>
        <v>2.0496958111120471</v>
      </c>
      <c r="IF15" s="93">
        <f t="shared" si="57"/>
        <v>0.21153857477654278</v>
      </c>
      <c r="IG15" s="93">
        <f t="shared" ref="IG15:IG26" si="150">HT15/IC15</f>
        <v>0.21480831593240227</v>
      </c>
      <c r="IH15" s="185">
        <f t="shared" si="59"/>
        <v>555406.90793326695</v>
      </c>
      <c r="II15" s="181">
        <f t="shared" si="60"/>
        <v>0.29324710164542522</v>
      </c>
      <c r="IJ15" s="93">
        <f t="shared" ref="IJ15:IJ26" si="151">HR15/IC15</f>
        <v>0.29324701199576481</v>
      </c>
      <c r="IK15" s="112">
        <f t="shared" si="62"/>
        <v>4.8670819013583609E-3</v>
      </c>
      <c r="IL15" s="112">
        <f t="shared" si="63"/>
        <v>0</v>
      </c>
      <c r="IM15" s="112">
        <f t="shared" si="64"/>
        <v>2.2609561897814972E-2</v>
      </c>
      <c r="IN15" s="67"/>
      <c r="IO15" s="94">
        <f t="shared" ref="IO15:IO34" si="152">IK15*IG15/PI()^2</f>
        <v>1.0593025051951099E-4</v>
      </c>
      <c r="IP15" s="94">
        <f t="shared" si="66"/>
        <v>0</v>
      </c>
      <c r="IQ15" s="94">
        <f t="shared" si="67"/>
        <v>2.6903835738628017E-2</v>
      </c>
      <c r="IR15" s="94">
        <f t="shared" si="68"/>
        <v>3.7320000000000755E-2</v>
      </c>
      <c r="IS15" s="94"/>
      <c r="IT15" s="94">
        <f t="shared" si="69"/>
        <v>1.5521437602284843E-2</v>
      </c>
      <c r="IU15" s="94">
        <f t="shared" si="70"/>
        <v>5.190000000000522E-2</v>
      </c>
      <c r="IV15" s="94">
        <f>(MAX(0,IO15-IP15)/IM15+IQ15)/(MAX(0,IO15-IP15)/(IM15*IR15)+1)</f>
        <v>2.806563914873661E-2</v>
      </c>
      <c r="IW15" s="67"/>
      <c r="IX15" s="65">
        <f t="shared" ref="IX15:IX26" si="153">1/SQRT(IV15)</f>
        <v>5.9691505359046575</v>
      </c>
      <c r="IY15" s="86">
        <f t="shared" si="112"/>
        <v>1190.6006400000001</v>
      </c>
      <c r="IZ15" s="89">
        <f t="shared" si="113"/>
        <v>0.50600027086549038</v>
      </c>
      <c r="JA15" s="86">
        <f t="shared" si="121"/>
        <v>45894.892655570788</v>
      </c>
      <c r="JB15" s="86">
        <f t="shared" si="114"/>
        <v>712.35471261700286</v>
      </c>
      <c r="JC15" s="86">
        <f t="shared" si="73"/>
        <v>1712.7973939059364</v>
      </c>
      <c r="JD15" s="86">
        <f t="shared" si="115"/>
        <v>2.4599999999999995</v>
      </c>
      <c r="JE15" s="86">
        <f t="shared" si="116"/>
        <v>0</v>
      </c>
      <c r="JF15" s="86">
        <f t="shared" si="117"/>
        <v>2.4599999999999995</v>
      </c>
      <c r="JG15" s="58">
        <f t="shared" si="118"/>
        <v>1288.0694960412518</v>
      </c>
      <c r="JH15" s="86" t="str">
        <f t="shared" si="74"/>
        <v>-</v>
      </c>
      <c r="JI15" s="95" t="e">
        <f t="shared" si="75"/>
        <v>#VALUE!</v>
      </c>
      <c r="JL15" s="96"/>
      <c r="JM15" s="49"/>
    </row>
    <row r="16" spans="1:273" s="46" customFormat="1" x14ac:dyDescent="0.25">
      <c r="C16" s="46" t="s">
        <v>15</v>
      </c>
      <c r="D16" s="59" t="s">
        <v>84</v>
      </c>
      <c r="E16" s="219">
        <v>535</v>
      </c>
      <c r="F16" s="56">
        <f t="shared" si="126"/>
        <v>432</v>
      </c>
      <c r="G16" s="60">
        <v>535</v>
      </c>
      <c r="H16" s="59">
        <v>2392</v>
      </c>
      <c r="I16" s="68">
        <f>($H16-1200)/2</f>
        <v>596</v>
      </c>
      <c r="J16" s="68">
        <f t="shared" si="77"/>
        <v>896</v>
      </c>
      <c r="K16" s="68">
        <f>($H16-1200)/2</f>
        <v>596</v>
      </c>
      <c r="L16" s="59">
        <v>38.21</v>
      </c>
      <c r="M16" s="59" t="s">
        <v>90</v>
      </c>
      <c r="N16" s="59" t="s">
        <v>94</v>
      </c>
      <c r="O16" s="79">
        <v>266.8</v>
      </c>
      <c r="P16" s="224">
        <f t="shared" ref="P16:P28" si="154">O16*W16</f>
        <v>400</v>
      </c>
      <c r="Q16" s="59">
        <v>90</v>
      </c>
      <c r="R16" s="59">
        <v>12</v>
      </c>
      <c r="S16" s="59"/>
      <c r="T16" s="69">
        <f t="shared" ref="T16:T26" si="155">Q16*R16</f>
        <v>1080</v>
      </c>
      <c r="U16" s="69">
        <f t="shared" si="78"/>
        <v>288.14400000000001</v>
      </c>
      <c r="V16" s="80">
        <v>1</v>
      </c>
      <c r="W16" s="80">
        <f t="shared" si="127"/>
        <v>1.4992503748125936</v>
      </c>
      <c r="X16" s="69">
        <v>432</v>
      </c>
      <c r="Y16" s="59" t="s">
        <v>91</v>
      </c>
      <c r="Z16" s="59" t="s">
        <v>93</v>
      </c>
      <c r="AA16" s="59">
        <v>385.8</v>
      </c>
      <c r="AB16" s="68">
        <v>400</v>
      </c>
      <c r="AC16" s="59">
        <v>125</v>
      </c>
      <c r="AD16" s="59">
        <v>125</v>
      </c>
      <c r="AE16" s="59">
        <v>2.2999999999999998</v>
      </c>
      <c r="AF16" s="21">
        <f t="shared" ref="AF16:AF27" si="156">IF(Y16="RHS",(AD16*AC16^3-(AD16-2*AE16)*(AC16-2*AE16)^3)/12,IF(Y16="CHS",PI()*(AC16^4-(AC16-2*AE16)^4)/64,#N/A))</f>
        <v>2833497.5211999961</v>
      </c>
      <c r="AG16" s="64">
        <f t="shared" si="128"/>
        <v>580866991845.99915</v>
      </c>
      <c r="AH16" s="59" t="s">
        <v>95</v>
      </c>
      <c r="AI16" s="59" t="s">
        <v>94</v>
      </c>
      <c r="AJ16" s="79">
        <f t="shared" si="129"/>
        <v>266.8</v>
      </c>
      <c r="AK16" s="79">
        <f t="shared" ref="AK16:AK34" si="157">P16</f>
        <v>400</v>
      </c>
      <c r="AL16" s="59">
        <v>90</v>
      </c>
      <c r="AM16" s="59">
        <v>90</v>
      </c>
      <c r="AN16" s="59">
        <v>12</v>
      </c>
      <c r="AO16" s="59">
        <v>12</v>
      </c>
      <c r="AP16" s="59">
        <f t="shared" ref="AP16:AP34" si="158">AN16*AL16+(AM16-AN16)*AO16</f>
        <v>2016</v>
      </c>
      <c r="AQ16" s="59">
        <f t="shared" ref="AQ16:AQ34" si="159">AM16*AO16</f>
        <v>1080</v>
      </c>
      <c r="AR16" s="46">
        <f t="shared" ref="AR16:AR34" si="160">(AN16*AL16^3-(AM16-AN16)*AO16^3)/12</f>
        <v>717768</v>
      </c>
      <c r="AS16" s="49">
        <f t="shared" ref="AS16:AS34" si="161">AR16/(AL16/2)</f>
        <v>15950.4</v>
      </c>
      <c r="AT16" s="49">
        <f t="shared" si="82"/>
        <v>27108</v>
      </c>
      <c r="AU16" s="65">
        <f t="shared" si="83"/>
        <v>7.2324144000000006</v>
      </c>
      <c r="AV16" s="206">
        <f t="shared" si="7"/>
        <v>0.80316984364960364</v>
      </c>
      <c r="AW16" s="206">
        <f t="shared" si="130"/>
        <v>7.7049049082125162E-2</v>
      </c>
      <c r="AX16" s="65">
        <f t="shared" si="84"/>
        <v>6.6751637479121317</v>
      </c>
      <c r="AY16" s="59">
        <v>180</v>
      </c>
      <c r="AZ16" s="59" t="s">
        <v>58</v>
      </c>
      <c r="BA16" s="65">
        <f t="shared" si="131"/>
        <v>2</v>
      </c>
      <c r="BB16" s="66">
        <v>0.01</v>
      </c>
      <c r="BC16" s="109">
        <f t="shared" si="10"/>
        <v>5.0000000000000001E-4</v>
      </c>
      <c r="BD16" s="68">
        <v>0</v>
      </c>
      <c r="BE16" s="79">
        <v>1</v>
      </c>
      <c r="BF16" s="65">
        <f t="shared" si="11"/>
        <v>8.8182222222222215</v>
      </c>
      <c r="BG16" s="191">
        <f t="shared" ref="BG16:BG34" si="162">AA16</f>
        <v>385.8</v>
      </c>
      <c r="BH16" s="46">
        <f t="shared" ref="BH16:BH34" si="163">AD16</f>
        <v>125</v>
      </c>
      <c r="BI16" s="46">
        <f t="shared" ref="BI16:BI34" si="164">AE16</f>
        <v>2.2999999999999998</v>
      </c>
      <c r="BJ16" s="46">
        <f t="shared" ref="BJ16:BJ34" si="165">AL16</f>
        <v>90</v>
      </c>
      <c r="BK16" s="46">
        <f t="shared" ref="BK16:BK34" si="166">AM16</f>
        <v>90</v>
      </c>
      <c r="BL16" s="46">
        <f t="shared" ref="BL16:BL34" si="167">MIN(AY16:AZ16)</f>
        <v>180</v>
      </c>
      <c r="BM16" s="49">
        <f t="shared" ref="BM16:BM34" si="168">(BH16-BK16)/2</f>
        <v>17.5</v>
      </c>
      <c r="BN16" s="49">
        <f t="shared" ref="BN16:BN34" si="169">SQRT(BM16*(BH16-BM16)-BI16*(BH16-BI16))</f>
        <v>39.987998199459796</v>
      </c>
      <c r="BO16" s="49">
        <f t="shared" ref="BO16:BO34" si="170">SQRT((PI()*BH16*BG16/4/$C$2+BH16/2*ACOS((BH16-2*BM16)/(BH16-2*BI16)))^2-BM16^2)</f>
        <v>42.098125977289811</v>
      </c>
      <c r="BP16" s="208">
        <f t="shared" ref="BP16:BP34" si="171">(BO16-BN16)/BL16</f>
        <v>1.1722932099055644E-2</v>
      </c>
      <c r="BQ16" s="58">
        <f t="shared" ref="BQ16:BQ34" si="172">2*BG16*BI16*BL16^3/(3*SQRT(BM16^2+BO16^2))*BO16/(BO16-SQRT(BM16*(BH16-BM16)-BI16*(BH16-BI16)))/10^6</f>
        <v>1509.7153786158228</v>
      </c>
      <c r="BR16" s="58">
        <f t="shared" ref="BR16:BR34" si="173">BQ16*BP16</f>
        <v>17.698290872413374</v>
      </c>
      <c r="BS16" s="49">
        <f t="shared" ref="BS16:BS34" si="174">(BH16-BK16)/4</f>
        <v>8.75</v>
      </c>
      <c r="BT16" s="61">
        <f t="shared" ref="BT16:BT34" si="175">0.00164*BG16/$C$2*BH16/BI16*BJ16</f>
        <v>1.5096521739130437E-2</v>
      </c>
      <c r="BU16" s="208">
        <f t="shared" ref="BU16:BU34" si="176">BT16/BL16</f>
        <v>8.3869565217391316E-5</v>
      </c>
      <c r="BV16" s="58">
        <f>$C$2*BH16*BI16^3*BL16^3/(6*BH16*BS16^3-9*BS16^4)/10^6</f>
        <v>4043.4906169356796</v>
      </c>
      <c r="BW16" s="203">
        <f>BU16*BV16</f>
        <v>0.3391258000029968</v>
      </c>
      <c r="BX16" s="58">
        <f t="shared" ref="BX16:BX34" si="177">IF(Y16="RHS",BW16,IF(Y16="CHS",BR16,#N/A))</f>
        <v>0.3391258000029968</v>
      </c>
      <c r="BY16" s="58">
        <f t="shared" ref="BY16:BY34" si="178">IF(Y16="RHS",BV16,IF(Y16="CHS",BQ16,#N/A))</f>
        <v>4043.4906169356796</v>
      </c>
      <c r="CA16" s="59" t="s">
        <v>95</v>
      </c>
      <c r="CB16" s="59" t="s">
        <v>94</v>
      </c>
      <c r="CC16" s="79">
        <f t="shared" si="132"/>
        <v>125</v>
      </c>
      <c r="CD16" s="79"/>
      <c r="CE16" s="59">
        <v>180</v>
      </c>
      <c r="CF16" s="59">
        <v>180</v>
      </c>
      <c r="CG16" s="59">
        <v>12</v>
      </c>
      <c r="CH16" s="48">
        <f t="shared" ref="CH16:CH26" si="179">(CG16*CE16^3-(CF16-CG16)*CG16^3)/12</f>
        <v>5807808</v>
      </c>
      <c r="CI16" s="68"/>
      <c r="CJ16" s="68"/>
      <c r="CK16" s="68"/>
      <c r="CL16" s="48">
        <f t="shared" ref="CL16:CL26" si="180">((2*CK16)*CE16^3-(2*CK16)*(2*CK16+CG16)^3+(2*CJ16)*(2*CK16+CG16)^3-(2*CJ16)*CG16^3)/12</f>
        <v>0</v>
      </c>
      <c r="CM16" s="48" t="s">
        <v>169</v>
      </c>
      <c r="CN16" s="72">
        <f t="shared" ref="CN16:CN28" si="181">CH16+IF(LOWER(CM16)="yes",CL16,IF(LOWER(CM16)="no",0,#N/A))</f>
        <v>5807808</v>
      </c>
      <c r="CO16" s="64">
        <f t="shared" si="133"/>
        <v>1190600640000</v>
      </c>
      <c r="CP16" s="59">
        <v>0</v>
      </c>
      <c r="CQ16" s="59">
        <v>0</v>
      </c>
      <c r="CR16" s="59">
        <v>140</v>
      </c>
      <c r="CS16" s="59" t="s">
        <v>177</v>
      </c>
      <c r="CV16" s="233">
        <v>12</v>
      </c>
      <c r="CW16" s="59">
        <v>180</v>
      </c>
      <c r="CX16" s="59">
        <v>110</v>
      </c>
      <c r="CY16" s="59">
        <v>132</v>
      </c>
      <c r="CZ16" s="59">
        <f t="shared" si="134"/>
        <v>12</v>
      </c>
      <c r="DA16" s="59">
        <v>110</v>
      </c>
      <c r="DB16" s="59">
        <v>180</v>
      </c>
      <c r="DC16" s="59">
        <v>144</v>
      </c>
      <c r="DD16" s="59">
        <f t="shared" si="135"/>
        <v>12</v>
      </c>
      <c r="DE16" s="59">
        <v>138</v>
      </c>
      <c r="DF16" s="59">
        <v>172</v>
      </c>
      <c r="DG16" s="59">
        <v>138</v>
      </c>
      <c r="DH16" s="59">
        <f t="shared" si="136"/>
        <v>12</v>
      </c>
      <c r="DI16" s="81">
        <f t="shared" si="137"/>
        <v>1.4876033057851239</v>
      </c>
      <c r="DJ16" s="81">
        <f t="shared" si="138"/>
        <v>0.67901234567901236</v>
      </c>
      <c r="DK16" s="81">
        <f t="shared" si="139"/>
        <v>0.89032258064516134</v>
      </c>
      <c r="DL16" s="82">
        <f t="shared" si="140"/>
        <v>32439560.439560439</v>
      </c>
      <c r="DM16" s="82">
        <f t="shared" si="141"/>
        <v>32439560.439560439</v>
      </c>
      <c r="DN16" s="82">
        <f t="shared" si="142"/>
        <v>32439560.439560439</v>
      </c>
      <c r="DO16" s="49"/>
      <c r="DP16" s="49">
        <f t="shared" si="143"/>
        <v>679.84142058216139</v>
      </c>
      <c r="DQ16" s="234">
        <f t="shared" si="144"/>
        <v>976.25990959789522</v>
      </c>
      <c r="DR16" s="58">
        <f t="shared" si="25"/>
        <v>588.27369010123914</v>
      </c>
      <c r="DS16" s="58">
        <v>324</v>
      </c>
      <c r="DT16" s="58">
        <f>DR16*DS16/K16</f>
        <v>319.79979126308973</v>
      </c>
      <c r="DU16" s="271" t="s">
        <v>253</v>
      </c>
      <c r="DV16" s="257">
        <v>100</v>
      </c>
      <c r="DW16" s="257">
        <v>237</v>
      </c>
      <c r="DX16" s="257">
        <v>650</v>
      </c>
      <c r="DY16" s="262">
        <f>DV16*10^3/(3*$C$2*CH16/DX16^3)</f>
        <v>7.6886962421477163</v>
      </c>
      <c r="DZ16" s="263">
        <f>DX16^2*DV16/(DW16-DY16)/10^3</f>
        <v>184.24734981497065</v>
      </c>
      <c r="EA16" s="259">
        <f>DZ16/(CO16/K16/10^6)</f>
        <v>9.2231951504513313E-2</v>
      </c>
      <c r="EB16" s="191" t="s">
        <v>199</v>
      </c>
      <c r="EC16" s="177">
        <v>1000000000</v>
      </c>
      <c r="EI16" s="177"/>
      <c r="EO16" s="177"/>
      <c r="EU16" s="177"/>
      <c r="FA16" s="177"/>
      <c r="FI16" s="177"/>
      <c r="FJ16" s="177">
        <f t="shared" si="109"/>
        <v>1000000000</v>
      </c>
      <c r="FK16" s="46" t="s">
        <v>199</v>
      </c>
      <c r="FL16" s="177">
        <f t="shared" si="110"/>
        <v>1000000000</v>
      </c>
      <c r="FO16" s="48"/>
      <c r="FR16" s="177"/>
      <c r="FX16" s="177"/>
      <c r="GD16" s="177"/>
      <c r="GJ16" s="177"/>
      <c r="GK16" s="177">
        <f t="shared" si="34"/>
        <v>1000000000</v>
      </c>
      <c r="GL16" s="21">
        <f t="shared" si="145"/>
        <v>38.21</v>
      </c>
      <c r="GM16" s="21">
        <f t="shared" si="36"/>
        <v>3.8259858980470899E-10</v>
      </c>
      <c r="GN16" s="250">
        <f t="shared" si="146"/>
        <v>3.8259858980470899E-10</v>
      </c>
      <c r="GO16" s="177">
        <f t="shared" si="147"/>
        <v>1306852699.7321568</v>
      </c>
      <c r="GQ16" s="67"/>
      <c r="GR16" s="83"/>
      <c r="GS16" s="83"/>
      <c r="GT16" s="84"/>
      <c r="GU16" s="84"/>
      <c r="GV16" s="84"/>
      <c r="GW16" s="85"/>
      <c r="GX16" s="86">
        <v>97</v>
      </c>
      <c r="GY16" s="87"/>
      <c r="GZ16" s="87">
        <v>5.5</v>
      </c>
      <c r="HA16" s="87"/>
      <c r="HB16" s="88"/>
      <c r="HC16" s="88">
        <v>5.0000000000000001E-4</v>
      </c>
      <c r="HD16" s="84">
        <v>0</v>
      </c>
      <c r="HE16" s="84">
        <v>1</v>
      </c>
      <c r="HF16" s="264">
        <f t="shared" si="148"/>
        <v>1.1111111111111112E-2</v>
      </c>
      <c r="HG16" s="89">
        <f t="shared" si="149"/>
        <v>6.8182222222222224</v>
      </c>
      <c r="HH16" s="67"/>
      <c r="HI16" s="187">
        <f t="shared" si="39"/>
        <v>1190.6006400000001</v>
      </c>
      <c r="HJ16" s="187">
        <f t="shared" si="40"/>
        <v>580.86699184599911</v>
      </c>
      <c r="HK16" s="189">
        <f t="shared" si="41"/>
        <v>2392</v>
      </c>
      <c r="HL16" s="90">
        <f t="shared" si="42"/>
        <v>896</v>
      </c>
      <c r="HM16" s="90">
        <f t="shared" si="43"/>
        <v>596</v>
      </c>
      <c r="HN16" s="187">
        <f t="shared" si="111"/>
        <v>596.00003535616815</v>
      </c>
      <c r="HO16" s="189">
        <f t="shared" si="44"/>
        <v>180</v>
      </c>
      <c r="HP16" s="90">
        <f t="shared" si="45"/>
        <v>1306852699.7321568</v>
      </c>
      <c r="HQ16" s="86">
        <f t="shared" si="46"/>
        <v>97</v>
      </c>
      <c r="HR16" s="87">
        <f t="shared" si="120"/>
        <v>96.999994930505665</v>
      </c>
      <c r="HS16" s="228">
        <f t="shared" si="47"/>
        <v>5.5</v>
      </c>
      <c r="HT16" s="83">
        <f t="shared" si="48"/>
        <v>4043.4906169356796</v>
      </c>
      <c r="HU16" s="88">
        <f t="shared" si="49"/>
        <v>0.01</v>
      </c>
      <c r="HV16" s="88">
        <f t="shared" si="50"/>
        <v>5.0000000000000001E-4</v>
      </c>
      <c r="HW16" s="108">
        <f t="shared" si="51"/>
        <v>0</v>
      </c>
      <c r="HX16" s="108">
        <f t="shared" si="52"/>
        <v>1</v>
      </c>
      <c r="HY16" s="264">
        <f t="shared" ref="HY16:HY34" si="182">IF(NOT(ISBLANK(HF16)),HF16,IF(HO16=0,0,2*HX16/HO16))</f>
        <v>1.1111111111111112E-2</v>
      </c>
      <c r="HZ16" s="89">
        <f t="shared" ref="HZ16:HZ34" si="183">IF(NOT(ISBLANK(HG16)),HG16,HK16*HV16+HX16+HY16*HN16+HW16)</f>
        <v>6.8182222222222224</v>
      </c>
      <c r="IA16" s="91"/>
      <c r="IB16" s="92">
        <f t="shared" si="54"/>
        <v>5.5741356804518008E-3</v>
      </c>
      <c r="IC16" s="86">
        <f t="shared" si="55"/>
        <v>1997.6519620313445</v>
      </c>
      <c r="ID16" s="91"/>
      <c r="IE16" s="93">
        <f t="shared" si="56"/>
        <v>2.0496958111120471</v>
      </c>
      <c r="IF16" s="93">
        <f t="shared" si="57"/>
        <v>0.24916389437966896</v>
      </c>
      <c r="IG16" s="93">
        <f t="shared" si="150"/>
        <v>2.0241216657299961</v>
      </c>
      <c r="IH16" s="185">
        <f t="shared" si="59"/>
        <v>654194.38649526448</v>
      </c>
      <c r="II16" s="181">
        <f t="shared" si="60"/>
        <v>4.8557006847861524E-2</v>
      </c>
      <c r="IJ16" s="93">
        <f t="shared" si="151"/>
        <v>4.8557004310135016E-2</v>
      </c>
      <c r="IK16" s="112">
        <f t="shared" ref="IK16:IK34" si="184">IF(HT16=0,0,HS16/HT16)</f>
        <v>1.3602108972292169E-3</v>
      </c>
      <c r="IL16" s="112">
        <f t="shared" ref="IL16:IL25" si="185">MAX(0,HU16-IB16)</f>
        <v>4.4258643195481994E-3</v>
      </c>
      <c r="IM16" s="112">
        <f t="shared" si="64"/>
        <v>1.1439969492867009E-2</v>
      </c>
      <c r="IN16" s="67"/>
      <c r="IO16" s="94">
        <f t="shared" si="152"/>
        <v>2.789607602448389E-4</v>
      </c>
      <c r="IP16" s="94">
        <f t="shared" ref="IP16:IP34" si="186">IL16*(1-2*IF16)*IJ16/PI()^2</f>
        <v>1.0923712993926376E-5</v>
      </c>
      <c r="IQ16" s="94">
        <f t="shared" ref="IQ16:IQ34" si="187">(IJ16/(IJ16+24/PI()^2))/4</f>
        <v>4.8943355094747494E-3</v>
      </c>
      <c r="IR16" s="94">
        <f t="shared" si="68"/>
        <v>3.3829999999999687E-2</v>
      </c>
      <c r="IS16" s="94"/>
      <c r="IT16" s="94">
        <f t="shared" ref="IT16:IT34" si="188">(1-2*IF16)*(IJ16/(IJ16+24/PI()^2))/4</f>
        <v>2.4553521175918898E-3</v>
      </c>
      <c r="IU16" s="94">
        <f t="shared" si="70"/>
        <v>0.12088999999998583</v>
      </c>
      <c r="IV16" s="94">
        <f t="shared" ref="IV16:IV34" si="189">(MAX(0,IO16-IP16)/IM16+IQ16)/(MAX(0,IO16-IP16)/(IM16*MIN(IR16,IU16))+1)</f>
        <v>1.6734371662952177E-2</v>
      </c>
      <c r="IW16" s="67"/>
      <c r="IX16" s="65">
        <f t="shared" si="153"/>
        <v>7.730281246124358</v>
      </c>
      <c r="IY16" s="86">
        <f t="shared" si="112"/>
        <v>1190.6006400000001</v>
      </c>
      <c r="IZ16" s="89">
        <f t="shared" si="113"/>
        <v>0.59600003535616819</v>
      </c>
      <c r="JA16" s="86">
        <f t="shared" si="121"/>
        <v>33080.59299782943</v>
      </c>
      <c r="JB16" s="86">
        <f>JA16*MIN(IQ16,IT16)</f>
        <v>81.224504068415939</v>
      </c>
      <c r="JC16" s="86">
        <f>JA16*MIN(IR16,IU16)</f>
        <v>1119.1164611165593</v>
      </c>
      <c r="JD16" s="86">
        <f t="shared" si="115"/>
        <v>5.5000000000000018</v>
      </c>
      <c r="JE16" s="89">
        <f t="shared" si="116"/>
        <v>0.21537230330840643</v>
      </c>
      <c r="JF16" s="86">
        <f t="shared" si="117"/>
        <v>5.2846276966915955</v>
      </c>
      <c r="JG16" s="58">
        <f t="shared" si="118"/>
        <v>553.58293805653091</v>
      </c>
      <c r="JH16" s="90">
        <f t="shared" si="74"/>
        <v>535</v>
      </c>
      <c r="JI16" s="95">
        <f t="shared" si="75"/>
        <v>1.034734463657067</v>
      </c>
    </row>
    <row r="17" spans="1:269" s="46" customFormat="1" x14ac:dyDescent="0.25">
      <c r="C17" s="46" t="s">
        <v>16</v>
      </c>
      <c r="D17" s="59" t="s">
        <v>84</v>
      </c>
      <c r="E17" s="219">
        <v>507</v>
      </c>
      <c r="F17" s="56">
        <f t="shared" si="126"/>
        <v>432</v>
      </c>
      <c r="G17" s="60">
        <v>507</v>
      </c>
      <c r="H17" s="59">
        <v>2392</v>
      </c>
      <c r="I17" s="68">
        <f>($H17-1200)/2</f>
        <v>596</v>
      </c>
      <c r="J17" s="68">
        <f t="shared" si="77"/>
        <v>896</v>
      </c>
      <c r="K17" s="68">
        <f>($H17-1200)/2</f>
        <v>596</v>
      </c>
      <c r="L17" s="59">
        <v>38.21</v>
      </c>
      <c r="M17" s="59" t="s">
        <v>90</v>
      </c>
      <c r="N17" s="59" t="s">
        <v>94</v>
      </c>
      <c r="O17" s="79">
        <v>266.8</v>
      </c>
      <c r="P17" s="224">
        <f t="shared" si="154"/>
        <v>400</v>
      </c>
      <c r="Q17" s="59">
        <v>90</v>
      </c>
      <c r="R17" s="59">
        <v>12</v>
      </c>
      <c r="S17" s="59"/>
      <c r="T17" s="69">
        <f t="shared" si="155"/>
        <v>1080</v>
      </c>
      <c r="U17" s="69">
        <f t="shared" si="78"/>
        <v>288.14400000000001</v>
      </c>
      <c r="V17" s="80">
        <v>1</v>
      </c>
      <c r="W17" s="80">
        <f t="shared" si="127"/>
        <v>1.4992503748125936</v>
      </c>
      <c r="X17" s="69">
        <v>432</v>
      </c>
      <c r="Y17" s="59" t="s">
        <v>91</v>
      </c>
      <c r="Z17" s="59" t="s">
        <v>93</v>
      </c>
      <c r="AA17" s="59">
        <v>391.5</v>
      </c>
      <c r="AB17" s="68">
        <v>400</v>
      </c>
      <c r="AC17" s="59">
        <v>125</v>
      </c>
      <c r="AD17" s="59">
        <v>125</v>
      </c>
      <c r="AE17" s="59">
        <v>2.2999999999999998</v>
      </c>
      <c r="AF17" s="21">
        <f t="shared" si="156"/>
        <v>2833497.5211999961</v>
      </c>
      <c r="AG17" s="64">
        <f t="shared" si="128"/>
        <v>580866991845.99915</v>
      </c>
      <c r="AH17" s="59" t="s">
        <v>95</v>
      </c>
      <c r="AI17" s="59" t="s">
        <v>94</v>
      </c>
      <c r="AJ17" s="79">
        <f t="shared" si="129"/>
        <v>266.8</v>
      </c>
      <c r="AK17" s="79">
        <f t="shared" si="157"/>
        <v>400</v>
      </c>
      <c r="AL17" s="59">
        <v>90</v>
      </c>
      <c r="AM17" s="59">
        <v>90</v>
      </c>
      <c r="AN17" s="59">
        <v>12</v>
      </c>
      <c r="AO17" s="59">
        <v>12</v>
      </c>
      <c r="AP17" s="59">
        <f t="shared" si="158"/>
        <v>2016</v>
      </c>
      <c r="AQ17" s="59">
        <f t="shared" si="159"/>
        <v>1080</v>
      </c>
      <c r="AR17" s="46">
        <f t="shared" si="160"/>
        <v>717768</v>
      </c>
      <c r="AS17" s="49">
        <f t="shared" si="161"/>
        <v>15950.4</v>
      </c>
      <c r="AT17" s="49">
        <f t="shared" si="82"/>
        <v>27108</v>
      </c>
      <c r="AU17" s="65">
        <f t="shared" si="83"/>
        <v>7.2324144000000006</v>
      </c>
      <c r="AV17" s="206">
        <f t="shared" si="7"/>
        <v>0.80316984364960364</v>
      </c>
      <c r="AW17" s="206">
        <f t="shared" si="130"/>
        <v>7.7049049082125162E-2</v>
      </c>
      <c r="AX17" s="65">
        <f t="shared" si="84"/>
        <v>6.6751637479121317</v>
      </c>
      <c r="AY17" s="59">
        <v>180</v>
      </c>
      <c r="AZ17" s="59" t="s">
        <v>58</v>
      </c>
      <c r="BA17" s="65">
        <f t="shared" si="131"/>
        <v>2</v>
      </c>
      <c r="BB17" s="66">
        <v>0.01</v>
      </c>
      <c r="BC17" s="109">
        <f t="shared" si="10"/>
        <v>5.0000000000000001E-4</v>
      </c>
      <c r="BD17" s="68">
        <v>0</v>
      </c>
      <c r="BE17" s="79">
        <v>2</v>
      </c>
      <c r="BF17" s="65">
        <f t="shared" si="11"/>
        <v>16.440444444444445</v>
      </c>
      <c r="BG17" s="191">
        <f t="shared" si="162"/>
        <v>391.5</v>
      </c>
      <c r="BH17" s="46">
        <f t="shared" si="163"/>
        <v>125</v>
      </c>
      <c r="BI17" s="46">
        <f t="shared" si="164"/>
        <v>2.2999999999999998</v>
      </c>
      <c r="BJ17" s="46">
        <f t="shared" si="165"/>
        <v>90</v>
      </c>
      <c r="BK17" s="46">
        <f t="shared" si="166"/>
        <v>90</v>
      </c>
      <c r="BL17" s="46">
        <f t="shared" si="167"/>
        <v>180</v>
      </c>
      <c r="BM17" s="49">
        <f t="shared" si="168"/>
        <v>17.5</v>
      </c>
      <c r="BN17" s="49">
        <f t="shared" si="169"/>
        <v>39.987998199459796</v>
      </c>
      <c r="BO17" s="49">
        <f t="shared" si="170"/>
        <v>42.101082158991233</v>
      </c>
      <c r="BP17" s="208">
        <f t="shared" si="171"/>
        <v>1.1739355330730205E-2</v>
      </c>
      <c r="BQ17" s="58">
        <f t="shared" si="172"/>
        <v>1529.8932073288611</v>
      </c>
      <c r="BR17" s="58">
        <f t="shared" si="173"/>
        <v>17.959959978903996</v>
      </c>
      <c r="BS17" s="49">
        <f t="shared" si="174"/>
        <v>8.75</v>
      </c>
      <c r="BT17" s="61">
        <f t="shared" si="175"/>
        <v>1.5319565217391305E-2</v>
      </c>
      <c r="BU17" s="208">
        <f t="shared" si="176"/>
        <v>8.5108695652173912E-5</v>
      </c>
      <c r="BV17" s="58">
        <f t="shared" ref="BV17:BV34" si="190">$C$2*BH17*BI17^3*BL17^3/(6*BH17*BS17^3-9*BS17^4)/10^6</f>
        <v>4043.4906169356796</v>
      </c>
      <c r="BW17" s="203">
        <f t="shared" ref="BW17:BW34" si="191">BU17*BV17</f>
        <v>0.34413621228919966</v>
      </c>
      <c r="BX17" s="58">
        <f t="shared" si="177"/>
        <v>0.34413621228919966</v>
      </c>
      <c r="BY17" s="58">
        <f t="shared" si="178"/>
        <v>4043.4906169356796</v>
      </c>
      <c r="CA17" s="59" t="s">
        <v>95</v>
      </c>
      <c r="CB17" s="59" t="s">
        <v>94</v>
      </c>
      <c r="CC17" s="79">
        <f t="shared" si="132"/>
        <v>125</v>
      </c>
      <c r="CD17" s="79"/>
      <c r="CE17" s="59">
        <v>180</v>
      </c>
      <c r="CF17" s="59">
        <v>180</v>
      </c>
      <c r="CG17" s="59">
        <v>12</v>
      </c>
      <c r="CH17" s="48">
        <f t="shared" si="179"/>
        <v>5807808</v>
      </c>
      <c r="CI17" s="68"/>
      <c r="CJ17" s="68"/>
      <c r="CK17" s="68"/>
      <c r="CL17" s="48">
        <f t="shared" si="180"/>
        <v>0</v>
      </c>
      <c r="CM17" s="48" t="s">
        <v>169</v>
      </c>
      <c r="CN17" s="72">
        <f t="shared" si="181"/>
        <v>5807808</v>
      </c>
      <c r="CO17" s="64">
        <f t="shared" si="133"/>
        <v>1190600640000</v>
      </c>
      <c r="CP17" s="59">
        <v>0</v>
      </c>
      <c r="CQ17" s="59">
        <v>0</v>
      </c>
      <c r="CR17" s="59">
        <v>140</v>
      </c>
      <c r="CS17" s="59" t="s">
        <v>177</v>
      </c>
      <c r="CV17" s="233">
        <v>12</v>
      </c>
      <c r="CW17" s="59">
        <v>180</v>
      </c>
      <c r="CX17" s="59">
        <v>110</v>
      </c>
      <c r="CY17" s="59">
        <v>132</v>
      </c>
      <c r="CZ17" s="59">
        <f t="shared" si="134"/>
        <v>12</v>
      </c>
      <c r="DA17" s="59">
        <v>110</v>
      </c>
      <c r="DB17" s="59">
        <v>180</v>
      </c>
      <c r="DC17" s="59">
        <v>144</v>
      </c>
      <c r="DD17" s="59">
        <f t="shared" si="135"/>
        <v>12</v>
      </c>
      <c r="DE17" s="59">
        <v>138</v>
      </c>
      <c r="DF17" s="59">
        <v>172</v>
      </c>
      <c r="DG17" s="59">
        <v>138</v>
      </c>
      <c r="DH17" s="59">
        <f t="shared" si="136"/>
        <v>12</v>
      </c>
      <c r="DI17" s="81">
        <f t="shared" si="137"/>
        <v>1.4876033057851239</v>
      </c>
      <c r="DJ17" s="81">
        <f t="shared" si="138"/>
        <v>0.67901234567901236</v>
      </c>
      <c r="DK17" s="81">
        <f t="shared" si="139"/>
        <v>0.89032258064516134</v>
      </c>
      <c r="DL17" s="82">
        <f t="shared" si="140"/>
        <v>32439560.439560439</v>
      </c>
      <c r="DM17" s="82">
        <f t="shared" si="141"/>
        <v>32439560.439560439</v>
      </c>
      <c r="DN17" s="82">
        <f t="shared" si="142"/>
        <v>32439560.439560439</v>
      </c>
      <c r="DO17" s="49"/>
      <c r="DP17" s="49">
        <f t="shared" si="143"/>
        <v>679.84142058216139</v>
      </c>
      <c r="DQ17" s="234">
        <f t="shared" si="144"/>
        <v>976.25990959789522</v>
      </c>
      <c r="DR17" s="58">
        <f t="shared" si="25"/>
        <v>588.27369010123914</v>
      </c>
      <c r="DS17" s="58">
        <v>324</v>
      </c>
      <c r="DT17" s="58">
        <f>DR17*DS17/K17</f>
        <v>319.79979126308973</v>
      </c>
      <c r="DU17" s="271" t="s">
        <v>253</v>
      </c>
      <c r="DV17" s="257">
        <v>100</v>
      </c>
      <c r="DW17" s="257">
        <v>237</v>
      </c>
      <c r="DX17" s="257">
        <v>650</v>
      </c>
      <c r="DY17" s="262">
        <f>DV17*10^3/(3*$C$2*CH17/DX17^3)</f>
        <v>7.6886962421477163</v>
      </c>
      <c r="DZ17" s="263">
        <f>DX17^2*DV17/(DW17-DY17)/10^3</f>
        <v>184.24734981497065</v>
      </c>
      <c r="EA17" s="259">
        <f>DZ17/(CO17/K17/10^6)</f>
        <v>9.2231951504513313E-2</v>
      </c>
      <c r="EB17" s="191" t="s">
        <v>199</v>
      </c>
      <c r="EC17" s="177">
        <v>1000000000</v>
      </c>
      <c r="EI17" s="177"/>
      <c r="EO17" s="177"/>
      <c r="EU17" s="177"/>
      <c r="FA17" s="177"/>
      <c r="FI17" s="177"/>
      <c r="FJ17" s="177">
        <f t="shared" si="109"/>
        <v>1000000000</v>
      </c>
      <c r="FK17" s="46" t="s">
        <v>199</v>
      </c>
      <c r="FL17" s="177">
        <f t="shared" si="110"/>
        <v>1000000000</v>
      </c>
      <c r="FO17" s="48"/>
      <c r="FR17" s="177"/>
      <c r="FX17" s="177"/>
      <c r="GD17" s="177"/>
      <c r="GJ17" s="177"/>
      <c r="GK17" s="177">
        <f t="shared" si="34"/>
        <v>1000000000</v>
      </c>
      <c r="GL17" s="21">
        <f t="shared" si="145"/>
        <v>38.21</v>
      </c>
      <c r="GM17" s="21">
        <f t="shared" si="36"/>
        <v>3.8259858980470899E-10</v>
      </c>
      <c r="GN17" s="250">
        <f t="shared" si="146"/>
        <v>3.8259858980470899E-10</v>
      </c>
      <c r="GO17" s="177">
        <f t="shared" si="147"/>
        <v>1306852699.7321568</v>
      </c>
      <c r="GQ17" s="67"/>
      <c r="GR17" s="83"/>
      <c r="GS17" s="83"/>
      <c r="GT17" s="84"/>
      <c r="GU17" s="84"/>
      <c r="GV17" s="84"/>
      <c r="GW17" s="85"/>
      <c r="GX17" s="86">
        <v>97</v>
      </c>
      <c r="GY17" s="87"/>
      <c r="GZ17" s="87">
        <v>6.56</v>
      </c>
      <c r="HA17" s="87"/>
      <c r="HB17" s="88"/>
      <c r="HC17" s="88">
        <v>5.0000000000000001E-4</v>
      </c>
      <c r="HD17" s="84">
        <v>0</v>
      </c>
      <c r="HE17" s="84">
        <v>2</v>
      </c>
      <c r="HF17" s="264">
        <f t="shared" si="148"/>
        <v>2.2222222222222223E-2</v>
      </c>
      <c r="HG17" s="89">
        <f t="shared" si="149"/>
        <v>12.440444444444445</v>
      </c>
      <c r="HH17" s="67"/>
      <c r="HI17" s="187">
        <f t="shared" si="39"/>
        <v>1190.6006400000001</v>
      </c>
      <c r="HJ17" s="187">
        <f t="shared" si="40"/>
        <v>580.86699184599911</v>
      </c>
      <c r="HK17" s="189">
        <f t="shared" si="41"/>
        <v>2392</v>
      </c>
      <c r="HL17" s="90">
        <f t="shared" si="42"/>
        <v>896</v>
      </c>
      <c r="HM17" s="90">
        <f t="shared" si="43"/>
        <v>596</v>
      </c>
      <c r="HN17" s="187">
        <f t="shared" si="111"/>
        <v>596.00003535616815</v>
      </c>
      <c r="HO17" s="189">
        <f t="shared" si="44"/>
        <v>180</v>
      </c>
      <c r="HP17" s="90">
        <f t="shared" si="45"/>
        <v>1306852699.7321568</v>
      </c>
      <c r="HQ17" s="86">
        <f t="shared" ref="HQ17:HQ34" si="192">IF(NOT(ISBLANK(GX17)),GX17,DR17)</f>
        <v>97</v>
      </c>
      <c r="HR17" s="87">
        <f t="shared" si="120"/>
        <v>96.999994930505665</v>
      </c>
      <c r="HS17" s="228">
        <f t="shared" si="47"/>
        <v>6.56</v>
      </c>
      <c r="HT17" s="83">
        <f t="shared" si="48"/>
        <v>4043.4906169356796</v>
      </c>
      <c r="HU17" s="88">
        <f t="shared" si="49"/>
        <v>0.01</v>
      </c>
      <c r="HV17" s="88">
        <f t="shared" si="50"/>
        <v>5.0000000000000001E-4</v>
      </c>
      <c r="HW17" s="108">
        <f t="shared" si="51"/>
        <v>0</v>
      </c>
      <c r="HX17" s="108">
        <f t="shared" si="52"/>
        <v>2</v>
      </c>
      <c r="HY17" s="264">
        <f t="shared" si="182"/>
        <v>2.2222222222222223E-2</v>
      </c>
      <c r="HZ17" s="89">
        <f t="shared" si="183"/>
        <v>12.440444444444445</v>
      </c>
      <c r="IA17" s="91"/>
      <c r="IB17" s="92">
        <f t="shared" si="54"/>
        <v>1.1148271360903602E-2</v>
      </c>
      <c r="IC17" s="86">
        <f t="shared" si="55"/>
        <v>1997.6519620313445</v>
      </c>
      <c r="ID17" s="91"/>
      <c r="IE17" s="93">
        <f t="shared" si="56"/>
        <v>2.0496958111120471</v>
      </c>
      <c r="IF17" s="93">
        <f t="shared" si="57"/>
        <v>0.24916389437966896</v>
      </c>
      <c r="IG17" s="93">
        <f t="shared" si="150"/>
        <v>2.0241216657299961</v>
      </c>
      <c r="IH17" s="185">
        <f t="shared" si="59"/>
        <v>654194.38649526448</v>
      </c>
      <c r="II17" s="181">
        <f t="shared" si="60"/>
        <v>4.8557006847861524E-2</v>
      </c>
      <c r="IJ17" s="93">
        <f t="shared" si="151"/>
        <v>4.8557004310135016E-2</v>
      </c>
      <c r="IK17" s="112">
        <f t="shared" si="184"/>
        <v>1.6223606337861204E-3</v>
      </c>
      <c r="IL17" s="112">
        <f t="shared" si="185"/>
        <v>0</v>
      </c>
      <c r="IM17" s="112">
        <f t="shared" si="64"/>
        <v>2.0873227695381035E-2</v>
      </c>
      <c r="IN17" s="67"/>
      <c r="IO17" s="94">
        <f t="shared" si="152"/>
        <v>3.3272410676475324E-4</v>
      </c>
      <c r="IP17" s="94">
        <f t="shared" si="186"/>
        <v>0</v>
      </c>
      <c r="IQ17" s="94">
        <f t="shared" si="187"/>
        <v>4.8943355094747494E-3</v>
      </c>
      <c r="IR17" s="94">
        <f t="shared" ref="IR17:IR34" si="193">NcreSymNcr0(IE17,IF17,IJ17,IG17)</f>
        <v>3.3829999999999687E-2</v>
      </c>
      <c r="IS17" s="94"/>
      <c r="IT17" s="94">
        <f t="shared" si="188"/>
        <v>2.4553521175918898E-3</v>
      </c>
      <c r="IU17" s="94">
        <f t="shared" ref="IU17:IU34" si="194">NcreAsymNcr0(IE17,IF17,IJ17,IG17)</f>
        <v>0.12088999999998583</v>
      </c>
      <c r="IV17" s="94">
        <f t="shared" si="189"/>
        <v>1.4161746979757112E-2</v>
      </c>
      <c r="IW17" s="67"/>
      <c r="IX17" s="65">
        <f t="shared" si="153"/>
        <v>8.4031397185053347</v>
      </c>
      <c r="IY17" s="86">
        <f t="shared" si="112"/>
        <v>1190.6006400000001</v>
      </c>
      <c r="IZ17" s="89">
        <f t="shared" si="113"/>
        <v>0.59600003535616819</v>
      </c>
      <c r="JA17" s="86">
        <f t="shared" si="121"/>
        <v>33080.59299782943</v>
      </c>
      <c r="JB17" s="86">
        <f t="shared" ref="JB17:JB34" si="195">JA17*MIN(IQ17,IT17)</f>
        <v>81.224504068415939</v>
      </c>
      <c r="JC17" s="86">
        <f t="shared" ref="JC17:JC34" si="196">JA17*MIN(IR17,IU17)</f>
        <v>1119.1164611165593</v>
      </c>
      <c r="JD17" s="86">
        <f t="shared" si="115"/>
        <v>6.5600000000000005</v>
      </c>
      <c r="JE17" s="86">
        <f t="shared" si="116"/>
        <v>0</v>
      </c>
      <c r="JF17" s="86">
        <f t="shared" si="117"/>
        <v>6.5600000000000005</v>
      </c>
      <c r="JG17" s="58">
        <f t="shared" si="118"/>
        <v>468.4789879755852</v>
      </c>
      <c r="JH17" s="90">
        <f t="shared" si="74"/>
        <v>507</v>
      </c>
      <c r="JI17" s="95">
        <f t="shared" si="75"/>
        <v>0.92402167253567102</v>
      </c>
    </row>
    <row r="18" spans="1:269" s="46" customFormat="1" x14ac:dyDescent="0.25">
      <c r="C18" s="46" t="s">
        <v>17</v>
      </c>
      <c r="D18" s="59" t="s">
        <v>84</v>
      </c>
      <c r="E18" s="219">
        <v>375</v>
      </c>
      <c r="F18" s="56">
        <f t="shared" si="126"/>
        <v>437</v>
      </c>
      <c r="G18" s="60">
        <v>375</v>
      </c>
      <c r="H18" s="59">
        <v>2392</v>
      </c>
      <c r="I18" s="68">
        <f>($H18-1200)/2</f>
        <v>596</v>
      </c>
      <c r="J18" s="68">
        <f t="shared" si="77"/>
        <v>896</v>
      </c>
      <c r="K18" s="68">
        <f>($H18-1200)/2</f>
        <v>596</v>
      </c>
      <c r="L18" s="59">
        <v>38.21</v>
      </c>
      <c r="M18" s="59" t="s">
        <v>90</v>
      </c>
      <c r="N18" s="59" t="s">
        <v>94</v>
      </c>
      <c r="O18" s="79">
        <v>269.7</v>
      </c>
      <c r="P18" s="224">
        <f t="shared" si="154"/>
        <v>404.62962962962962</v>
      </c>
      <c r="Q18" s="59">
        <v>90</v>
      </c>
      <c r="R18" s="59">
        <v>12</v>
      </c>
      <c r="S18" s="59"/>
      <c r="T18" s="69">
        <f t="shared" si="155"/>
        <v>1080</v>
      </c>
      <c r="U18" s="69">
        <f t="shared" si="78"/>
        <v>291.27600000000001</v>
      </c>
      <c r="V18" s="80">
        <v>1</v>
      </c>
      <c r="W18" s="80">
        <f t="shared" si="127"/>
        <v>1.5002952526126423</v>
      </c>
      <c r="X18" s="69">
        <v>437</v>
      </c>
      <c r="Y18" s="59" t="s">
        <v>92</v>
      </c>
      <c r="Z18" s="59" t="s">
        <v>93</v>
      </c>
      <c r="AA18" s="59">
        <v>365.7</v>
      </c>
      <c r="AB18" s="68">
        <v>400</v>
      </c>
      <c r="AC18" s="59">
        <v>139.80000000000001</v>
      </c>
      <c r="AD18" s="59">
        <v>139.80000000000001</v>
      </c>
      <c r="AE18" s="59">
        <v>3.5</v>
      </c>
      <c r="AF18" s="21">
        <f t="shared" si="156"/>
        <v>3482585.3915983425</v>
      </c>
      <c r="AG18" s="64">
        <f t="shared" si="128"/>
        <v>713930005277.66016</v>
      </c>
      <c r="AH18" s="59" t="s">
        <v>95</v>
      </c>
      <c r="AI18" s="59" t="s">
        <v>94</v>
      </c>
      <c r="AJ18" s="79">
        <f t="shared" si="129"/>
        <v>269.7</v>
      </c>
      <c r="AK18" s="79">
        <f t="shared" si="157"/>
        <v>404.62962962962962</v>
      </c>
      <c r="AL18" s="59">
        <v>90</v>
      </c>
      <c r="AM18" s="59">
        <v>90</v>
      </c>
      <c r="AN18" s="59">
        <v>12</v>
      </c>
      <c r="AO18" s="59">
        <v>12</v>
      </c>
      <c r="AP18" s="59">
        <f t="shared" si="158"/>
        <v>2016</v>
      </c>
      <c r="AQ18" s="59">
        <f t="shared" si="159"/>
        <v>1080</v>
      </c>
      <c r="AR18" s="46">
        <f t="shared" si="160"/>
        <v>717768</v>
      </c>
      <c r="AS18" s="49">
        <f t="shared" si="161"/>
        <v>15950.4</v>
      </c>
      <c r="AT18" s="49">
        <f t="shared" si="82"/>
        <v>27108</v>
      </c>
      <c r="AU18" s="65">
        <f t="shared" si="83"/>
        <v>7.3110276000000001</v>
      </c>
      <c r="AV18" s="206">
        <f t="shared" si="7"/>
        <v>0.80372959961391555</v>
      </c>
      <c r="AW18" s="206">
        <f t="shared" si="130"/>
        <v>7.7204362761766523E-2</v>
      </c>
      <c r="AX18" s="65">
        <f t="shared" si="84"/>
        <v>6.7465843730083126</v>
      </c>
      <c r="AY18" s="59">
        <v>180</v>
      </c>
      <c r="AZ18" s="59" t="s">
        <v>58</v>
      </c>
      <c r="BA18" s="65">
        <f t="shared" si="131"/>
        <v>2</v>
      </c>
      <c r="BB18" s="66">
        <v>0.01</v>
      </c>
      <c r="BC18" s="109">
        <f t="shared" si="10"/>
        <v>5.0000000000000001E-4</v>
      </c>
      <c r="BD18" s="68">
        <v>0</v>
      </c>
      <c r="BE18" s="79">
        <v>2</v>
      </c>
      <c r="BF18" s="65">
        <f t="shared" si="11"/>
        <v>16.440444444444445</v>
      </c>
      <c r="BG18" s="191">
        <f t="shared" si="162"/>
        <v>365.7</v>
      </c>
      <c r="BH18" s="46">
        <f t="shared" si="163"/>
        <v>139.80000000000001</v>
      </c>
      <c r="BI18" s="46">
        <f t="shared" si="164"/>
        <v>3.5</v>
      </c>
      <c r="BJ18" s="46">
        <f t="shared" si="165"/>
        <v>90</v>
      </c>
      <c r="BK18" s="46">
        <f t="shared" si="166"/>
        <v>90</v>
      </c>
      <c r="BL18" s="46">
        <f t="shared" si="167"/>
        <v>180</v>
      </c>
      <c r="BM18" s="49">
        <f t="shared" si="168"/>
        <v>24.900000000000006</v>
      </c>
      <c r="BN18" s="49">
        <f t="shared" si="169"/>
        <v>48.825812845256358</v>
      </c>
      <c r="BO18" s="49">
        <f t="shared" si="170"/>
        <v>52.320924614117885</v>
      </c>
      <c r="BP18" s="208">
        <f t="shared" si="171"/>
        <v>1.9417287604786261E-2</v>
      </c>
      <c r="BQ18" s="58">
        <f t="shared" si="172"/>
        <v>1285.6604779841327</v>
      </c>
      <c r="BR18" s="58">
        <f t="shared" si="173"/>
        <v>24.964039263124882</v>
      </c>
      <c r="BS18" s="49">
        <f t="shared" si="174"/>
        <v>12.450000000000003</v>
      </c>
      <c r="BT18" s="61">
        <f t="shared" si="175"/>
        <v>1.0517114057142856E-2</v>
      </c>
      <c r="BU18" s="208">
        <f t="shared" si="176"/>
        <v>5.8428411428571418E-5</v>
      </c>
      <c r="BV18" s="58">
        <f t="shared" si="190"/>
        <v>5109.6315656437901</v>
      </c>
      <c r="BW18" s="203">
        <f t="shared" si="191"/>
        <v>0.29854765536585087</v>
      </c>
      <c r="BX18" s="58">
        <f t="shared" si="177"/>
        <v>24.964039263124882</v>
      </c>
      <c r="BY18" s="58">
        <f t="shared" si="178"/>
        <v>1285.6604779841327</v>
      </c>
      <c r="CA18" s="59" t="s">
        <v>95</v>
      </c>
      <c r="CB18" s="59" t="s">
        <v>94</v>
      </c>
      <c r="CC18" s="79">
        <f t="shared" si="132"/>
        <v>139.80000000000001</v>
      </c>
      <c r="CD18" s="79"/>
      <c r="CE18" s="59">
        <v>180</v>
      </c>
      <c r="CF18" s="59">
        <v>180</v>
      </c>
      <c r="CG18" s="59">
        <v>12</v>
      </c>
      <c r="CH18" s="48">
        <f t="shared" si="179"/>
        <v>5807808</v>
      </c>
      <c r="CI18" s="68"/>
      <c r="CJ18" s="68"/>
      <c r="CK18" s="68"/>
      <c r="CL18" s="48">
        <f t="shared" si="180"/>
        <v>0</v>
      </c>
      <c r="CM18" s="48" t="s">
        <v>169</v>
      </c>
      <c r="CN18" s="72">
        <f t="shared" si="181"/>
        <v>5807808</v>
      </c>
      <c r="CO18" s="64">
        <f t="shared" si="133"/>
        <v>1190600640000</v>
      </c>
      <c r="CP18" s="59">
        <v>0</v>
      </c>
      <c r="CQ18" s="59">
        <v>0</v>
      </c>
      <c r="CR18" s="59">
        <v>140</v>
      </c>
      <c r="CS18" s="59" t="s">
        <v>177</v>
      </c>
      <c r="CV18" s="233">
        <v>12</v>
      </c>
      <c r="CW18" s="59">
        <v>180</v>
      </c>
      <c r="CX18" s="59">
        <v>110</v>
      </c>
      <c r="CY18" s="59">
        <v>132</v>
      </c>
      <c r="CZ18" s="59">
        <f t="shared" si="134"/>
        <v>12</v>
      </c>
      <c r="DA18" s="59">
        <v>110</v>
      </c>
      <c r="DB18" s="59">
        <v>180</v>
      </c>
      <c r="DC18" s="59">
        <v>144</v>
      </c>
      <c r="DD18" s="59">
        <f t="shared" si="135"/>
        <v>12</v>
      </c>
      <c r="DE18" s="59">
        <v>138</v>
      </c>
      <c r="DF18" s="59">
        <v>172</v>
      </c>
      <c r="DG18" s="59">
        <v>138</v>
      </c>
      <c r="DH18" s="59">
        <f t="shared" si="136"/>
        <v>12</v>
      </c>
      <c r="DI18" s="81">
        <f t="shared" si="137"/>
        <v>1.4876033057851239</v>
      </c>
      <c r="DJ18" s="81">
        <f t="shared" si="138"/>
        <v>0.67901234567901236</v>
      </c>
      <c r="DK18" s="81">
        <f t="shared" si="139"/>
        <v>0.89032258064516134</v>
      </c>
      <c r="DL18" s="82">
        <f t="shared" si="140"/>
        <v>32439560.439560439</v>
      </c>
      <c r="DM18" s="82">
        <f t="shared" si="141"/>
        <v>32439560.439560439</v>
      </c>
      <c r="DN18" s="82">
        <f t="shared" si="142"/>
        <v>32439560.439560439</v>
      </c>
      <c r="DO18" s="49"/>
      <c r="DP18" s="49">
        <f t="shared" si="143"/>
        <v>679.84142058216139</v>
      </c>
      <c r="DQ18" s="234">
        <f t="shared" si="144"/>
        <v>976.25990959789522</v>
      </c>
      <c r="DR18" s="58">
        <f t="shared" si="25"/>
        <v>588.27369010123914</v>
      </c>
      <c r="DS18" s="58">
        <v>324</v>
      </c>
      <c r="DT18" s="58">
        <f>DR18*DS18/K18</f>
        <v>319.79979126308973</v>
      </c>
      <c r="DU18" s="271" t="s">
        <v>253</v>
      </c>
      <c r="DV18" s="257">
        <v>100</v>
      </c>
      <c r="DW18" s="257">
        <v>237</v>
      </c>
      <c r="DX18" s="257">
        <v>650</v>
      </c>
      <c r="DY18" s="262">
        <f>DV18*10^3/(3*$C$2*CH18/DX18^3)</f>
        <v>7.6886962421477163</v>
      </c>
      <c r="DZ18" s="263">
        <f>DX18^2*DV18/(DW18-DY18)/10^3</f>
        <v>184.24734981497065</v>
      </c>
      <c r="EA18" s="259">
        <f>DZ18/(CO18/K18/10^6)</f>
        <v>9.2231951504513313E-2</v>
      </c>
      <c r="EB18" s="191" t="s">
        <v>199</v>
      </c>
      <c r="EC18" s="177">
        <v>1000000000</v>
      </c>
      <c r="EI18" s="177"/>
      <c r="EO18" s="177"/>
      <c r="EU18" s="177"/>
      <c r="FA18" s="177"/>
      <c r="FI18" s="177"/>
      <c r="FJ18" s="177">
        <f t="shared" si="109"/>
        <v>1000000000</v>
      </c>
      <c r="FK18" s="46" t="s">
        <v>199</v>
      </c>
      <c r="FL18" s="177">
        <f t="shared" si="110"/>
        <v>1000000000</v>
      </c>
      <c r="FO18" s="48"/>
      <c r="FR18" s="177"/>
      <c r="FX18" s="177"/>
      <c r="GD18" s="177"/>
      <c r="GJ18" s="177"/>
      <c r="GK18" s="177">
        <f t="shared" si="34"/>
        <v>1000000000</v>
      </c>
      <c r="GL18" s="21">
        <f t="shared" si="145"/>
        <v>38.21</v>
      </c>
      <c r="GM18" s="21">
        <f t="shared" si="36"/>
        <v>3.8259858980470899E-10</v>
      </c>
      <c r="GN18" s="250">
        <f t="shared" si="146"/>
        <v>3.8259858980470899E-10</v>
      </c>
      <c r="GO18" s="177">
        <f t="shared" si="147"/>
        <v>1306852699.7321568</v>
      </c>
      <c r="GQ18" s="67"/>
      <c r="GR18" s="83"/>
      <c r="GS18" s="83"/>
      <c r="GT18" s="84"/>
      <c r="GU18" s="84"/>
      <c r="GV18" s="84"/>
      <c r="GW18" s="85"/>
      <c r="GX18" s="86">
        <v>97</v>
      </c>
      <c r="GY18" s="87"/>
      <c r="GZ18" s="87">
        <v>6.5</v>
      </c>
      <c r="HA18" s="87"/>
      <c r="HB18" s="88"/>
      <c r="HC18" s="88">
        <v>5.0000000000000001E-4</v>
      </c>
      <c r="HD18" s="84">
        <v>0</v>
      </c>
      <c r="HE18" s="84">
        <v>2</v>
      </c>
      <c r="HF18" s="264">
        <f t="shared" si="148"/>
        <v>2.2222222222222223E-2</v>
      </c>
      <c r="HG18" s="89">
        <f t="shared" si="149"/>
        <v>12.440444444444445</v>
      </c>
      <c r="HH18" s="67"/>
      <c r="HI18" s="187">
        <f t="shared" si="39"/>
        <v>1190.6006400000001</v>
      </c>
      <c r="HJ18" s="187">
        <f t="shared" si="40"/>
        <v>713.93000527766014</v>
      </c>
      <c r="HK18" s="189">
        <f t="shared" si="41"/>
        <v>2392</v>
      </c>
      <c r="HL18" s="90">
        <f t="shared" si="42"/>
        <v>896</v>
      </c>
      <c r="HM18" s="90">
        <f t="shared" si="43"/>
        <v>596</v>
      </c>
      <c r="HN18" s="187">
        <f t="shared" si="111"/>
        <v>596.00003535616815</v>
      </c>
      <c r="HO18" s="189">
        <f t="shared" si="44"/>
        <v>180</v>
      </c>
      <c r="HP18" s="90">
        <f t="shared" si="45"/>
        <v>1306852699.7321568</v>
      </c>
      <c r="HQ18" s="86">
        <f t="shared" si="192"/>
        <v>97</v>
      </c>
      <c r="HR18" s="87">
        <f t="shared" si="120"/>
        <v>96.999994930505665</v>
      </c>
      <c r="HS18" s="228">
        <f t="shared" si="47"/>
        <v>6.5</v>
      </c>
      <c r="HT18" s="83">
        <f t="shared" si="48"/>
        <v>1285.6604779841327</v>
      </c>
      <c r="HU18" s="88">
        <f t="shared" si="49"/>
        <v>0.01</v>
      </c>
      <c r="HV18" s="88">
        <f t="shared" si="50"/>
        <v>5.0000000000000001E-4</v>
      </c>
      <c r="HW18" s="108">
        <f t="shared" si="51"/>
        <v>0</v>
      </c>
      <c r="HX18" s="108">
        <f t="shared" si="52"/>
        <v>2</v>
      </c>
      <c r="HY18" s="264">
        <f t="shared" si="182"/>
        <v>2.2222222222222223E-2</v>
      </c>
      <c r="HZ18" s="89">
        <f t="shared" si="183"/>
        <v>12.440444444444445</v>
      </c>
      <c r="IA18" s="91"/>
      <c r="IB18" s="92">
        <f t="shared" si="54"/>
        <v>1.1148271360903602E-2</v>
      </c>
      <c r="IC18" s="86">
        <f t="shared" si="55"/>
        <v>1997.6519620313445</v>
      </c>
      <c r="ID18" s="91"/>
      <c r="IE18" s="93">
        <f t="shared" si="56"/>
        <v>1.6676713840272819</v>
      </c>
      <c r="IF18" s="93">
        <f t="shared" si="57"/>
        <v>0.24916389437966896</v>
      </c>
      <c r="IG18" s="93">
        <f t="shared" si="150"/>
        <v>0.64358582096392214</v>
      </c>
      <c r="IH18" s="185">
        <f t="shared" si="59"/>
        <v>654194.38649526448</v>
      </c>
      <c r="II18" s="181">
        <f t="shared" si="60"/>
        <v>4.8557006847861524E-2</v>
      </c>
      <c r="IJ18" s="93">
        <f t="shared" si="151"/>
        <v>4.8557004310135016E-2</v>
      </c>
      <c r="IK18" s="112">
        <f t="shared" si="184"/>
        <v>5.0557671417198382E-3</v>
      </c>
      <c r="IL18" s="112">
        <f t="shared" si="185"/>
        <v>0</v>
      </c>
      <c r="IM18" s="112">
        <f t="shared" si="64"/>
        <v>2.0873227695381035E-2</v>
      </c>
      <c r="IN18" s="97"/>
      <c r="IO18" s="94">
        <f t="shared" si="152"/>
        <v>3.2968089847117311E-4</v>
      </c>
      <c r="IP18" s="94">
        <f t="shared" si="186"/>
        <v>0</v>
      </c>
      <c r="IQ18" s="94">
        <f t="shared" si="187"/>
        <v>4.8943355094747494E-3</v>
      </c>
      <c r="IR18" s="94">
        <f t="shared" si="193"/>
        <v>3.1029999999998906E-2</v>
      </c>
      <c r="IS18" s="94"/>
      <c r="IT18" s="94">
        <f t="shared" si="188"/>
        <v>2.4553521175918898E-3</v>
      </c>
      <c r="IU18" s="94">
        <f t="shared" si="194"/>
        <v>8.3580000000000293E-2</v>
      </c>
      <c r="IV18" s="94">
        <f t="shared" si="189"/>
        <v>1.3710204918083549E-2</v>
      </c>
      <c r="IW18" s="67"/>
      <c r="IX18" s="65">
        <f t="shared" si="153"/>
        <v>8.5403963647070356</v>
      </c>
      <c r="IY18" s="86">
        <f t="shared" si="112"/>
        <v>1190.6006400000001</v>
      </c>
      <c r="IZ18" s="89">
        <f t="shared" si="113"/>
        <v>0.59600003535616819</v>
      </c>
      <c r="JA18" s="86">
        <f t="shared" si="121"/>
        <v>33080.59299782943</v>
      </c>
      <c r="JB18" s="86">
        <f t="shared" si="195"/>
        <v>81.224504068415939</v>
      </c>
      <c r="JC18" s="86">
        <f t="shared" si="196"/>
        <v>1026.4908007226111</v>
      </c>
      <c r="JD18" s="86">
        <f t="shared" si="115"/>
        <v>6.5</v>
      </c>
      <c r="JE18" s="86">
        <f t="shared" si="116"/>
        <v>0</v>
      </c>
      <c r="JF18" s="86">
        <f t="shared" si="117"/>
        <v>6.5</v>
      </c>
      <c r="JG18" s="58">
        <f t="shared" si="118"/>
        <v>453.54170881196131</v>
      </c>
      <c r="JH18" s="90">
        <f t="shared" si="74"/>
        <v>375</v>
      </c>
      <c r="JI18" s="95">
        <f t="shared" si="75"/>
        <v>1.2094445568318968</v>
      </c>
    </row>
    <row r="19" spans="1:269" s="46" customFormat="1" x14ac:dyDescent="0.25">
      <c r="C19" s="46" t="s">
        <v>18</v>
      </c>
      <c r="D19" s="59" t="s">
        <v>84</v>
      </c>
      <c r="E19" s="219">
        <v>362</v>
      </c>
      <c r="F19" s="56">
        <f t="shared" si="126"/>
        <v>432</v>
      </c>
      <c r="G19" s="60">
        <v>362</v>
      </c>
      <c r="H19" s="59">
        <v>2392</v>
      </c>
      <c r="I19" s="68">
        <f>($H19-1380)/2</f>
        <v>506</v>
      </c>
      <c r="J19" s="68">
        <f t="shared" si="77"/>
        <v>806</v>
      </c>
      <c r="K19" s="68">
        <f>($H19-1380)/2</f>
        <v>506</v>
      </c>
      <c r="L19" s="59">
        <v>38.21</v>
      </c>
      <c r="M19" s="59" t="s">
        <v>90</v>
      </c>
      <c r="N19" s="59" t="s">
        <v>94</v>
      </c>
      <c r="O19" s="79">
        <v>266.8</v>
      </c>
      <c r="P19" s="224">
        <f t="shared" si="154"/>
        <v>400</v>
      </c>
      <c r="Q19" s="59">
        <v>90</v>
      </c>
      <c r="R19" s="59">
        <v>12</v>
      </c>
      <c r="S19" s="59"/>
      <c r="T19" s="69">
        <f t="shared" si="155"/>
        <v>1080</v>
      </c>
      <c r="U19" s="69">
        <f t="shared" si="78"/>
        <v>288.14400000000001</v>
      </c>
      <c r="V19" s="80">
        <v>1</v>
      </c>
      <c r="W19" s="80">
        <f t="shared" si="127"/>
        <v>1.4992503748125936</v>
      </c>
      <c r="X19" s="69">
        <v>432</v>
      </c>
      <c r="Y19" s="59" t="s">
        <v>91</v>
      </c>
      <c r="Z19" s="59" t="s">
        <v>93</v>
      </c>
      <c r="AA19" s="59">
        <v>391.5</v>
      </c>
      <c r="AB19" s="68">
        <v>400</v>
      </c>
      <c r="AC19" s="59">
        <v>125</v>
      </c>
      <c r="AD19" s="59">
        <v>125</v>
      </c>
      <c r="AE19" s="59">
        <v>2.2999999999999998</v>
      </c>
      <c r="AF19" s="21">
        <f t="shared" si="156"/>
        <v>2833497.5211999961</v>
      </c>
      <c r="AG19" s="64">
        <f t="shared" si="128"/>
        <v>580866991845.99915</v>
      </c>
      <c r="AH19" s="59" t="s">
        <v>95</v>
      </c>
      <c r="AI19" s="59" t="s">
        <v>94</v>
      </c>
      <c r="AJ19" s="79">
        <f t="shared" si="129"/>
        <v>266.8</v>
      </c>
      <c r="AK19" s="79">
        <f t="shared" si="157"/>
        <v>400</v>
      </c>
      <c r="AL19" s="59">
        <v>90</v>
      </c>
      <c r="AM19" s="59">
        <v>90</v>
      </c>
      <c r="AN19" s="59">
        <v>12</v>
      </c>
      <c r="AO19" s="59">
        <v>12</v>
      </c>
      <c r="AP19" s="59">
        <f t="shared" si="158"/>
        <v>2016</v>
      </c>
      <c r="AQ19" s="59">
        <f t="shared" si="159"/>
        <v>1080</v>
      </c>
      <c r="AR19" s="46">
        <f t="shared" si="160"/>
        <v>717768</v>
      </c>
      <c r="AS19" s="49">
        <f t="shared" si="161"/>
        <v>15950.4</v>
      </c>
      <c r="AT19" s="49">
        <f t="shared" si="82"/>
        <v>27108</v>
      </c>
      <c r="AU19" s="65">
        <f t="shared" si="83"/>
        <v>7.2324144000000006</v>
      </c>
      <c r="AV19" s="206">
        <f t="shared" si="7"/>
        <v>0.80316984364960364</v>
      </c>
      <c r="AW19" s="206">
        <f t="shared" si="130"/>
        <v>7.7049049082125162E-2</v>
      </c>
      <c r="AX19" s="65">
        <f t="shared" si="84"/>
        <v>6.6751637479121317</v>
      </c>
      <c r="AY19" s="59">
        <v>90</v>
      </c>
      <c r="AZ19" s="59" t="s">
        <v>58</v>
      </c>
      <c r="BA19" s="65">
        <f t="shared" si="131"/>
        <v>1</v>
      </c>
      <c r="BB19" s="66">
        <v>0.01</v>
      </c>
      <c r="BC19" s="109">
        <f t="shared" si="10"/>
        <v>5.0000000000000001E-4</v>
      </c>
      <c r="BD19" s="68">
        <v>0</v>
      </c>
      <c r="BE19" s="79">
        <v>1</v>
      </c>
      <c r="BF19" s="65">
        <f t="shared" si="11"/>
        <v>13.440444444444445</v>
      </c>
      <c r="BG19" s="191">
        <f t="shared" si="162"/>
        <v>391.5</v>
      </c>
      <c r="BH19" s="46">
        <f t="shared" si="163"/>
        <v>125</v>
      </c>
      <c r="BI19" s="46">
        <f t="shared" si="164"/>
        <v>2.2999999999999998</v>
      </c>
      <c r="BJ19" s="46">
        <f t="shared" si="165"/>
        <v>90</v>
      </c>
      <c r="BK19" s="46">
        <f t="shared" si="166"/>
        <v>90</v>
      </c>
      <c r="BL19" s="46">
        <f t="shared" si="167"/>
        <v>90</v>
      </c>
      <c r="BM19" s="49">
        <f t="shared" si="168"/>
        <v>17.5</v>
      </c>
      <c r="BN19" s="49">
        <f t="shared" si="169"/>
        <v>39.987998199459796</v>
      </c>
      <c r="BO19" s="49">
        <f t="shared" si="170"/>
        <v>42.101082158991233</v>
      </c>
      <c r="BP19" s="208">
        <f t="shared" si="171"/>
        <v>2.3478710661460411E-2</v>
      </c>
      <c r="BQ19" s="58">
        <f t="shared" si="172"/>
        <v>191.23665091610764</v>
      </c>
      <c r="BR19" s="58">
        <f t="shared" si="173"/>
        <v>4.4899899947259989</v>
      </c>
      <c r="BS19" s="49">
        <f t="shared" si="174"/>
        <v>8.75</v>
      </c>
      <c r="BT19" s="61">
        <f t="shared" si="175"/>
        <v>1.5319565217391305E-2</v>
      </c>
      <c r="BU19" s="208">
        <f t="shared" si="176"/>
        <v>1.7021739130434782E-4</v>
      </c>
      <c r="BV19" s="58">
        <f t="shared" si="190"/>
        <v>505.43632711695994</v>
      </c>
      <c r="BW19" s="203">
        <f t="shared" si="191"/>
        <v>8.6034053072299915E-2</v>
      </c>
      <c r="BX19" s="58">
        <f t="shared" si="177"/>
        <v>8.6034053072299915E-2</v>
      </c>
      <c r="BY19" s="58">
        <f t="shared" si="178"/>
        <v>505.43632711695994</v>
      </c>
      <c r="CA19" s="59" t="s">
        <v>95</v>
      </c>
      <c r="CB19" s="59" t="s">
        <v>94</v>
      </c>
      <c r="CC19" s="79">
        <f t="shared" si="132"/>
        <v>125</v>
      </c>
      <c r="CD19" s="79"/>
      <c r="CE19" s="59">
        <v>180</v>
      </c>
      <c r="CF19" s="59">
        <v>180</v>
      </c>
      <c r="CG19" s="59">
        <v>12</v>
      </c>
      <c r="CH19" s="48">
        <f t="shared" si="179"/>
        <v>5807808</v>
      </c>
      <c r="CI19" s="68"/>
      <c r="CJ19" s="68"/>
      <c r="CK19" s="68"/>
      <c r="CL19" s="48">
        <f t="shared" si="180"/>
        <v>0</v>
      </c>
      <c r="CM19" s="48" t="s">
        <v>169</v>
      </c>
      <c r="CN19" s="72">
        <f t="shared" si="181"/>
        <v>5807808</v>
      </c>
      <c r="CO19" s="64">
        <f t="shared" si="133"/>
        <v>1190600640000</v>
      </c>
      <c r="CP19" s="59">
        <v>0</v>
      </c>
      <c r="CQ19" s="59">
        <v>0</v>
      </c>
      <c r="CR19" s="59">
        <v>140</v>
      </c>
      <c r="CS19" s="59" t="s">
        <v>177</v>
      </c>
      <c r="CV19" s="233">
        <v>12</v>
      </c>
      <c r="CW19" s="59">
        <v>180</v>
      </c>
      <c r="CX19" s="59">
        <v>110</v>
      </c>
      <c r="CY19" s="59">
        <v>132</v>
      </c>
      <c r="CZ19" s="59">
        <f t="shared" si="134"/>
        <v>12</v>
      </c>
      <c r="DA19" s="59">
        <v>110</v>
      </c>
      <c r="DB19" s="59">
        <v>180</v>
      </c>
      <c r="DC19" s="59">
        <v>144</v>
      </c>
      <c r="DD19" s="59">
        <f t="shared" si="135"/>
        <v>12</v>
      </c>
      <c r="DE19" s="59">
        <v>138</v>
      </c>
      <c r="DF19" s="59">
        <v>172</v>
      </c>
      <c r="DG19" s="59">
        <v>138</v>
      </c>
      <c r="DH19" s="59">
        <f t="shared" si="136"/>
        <v>12</v>
      </c>
      <c r="DI19" s="81">
        <f t="shared" si="137"/>
        <v>1.4876033057851239</v>
      </c>
      <c r="DJ19" s="81">
        <f t="shared" si="138"/>
        <v>0.67901234567901236</v>
      </c>
      <c r="DK19" s="81">
        <f t="shared" si="139"/>
        <v>0.89032258064516134</v>
      </c>
      <c r="DL19" s="82">
        <f t="shared" si="140"/>
        <v>32439560.439560439</v>
      </c>
      <c r="DM19" s="82">
        <f t="shared" si="141"/>
        <v>32439560.439560439</v>
      </c>
      <c r="DN19" s="82">
        <f t="shared" si="142"/>
        <v>32439560.439560439</v>
      </c>
      <c r="DO19" s="49"/>
      <c r="DP19" s="49">
        <f t="shared" si="143"/>
        <v>679.84142058216139</v>
      </c>
      <c r="DQ19" s="234">
        <f t="shared" si="144"/>
        <v>976.25990959789522</v>
      </c>
      <c r="DR19" s="58">
        <f t="shared" si="25"/>
        <v>424.02156017398102</v>
      </c>
      <c r="DS19" s="58">
        <v>324</v>
      </c>
      <c r="DT19" s="58">
        <f>DR19*DS19/K19</f>
        <v>271.50787647503927</v>
      </c>
      <c r="DU19" s="271" t="s">
        <v>253</v>
      </c>
      <c r="DV19" s="257">
        <v>100</v>
      </c>
      <c r="DW19" s="257">
        <v>237</v>
      </c>
      <c r="DX19" s="257">
        <v>650</v>
      </c>
      <c r="DY19" s="262">
        <f>DV19*10^3/(3*$C$2*CH19/DX19^3)</f>
        <v>7.6886962421477163</v>
      </c>
      <c r="DZ19" s="263">
        <f>DX19^2*DV19/(DW19-DY19)/10^3</f>
        <v>184.24734981497065</v>
      </c>
      <c r="EA19" s="259">
        <f>DZ19/(CO19/K19/10^6)</f>
        <v>7.830430782094587E-2</v>
      </c>
      <c r="EB19" s="191" t="s">
        <v>199</v>
      </c>
      <c r="EC19" s="177">
        <v>1000000000</v>
      </c>
      <c r="EI19" s="177"/>
      <c r="EO19" s="177"/>
      <c r="EU19" s="177"/>
      <c r="FA19" s="177"/>
      <c r="FI19" s="177"/>
      <c r="FJ19" s="177">
        <f t="shared" si="109"/>
        <v>1000000000</v>
      </c>
      <c r="FK19" s="46" t="s">
        <v>199</v>
      </c>
      <c r="FL19" s="177">
        <f t="shared" si="110"/>
        <v>1000000000</v>
      </c>
      <c r="FO19" s="48"/>
      <c r="FR19" s="177"/>
      <c r="FX19" s="177"/>
      <c r="GD19" s="177"/>
      <c r="GJ19" s="177"/>
      <c r="GK19" s="177">
        <f t="shared" si="34"/>
        <v>1000000000</v>
      </c>
      <c r="GL19" s="21">
        <f t="shared" si="145"/>
        <v>38.21</v>
      </c>
      <c r="GM19" s="21">
        <f t="shared" si="36"/>
        <v>3.8259858980470899E-10</v>
      </c>
      <c r="GN19" s="250">
        <f t="shared" si="146"/>
        <v>3.8259858980470899E-10</v>
      </c>
      <c r="GO19" s="177">
        <f t="shared" si="147"/>
        <v>1306852699.7321568</v>
      </c>
      <c r="GQ19" s="67"/>
      <c r="GR19" s="83"/>
      <c r="GS19" s="83"/>
      <c r="GT19" s="84"/>
      <c r="GU19" s="84"/>
      <c r="GV19" s="84"/>
      <c r="GW19" s="85"/>
      <c r="GX19" s="86">
        <v>97</v>
      </c>
      <c r="GY19" s="87"/>
      <c r="GZ19" s="87">
        <v>4.28</v>
      </c>
      <c r="HA19" s="87"/>
      <c r="HB19" s="88"/>
      <c r="HC19" s="88">
        <v>5.0000000000000001E-4</v>
      </c>
      <c r="HD19" s="84">
        <v>0</v>
      </c>
      <c r="HE19" s="84">
        <v>1</v>
      </c>
      <c r="HF19" s="264">
        <f t="shared" si="148"/>
        <v>2.2222222222222223E-2</v>
      </c>
      <c r="HG19" s="89">
        <f t="shared" si="149"/>
        <v>11.440444444444445</v>
      </c>
      <c r="HH19" s="67"/>
      <c r="HI19" s="187">
        <f t="shared" si="39"/>
        <v>1190.6006400000001</v>
      </c>
      <c r="HJ19" s="187">
        <f t="shared" si="40"/>
        <v>580.86699184599911</v>
      </c>
      <c r="HK19" s="189">
        <f t="shared" si="41"/>
        <v>2392</v>
      </c>
      <c r="HL19" s="90">
        <f t="shared" si="42"/>
        <v>806</v>
      </c>
      <c r="HM19" s="90">
        <f t="shared" si="43"/>
        <v>506</v>
      </c>
      <c r="HN19" s="187">
        <f t="shared" si="111"/>
        <v>506.00003807822731</v>
      </c>
      <c r="HO19" s="189">
        <f t="shared" si="44"/>
        <v>90</v>
      </c>
      <c r="HP19" s="90">
        <f t="shared" si="45"/>
        <v>1306852699.7321568</v>
      </c>
      <c r="HQ19" s="86">
        <f t="shared" si="192"/>
        <v>97</v>
      </c>
      <c r="HR19" s="87">
        <f t="shared" si="120"/>
        <v>96.999995831220645</v>
      </c>
      <c r="HS19" s="228">
        <f t="shared" si="47"/>
        <v>4.28</v>
      </c>
      <c r="HT19" s="83">
        <f t="shared" si="48"/>
        <v>505.43632711695994</v>
      </c>
      <c r="HU19" s="88">
        <f t="shared" si="49"/>
        <v>0.01</v>
      </c>
      <c r="HV19" s="88">
        <f t="shared" si="50"/>
        <v>5.0000000000000001E-4</v>
      </c>
      <c r="HW19" s="108">
        <f t="shared" si="51"/>
        <v>0</v>
      </c>
      <c r="HX19" s="108">
        <f t="shared" si="52"/>
        <v>1</v>
      </c>
      <c r="HY19" s="264">
        <f t="shared" si="182"/>
        <v>2.2222222222222223E-2</v>
      </c>
      <c r="HZ19" s="89">
        <f t="shared" si="183"/>
        <v>11.440444444444445</v>
      </c>
      <c r="IA19" s="91"/>
      <c r="IB19" s="92">
        <f t="shared" si="54"/>
        <v>1.2820512113002093E-2</v>
      </c>
      <c r="IC19" s="86">
        <f t="shared" si="55"/>
        <v>2352.9655146309174</v>
      </c>
      <c r="ID19" s="91"/>
      <c r="IE19" s="93">
        <f t="shared" si="56"/>
        <v>2.0496958111120471</v>
      </c>
      <c r="IF19" s="93">
        <f t="shared" si="57"/>
        <v>0.21153847745745288</v>
      </c>
      <c r="IG19" s="93">
        <f t="shared" si="150"/>
        <v>0.21480821710905607</v>
      </c>
      <c r="IH19" s="185">
        <f t="shared" si="59"/>
        <v>555406.65241630096</v>
      </c>
      <c r="II19" s="181">
        <f t="shared" si="60"/>
        <v>4.1224573584630407E-2</v>
      </c>
      <c r="IJ19" s="93">
        <f t="shared" si="151"/>
        <v>4.1224571812917506E-2</v>
      </c>
      <c r="IK19" s="112">
        <f t="shared" si="184"/>
        <v>8.467931112932434E-3</v>
      </c>
      <c r="IL19" s="112">
        <f t="shared" si="185"/>
        <v>0</v>
      </c>
      <c r="IM19" s="112">
        <f t="shared" si="64"/>
        <v>2.2609572299430853E-2</v>
      </c>
      <c r="IN19" s="98"/>
      <c r="IO19" s="94">
        <f t="shared" si="152"/>
        <v>1.8430132668443639E-4</v>
      </c>
      <c r="IP19" s="94">
        <f t="shared" si="186"/>
        <v>0</v>
      </c>
      <c r="IQ19" s="94">
        <f t="shared" si="187"/>
        <v>4.1675787576105194E-3</v>
      </c>
      <c r="IR19" s="94">
        <f t="shared" si="193"/>
        <v>1.6169999999999511E-2</v>
      </c>
      <c r="IS19" s="94"/>
      <c r="IT19" s="94">
        <f t="shared" si="188"/>
        <v>2.4043722274726146E-3</v>
      </c>
      <c r="IU19" s="94">
        <f t="shared" si="194"/>
        <v>3.3249999999999509E-2</v>
      </c>
      <c r="IV19" s="94">
        <f t="shared" si="189"/>
        <v>8.1902551681831762E-3</v>
      </c>
      <c r="IW19" s="67"/>
      <c r="IX19" s="65">
        <f t="shared" si="153"/>
        <v>11.049720270628528</v>
      </c>
      <c r="IY19" s="86">
        <f t="shared" si="112"/>
        <v>1190.6006400000001</v>
      </c>
      <c r="IZ19" s="89">
        <f t="shared" si="113"/>
        <v>0.50600003807822735</v>
      </c>
      <c r="JA19" s="86">
        <f t="shared" si="121"/>
        <v>45894.934883824157</v>
      </c>
      <c r="JB19" s="86">
        <f t="shared" si="195"/>
        <v>110.3485068163309</v>
      </c>
      <c r="JC19" s="86">
        <f t="shared" si="196"/>
        <v>742.12109707141417</v>
      </c>
      <c r="JD19" s="86">
        <f t="shared" si="115"/>
        <v>4.28</v>
      </c>
      <c r="JE19" s="86">
        <f t="shared" si="116"/>
        <v>0</v>
      </c>
      <c r="JF19" s="86">
        <f t="shared" si="117"/>
        <v>4.28</v>
      </c>
      <c r="JG19" s="58">
        <f t="shared" si="118"/>
        <v>375.89122762567115</v>
      </c>
      <c r="JH19" s="90">
        <f t="shared" si="74"/>
        <v>362</v>
      </c>
      <c r="JI19" s="95">
        <f t="shared" si="75"/>
        <v>1.0383735569769921</v>
      </c>
    </row>
    <row r="20" spans="1:269" s="46" customFormat="1" x14ac:dyDescent="0.25">
      <c r="A20" s="6"/>
      <c r="B20" s="6"/>
      <c r="C20" s="6" t="s">
        <v>19</v>
      </c>
      <c r="D20" s="31" t="s">
        <v>84</v>
      </c>
      <c r="E20" s="220">
        <v>300</v>
      </c>
      <c r="F20" s="38">
        <f t="shared" si="126"/>
        <v>432</v>
      </c>
      <c r="G20" s="37">
        <v>300</v>
      </c>
      <c r="H20" s="31">
        <v>2392</v>
      </c>
      <c r="I20" s="25">
        <f>($H20-1380)/2</f>
        <v>506</v>
      </c>
      <c r="J20" s="25">
        <f t="shared" si="77"/>
        <v>806</v>
      </c>
      <c r="K20" s="25">
        <f>($H20-1380)/2</f>
        <v>506</v>
      </c>
      <c r="L20" s="31">
        <v>38.21</v>
      </c>
      <c r="M20" s="31" t="s">
        <v>90</v>
      </c>
      <c r="N20" s="31" t="s">
        <v>94</v>
      </c>
      <c r="O20" s="32">
        <v>266.8</v>
      </c>
      <c r="P20" s="225">
        <f t="shared" si="154"/>
        <v>400</v>
      </c>
      <c r="Q20" s="31">
        <v>90</v>
      </c>
      <c r="R20" s="31">
        <v>12</v>
      </c>
      <c r="S20" s="31"/>
      <c r="T20" s="51">
        <f t="shared" si="155"/>
        <v>1080</v>
      </c>
      <c r="U20" s="51">
        <f t="shared" si="78"/>
        <v>288.14400000000001</v>
      </c>
      <c r="V20" s="26">
        <v>1</v>
      </c>
      <c r="W20" s="26">
        <f t="shared" si="127"/>
        <v>1.4992503748125936</v>
      </c>
      <c r="X20" s="51">
        <v>432</v>
      </c>
      <c r="Y20" s="31" t="s">
        <v>91</v>
      </c>
      <c r="Z20" s="31" t="s">
        <v>93</v>
      </c>
      <c r="AA20" s="31">
        <v>391.5</v>
      </c>
      <c r="AB20" s="25">
        <v>400</v>
      </c>
      <c r="AC20" s="31">
        <v>125</v>
      </c>
      <c r="AD20" s="31">
        <v>125</v>
      </c>
      <c r="AE20" s="31">
        <v>2.2999999999999998</v>
      </c>
      <c r="AF20" s="10">
        <f t="shared" si="156"/>
        <v>2833497.5211999961</v>
      </c>
      <c r="AG20" s="52">
        <f t="shared" si="128"/>
        <v>580866991845.99915</v>
      </c>
      <c r="AH20" s="31" t="s">
        <v>95</v>
      </c>
      <c r="AI20" s="31" t="s">
        <v>94</v>
      </c>
      <c r="AJ20" s="32">
        <f t="shared" si="129"/>
        <v>266.8</v>
      </c>
      <c r="AK20" s="32">
        <f t="shared" si="157"/>
        <v>400</v>
      </c>
      <c r="AL20" s="31">
        <v>90</v>
      </c>
      <c r="AM20" s="31">
        <v>90</v>
      </c>
      <c r="AN20" s="31">
        <v>12</v>
      </c>
      <c r="AO20" s="31">
        <v>12</v>
      </c>
      <c r="AP20" s="31">
        <f t="shared" si="158"/>
        <v>2016</v>
      </c>
      <c r="AQ20" s="31">
        <f t="shared" si="159"/>
        <v>1080</v>
      </c>
      <c r="AR20" s="6">
        <f t="shared" si="160"/>
        <v>717768</v>
      </c>
      <c r="AS20" s="7">
        <f t="shared" si="161"/>
        <v>15950.4</v>
      </c>
      <c r="AT20" s="7">
        <f t="shared" si="82"/>
        <v>27108</v>
      </c>
      <c r="AU20" s="17">
        <f t="shared" si="83"/>
        <v>7.2324144000000006</v>
      </c>
      <c r="AV20" s="207">
        <f t="shared" si="7"/>
        <v>0.80316984364960364</v>
      </c>
      <c r="AW20" s="207">
        <f t="shared" si="130"/>
        <v>7.7049049082125162E-2</v>
      </c>
      <c r="AX20" s="17">
        <f t="shared" si="84"/>
        <v>6.6751637479121317</v>
      </c>
      <c r="AY20" s="31">
        <v>90</v>
      </c>
      <c r="AZ20" s="31" t="s">
        <v>58</v>
      </c>
      <c r="BA20" s="17">
        <f t="shared" si="131"/>
        <v>1</v>
      </c>
      <c r="BB20" s="35">
        <v>0.01</v>
      </c>
      <c r="BC20" s="110">
        <f t="shared" si="10"/>
        <v>5.0000000000000001E-4</v>
      </c>
      <c r="BD20" s="25">
        <v>0</v>
      </c>
      <c r="BE20" s="32">
        <v>2</v>
      </c>
      <c r="BF20" s="17">
        <f t="shared" si="11"/>
        <v>25.684888888888892</v>
      </c>
      <c r="BG20" s="195">
        <f t="shared" si="162"/>
        <v>391.5</v>
      </c>
      <c r="BH20" s="6">
        <f t="shared" si="163"/>
        <v>125</v>
      </c>
      <c r="BI20" s="6">
        <f t="shared" si="164"/>
        <v>2.2999999999999998</v>
      </c>
      <c r="BJ20" s="6">
        <f t="shared" si="165"/>
        <v>90</v>
      </c>
      <c r="BK20" s="6">
        <f t="shared" si="166"/>
        <v>90</v>
      </c>
      <c r="BL20" s="6">
        <f t="shared" si="167"/>
        <v>90</v>
      </c>
      <c r="BM20" s="7">
        <f t="shared" si="168"/>
        <v>17.5</v>
      </c>
      <c r="BN20" s="7">
        <f t="shared" si="169"/>
        <v>39.987998199459796</v>
      </c>
      <c r="BO20" s="7">
        <f t="shared" si="170"/>
        <v>42.101082158991233</v>
      </c>
      <c r="BP20" s="209">
        <f t="shared" si="171"/>
        <v>2.3478710661460411E-2</v>
      </c>
      <c r="BQ20" s="19">
        <f t="shared" si="172"/>
        <v>191.23665091610764</v>
      </c>
      <c r="BR20" s="19">
        <f t="shared" si="173"/>
        <v>4.4899899947259989</v>
      </c>
      <c r="BS20" s="7">
        <f t="shared" si="174"/>
        <v>8.75</v>
      </c>
      <c r="BT20" s="22">
        <f t="shared" si="175"/>
        <v>1.5319565217391305E-2</v>
      </c>
      <c r="BU20" s="209">
        <f t="shared" si="176"/>
        <v>1.7021739130434782E-4</v>
      </c>
      <c r="BV20" s="19">
        <f t="shared" si="190"/>
        <v>505.43632711695994</v>
      </c>
      <c r="BW20" s="204">
        <f t="shared" si="191"/>
        <v>8.6034053072299915E-2</v>
      </c>
      <c r="BX20" s="19">
        <f t="shared" si="177"/>
        <v>8.6034053072299915E-2</v>
      </c>
      <c r="BY20" s="19">
        <f t="shared" si="178"/>
        <v>505.43632711695994</v>
      </c>
      <c r="BZ20" s="6"/>
      <c r="CA20" s="31" t="s">
        <v>95</v>
      </c>
      <c r="CB20" s="31" t="s">
        <v>94</v>
      </c>
      <c r="CC20" s="32">
        <f t="shared" si="132"/>
        <v>125</v>
      </c>
      <c r="CD20" s="32"/>
      <c r="CE20" s="31">
        <v>180</v>
      </c>
      <c r="CF20" s="31">
        <v>180</v>
      </c>
      <c r="CG20" s="31">
        <v>12</v>
      </c>
      <c r="CH20" s="33">
        <f t="shared" si="179"/>
        <v>5807808</v>
      </c>
      <c r="CI20" s="25"/>
      <c r="CJ20" s="25"/>
      <c r="CK20" s="25"/>
      <c r="CL20" s="33">
        <f t="shared" si="180"/>
        <v>0</v>
      </c>
      <c r="CM20" s="33" t="s">
        <v>169</v>
      </c>
      <c r="CN20" s="34">
        <f t="shared" si="181"/>
        <v>5807808</v>
      </c>
      <c r="CO20" s="52">
        <f t="shared" si="133"/>
        <v>1190600640000</v>
      </c>
      <c r="CP20" s="31">
        <v>0</v>
      </c>
      <c r="CQ20" s="31">
        <v>0</v>
      </c>
      <c r="CR20" s="31">
        <v>140</v>
      </c>
      <c r="CS20" s="31" t="s">
        <v>177</v>
      </c>
      <c r="CT20" s="6"/>
      <c r="CU20" s="6"/>
      <c r="CV20" s="235">
        <v>12</v>
      </c>
      <c r="CW20" s="31">
        <v>180</v>
      </c>
      <c r="CX20" s="31">
        <v>110</v>
      </c>
      <c r="CY20" s="31">
        <v>132</v>
      </c>
      <c r="CZ20" s="31">
        <f t="shared" si="134"/>
        <v>12</v>
      </c>
      <c r="DA20" s="31">
        <v>110</v>
      </c>
      <c r="DB20" s="31">
        <v>180</v>
      </c>
      <c r="DC20" s="31">
        <v>144</v>
      </c>
      <c r="DD20" s="31">
        <f t="shared" si="135"/>
        <v>12</v>
      </c>
      <c r="DE20" s="31">
        <v>138</v>
      </c>
      <c r="DF20" s="31">
        <v>172</v>
      </c>
      <c r="DG20" s="31">
        <v>138</v>
      </c>
      <c r="DH20" s="31">
        <f t="shared" si="136"/>
        <v>12</v>
      </c>
      <c r="DI20" s="53">
        <f t="shared" si="137"/>
        <v>1.4876033057851239</v>
      </c>
      <c r="DJ20" s="53">
        <f t="shared" si="138"/>
        <v>0.67901234567901236</v>
      </c>
      <c r="DK20" s="53">
        <f t="shared" si="139"/>
        <v>0.89032258064516134</v>
      </c>
      <c r="DL20" s="54">
        <f t="shared" si="140"/>
        <v>32439560.439560439</v>
      </c>
      <c r="DM20" s="54">
        <f t="shared" si="141"/>
        <v>32439560.439560439</v>
      </c>
      <c r="DN20" s="54">
        <f t="shared" si="142"/>
        <v>32439560.439560439</v>
      </c>
      <c r="DO20" s="7"/>
      <c r="DP20" s="7">
        <f t="shared" si="143"/>
        <v>679.84142058216139</v>
      </c>
      <c r="DQ20" s="236">
        <f t="shared" si="144"/>
        <v>976.25990959789522</v>
      </c>
      <c r="DR20" s="19">
        <f t="shared" si="25"/>
        <v>424.02156017398102</v>
      </c>
      <c r="DS20" s="19"/>
      <c r="DT20" s="19"/>
      <c r="DU20" s="258"/>
      <c r="DV20" s="258"/>
      <c r="DW20" s="258"/>
      <c r="DX20" s="258"/>
      <c r="DY20" s="258"/>
      <c r="DZ20" s="260"/>
      <c r="EA20" s="260"/>
      <c r="EB20" s="195" t="s">
        <v>199</v>
      </c>
      <c r="EC20" s="178">
        <v>1000000000</v>
      </c>
      <c r="ED20" s="6"/>
      <c r="EE20" s="6"/>
      <c r="EF20" s="6"/>
      <c r="EG20" s="6"/>
      <c r="EH20" s="6"/>
      <c r="EI20" s="178"/>
      <c r="EJ20" s="6"/>
      <c r="EK20" s="6"/>
      <c r="EL20" s="6"/>
      <c r="EM20" s="6"/>
      <c r="EN20" s="6"/>
      <c r="EO20" s="178"/>
      <c r="EP20" s="6"/>
      <c r="EQ20" s="6"/>
      <c r="ER20" s="6"/>
      <c r="ES20" s="6"/>
      <c r="ET20" s="6"/>
      <c r="EU20" s="178"/>
      <c r="EV20" s="6"/>
      <c r="EW20" s="6"/>
      <c r="EX20" s="6"/>
      <c r="EY20" s="6"/>
      <c r="EZ20" s="6"/>
      <c r="FA20" s="178"/>
      <c r="FB20" s="6"/>
      <c r="FC20" s="6"/>
      <c r="FD20" s="6"/>
      <c r="FE20" s="6"/>
      <c r="FF20" s="6"/>
      <c r="FG20" s="6"/>
      <c r="FH20" s="6"/>
      <c r="FI20" s="178"/>
      <c r="FJ20" s="178">
        <f t="shared" si="109"/>
        <v>1000000000</v>
      </c>
      <c r="FK20" s="6" t="s">
        <v>199</v>
      </c>
      <c r="FL20" s="178">
        <f t="shared" si="110"/>
        <v>1000000000</v>
      </c>
      <c r="FM20" s="6"/>
      <c r="FN20" s="6"/>
      <c r="FO20" s="33"/>
      <c r="FP20" s="6"/>
      <c r="FQ20" s="6"/>
      <c r="FR20" s="178"/>
      <c r="FS20" s="6"/>
      <c r="FT20" s="6"/>
      <c r="FU20" s="6"/>
      <c r="FV20" s="6"/>
      <c r="FW20" s="6"/>
      <c r="FX20" s="178"/>
      <c r="FY20" s="6"/>
      <c r="FZ20" s="6"/>
      <c r="GA20" s="6"/>
      <c r="GB20" s="6"/>
      <c r="GC20" s="6"/>
      <c r="GD20" s="178"/>
      <c r="GE20" s="6"/>
      <c r="GF20" s="6"/>
      <c r="GG20" s="6"/>
      <c r="GH20" s="6"/>
      <c r="GI20" s="6"/>
      <c r="GJ20" s="178"/>
      <c r="GK20" s="178">
        <f t="shared" si="34"/>
        <v>1000000000</v>
      </c>
      <c r="GL20" s="10">
        <f t="shared" si="145"/>
        <v>38.21</v>
      </c>
      <c r="GM20" s="10">
        <f t="shared" si="36"/>
        <v>3.8259858980470899E-10</v>
      </c>
      <c r="GN20" s="251">
        <f t="shared" si="146"/>
        <v>3.8259858980470899E-10</v>
      </c>
      <c r="GO20" s="178">
        <f t="shared" si="147"/>
        <v>1306852699.7321568</v>
      </c>
      <c r="GP20" s="6"/>
      <c r="GQ20" s="8"/>
      <c r="GR20" s="102"/>
      <c r="GS20" s="102"/>
      <c r="GT20" s="9"/>
      <c r="GU20" s="9"/>
      <c r="GV20" s="9"/>
      <c r="GW20" s="103"/>
      <c r="GX20" s="18">
        <v>97</v>
      </c>
      <c r="GY20" s="104"/>
      <c r="GZ20" s="104">
        <v>4.28</v>
      </c>
      <c r="HA20" s="104"/>
      <c r="HB20" s="12"/>
      <c r="HC20" s="12">
        <v>5.0000000000000001E-4</v>
      </c>
      <c r="HD20" s="9">
        <v>0</v>
      </c>
      <c r="HE20" s="9">
        <v>2</v>
      </c>
      <c r="HF20" s="265">
        <f t="shared" si="148"/>
        <v>4.4444444444444446E-2</v>
      </c>
      <c r="HG20" s="14">
        <f t="shared" si="149"/>
        <v>21.684888888888892</v>
      </c>
      <c r="HH20" s="8"/>
      <c r="HI20" s="188">
        <f t="shared" si="39"/>
        <v>1190.6006400000001</v>
      </c>
      <c r="HJ20" s="188">
        <f t="shared" si="40"/>
        <v>580.86699184599911</v>
      </c>
      <c r="HK20" s="190">
        <f t="shared" si="41"/>
        <v>2392</v>
      </c>
      <c r="HL20" s="11">
        <f t="shared" si="42"/>
        <v>806</v>
      </c>
      <c r="HM20" s="11">
        <f t="shared" si="43"/>
        <v>506</v>
      </c>
      <c r="HN20" s="188">
        <f t="shared" si="111"/>
        <v>506.00003807822731</v>
      </c>
      <c r="HO20" s="190">
        <f t="shared" si="44"/>
        <v>90</v>
      </c>
      <c r="HP20" s="11">
        <f t="shared" si="45"/>
        <v>1306852699.7321568</v>
      </c>
      <c r="HQ20" s="18">
        <f t="shared" si="192"/>
        <v>97</v>
      </c>
      <c r="HR20" s="104">
        <f t="shared" si="120"/>
        <v>96.999995831220645</v>
      </c>
      <c r="HS20" s="229">
        <f t="shared" si="47"/>
        <v>4.28</v>
      </c>
      <c r="HT20" s="102">
        <f t="shared" si="48"/>
        <v>505.43632711695994</v>
      </c>
      <c r="HU20" s="12">
        <f t="shared" si="49"/>
        <v>0.01</v>
      </c>
      <c r="HV20" s="12">
        <f t="shared" si="50"/>
        <v>5.0000000000000001E-4</v>
      </c>
      <c r="HW20" s="111">
        <f t="shared" si="51"/>
        <v>0</v>
      </c>
      <c r="HX20" s="111">
        <f t="shared" si="52"/>
        <v>2</v>
      </c>
      <c r="HY20" s="265">
        <f t="shared" si="182"/>
        <v>4.4444444444444446E-2</v>
      </c>
      <c r="HZ20" s="14">
        <f t="shared" si="183"/>
        <v>21.684888888888892</v>
      </c>
      <c r="IA20" s="13"/>
      <c r="IB20" s="15">
        <f t="shared" si="54"/>
        <v>2.5641024226004186E-2</v>
      </c>
      <c r="IC20" s="18">
        <f t="shared" si="55"/>
        <v>2352.9655146309174</v>
      </c>
      <c r="ID20" s="13"/>
      <c r="IE20" s="105">
        <f t="shared" si="56"/>
        <v>2.0496958111120471</v>
      </c>
      <c r="IF20" s="105">
        <f t="shared" si="57"/>
        <v>0.21153847745745288</v>
      </c>
      <c r="IG20" s="105">
        <f t="shared" si="150"/>
        <v>0.21480821710905607</v>
      </c>
      <c r="IH20" s="186">
        <f t="shared" si="59"/>
        <v>555406.65241630096</v>
      </c>
      <c r="II20" s="182">
        <f t="shared" si="60"/>
        <v>4.1224573584630407E-2</v>
      </c>
      <c r="IJ20" s="105">
        <f t="shared" si="151"/>
        <v>4.1224571812917506E-2</v>
      </c>
      <c r="IK20" s="113">
        <f t="shared" si="184"/>
        <v>8.467931112932434E-3</v>
      </c>
      <c r="IL20" s="113">
        <f t="shared" si="185"/>
        <v>0</v>
      </c>
      <c r="IM20" s="113">
        <f t="shared" si="64"/>
        <v>4.2855508413097036E-2</v>
      </c>
      <c r="IN20" s="8"/>
      <c r="IO20" s="16">
        <f t="shared" si="152"/>
        <v>1.8430132668443639E-4</v>
      </c>
      <c r="IP20" s="16">
        <f t="shared" si="186"/>
        <v>0</v>
      </c>
      <c r="IQ20" s="16">
        <f t="shared" si="187"/>
        <v>4.1675787576105194E-3</v>
      </c>
      <c r="IR20" s="16">
        <f t="shared" si="193"/>
        <v>1.6169999999999511E-2</v>
      </c>
      <c r="IS20" s="16"/>
      <c r="IT20" s="16">
        <f t="shared" si="188"/>
        <v>2.4043722274726146E-3</v>
      </c>
      <c r="IU20" s="16">
        <f t="shared" si="194"/>
        <v>3.3249999999999509E-2</v>
      </c>
      <c r="IV20" s="16">
        <f t="shared" si="189"/>
        <v>6.6890941504893454E-3</v>
      </c>
      <c r="IW20" s="8"/>
      <c r="IX20" s="17">
        <f t="shared" si="153"/>
        <v>12.226899587397977</v>
      </c>
      <c r="IY20" s="18">
        <f t="shared" si="112"/>
        <v>1190.6006400000001</v>
      </c>
      <c r="IZ20" s="14">
        <f t="shared" si="113"/>
        <v>0.50600003807822735</v>
      </c>
      <c r="JA20" s="18">
        <f t="shared" si="121"/>
        <v>45894.934883824157</v>
      </c>
      <c r="JB20" s="18">
        <f t="shared" si="195"/>
        <v>110.3485068163309</v>
      </c>
      <c r="JC20" s="18">
        <f t="shared" si="196"/>
        <v>742.12109707141417</v>
      </c>
      <c r="JD20" s="18">
        <f t="shared" si="115"/>
        <v>4.28</v>
      </c>
      <c r="JE20" s="18">
        <f t="shared" si="116"/>
        <v>0</v>
      </c>
      <c r="JF20" s="18">
        <f t="shared" si="117"/>
        <v>4.28</v>
      </c>
      <c r="JG20" s="19">
        <f t="shared" si="118"/>
        <v>306.99554046847754</v>
      </c>
      <c r="JH20" s="11">
        <f t="shared" si="74"/>
        <v>300</v>
      </c>
      <c r="JI20" s="20">
        <f t="shared" si="75"/>
        <v>1.0233184682282586</v>
      </c>
    </row>
    <row r="21" spans="1:269" s="46" customFormat="1" x14ac:dyDescent="0.25">
      <c r="A21" s="46" t="s">
        <v>14</v>
      </c>
      <c r="B21" s="46">
        <v>2016</v>
      </c>
      <c r="C21" s="21" t="s">
        <v>78</v>
      </c>
      <c r="D21" s="59" t="s">
        <v>85</v>
      </c>
      <c r="E21" s="21"/>
      <c r="F21" s="39">
        <f>E21</f>
        <v>0</v>
      </c>
      <c r="G21" s="60" t="s">
        <v>58</v>
      </c>
      <c r="H21" s="59">
        <v>2490</v>
      </c>
      <c r="I21" s="59">
        <v>602</v>
      </c>
      <c r="J21" s="68">
        <f t="shared" si="77"/>
        <v>902</v>
      </c>
      <c r="K21" s="59">
        <v>602</v>
      </c>
      <c r="L21" s="59">
        <v>55.34</v>
      </c>
      <c r="M21" s="59" t="s">
        <v>90</v>
      </c>
      <c r="N21" s="59" t="s">
        <v>94</v>
      </c>
      <c r="O21" s="76">
        <v>293</v>
      </c>
      <c r="P21" s="224">
        <f t="shared" si="154"/>
        <v>410.2</v>
      </c>
      <c r="Q21" s="59">
        <v>90</v>
      </c>
      <c r="R21" s="59">
        <v>12</v>
      </c>
      <c r="S21" s="59"/>
      <c r="T21" s="69">
        <f t="shared" si="155"/>
        <v>1080</v>
      </c>
      <c r="U21" s="69">
        <f t="shared" si="78"/>
        <v>316.44</v>
      </c>
      <c r="V21" s="80">
        <v>1.1000000000000001</v>
      </c>
      <c r="W21" s="80">
        <v>1.4</v>
      </c>
      <c r="X21" s="62">
        <f t="shared" ref="X21:X34" si="197">T21*O21*V21*W21/10^3</f>
        <v>487.31759999999997</v>
      </c>
      <c r="Y21" s="59" t="s">
        <v>91</v>
      </c>
      <c r="Z21" s="68" t="s">
        <v>93</v>
      </c>
      <c r="AA21" s="68">
        <v>245</v>
      </c>
      <c r="AB21" s="68">
        <v>400</v>
      </c>
      <c r="AC21" s="59">
        <v>125</v>
      </c>
      <c r="AD21" s="59">
        <v>125</v>
      </c>
      <c r="AE21" s="59">
        <v>4.5</v>
      </c>
      <c r="AF21" s="21">
        <f t="shared" si="156"/>
        <v>5256390.75</v>
      </c>
      <c r="AG21" s="64">
        <f t="shared" si="128"/>
        <v>1077560103750</v>
      </c>
      <c r="AH21" s="59" t="s">
        <v>95</v>
      </c>
      <c r="AI21" s="59" t="str">
        <f t="shared" ref="AI21:AJ26" si="198">N21</f>
        <v>SN400B</v>
      </c>
      <c r="AJ21" s="59">
        <f t="shared" si="198"/>
        <v>293</v>
      </c>
      <c r="AK21" s="59">
        <f t="shared" si="157"/>
        <v>410.2</v>
      </c>
      <c r="AL21" s="59">
        <v>90</v>
      </c>
      <c r="AM21" s="59">
        <v>90</v>
      </c>
      <c r="AN21" s="59">
        <v>12</v>
      </c>
      <c r="AO21" s="59">
        <v>12</v>
      </c>
      <c r="AP21" s="59">
        <f t="shared" si="158"/>
        <v>2016</v>
      </c>
      <c r="AQ21" s="59">
        <f t="shared" si="159"/>
        <v>1080</v>
      </c>
      <c r="AR21" s="46">
        <f t="shared" si="160"/>
        <v>717768</v>
      </c>
      <c r="AS21" s="49">
        <f t="shared" si="161"/>
        <v>15950.4</v>
      </c>
      <c r="AT21" s="49">
        <f t="shared" si="82"/>
        <v>27108</v>
      </c>
      <c r="AU21" s="65">
        <f t="shared" si="83"/>
        <v>7.9426439999999996</v>
      </c>
      <c r="AV21" s="206">
        <f t="shared" si="7"/>
        <v>0</v>
      </c>
      <c r="AW21" s="206">
        <f t="shared" ref="AW21:AW34" si="199">((F21-AQ21*AJ21/10^3)/(AP21*AJ21/10^3-AQ21*AJ21/10^3))^2</f>
        <v>1.3313609467455625</v>
      </c>
      <c r="AX21" s="65">
        <f t="shared" si="84"/>
        <v>7.9426439999999996</v>
      </c>
      <c r="AY21" s="59">
        <v>180</v>
      </c>
      <c r="AZ21" s="59" t="s">
        <v>58</v>
      </c>
      <c r="BA21" s="65">
        <f t="shared" ref="BA21:BA26" si="200">MIN(AY21:AZ21)/AL21</f>
        <v>2</v>
      </c>
      <c r="BB21" s="66">
        <v>0.01</v>
      </c>
      <c r="BC21" s="109">
        <f t="shared" si="10"/>
        <v>5.0000000000000001E-4</v>
      </c>
      <c r="BD21" s="68">
        <v>0</v>
      </c>
      <c r="BE21" s="79">
        <v>1</v>
      </c>
      <c r="BF21" s="65">
        <f t="shared" si="11"/>
        <v>8.9338888888888892</v>
      </c>
      <c r="BG21" s="191">
        <f t="shared" si="162"/>
        <v>245</v>
      </c>
      <c r="BH21" s="46">
        <f t="shared" si="163"/>
        <v>125</v>
      </c>
      <c r="BI21" s="46">
        <f t="shared" si="164"/>
        <v>4.5</v>
      </c>
      <c r="BJ21" s="46">
        <f t="shared" si="165"/>
        <v>90</v>
      </c>
      <c r="BK21" s="46">
        <f t="shared" si="166"/>
        <v>90</v>
      </c>
      <c r="BL21" s="46">
        <f t="shared" si="167"/>
        <v>180</v>
      </c>
      <c r="BM21" s="49">
        <f t="shared" si="168"/>
        <v>17.5</v>
      </c>
      <c r="BN21" s="49">
        <f t="shared" si="169"/>
        <v>36.592348927063973</v>
      </c>
      <c r="BO21" s="49">
        <f t="shared" si="170"/>
        <v>39.044642827714519</v>
      </c>
      <c r="BP21" s="208">
        <f t="shared" si="171"/>
        <v>1.3623855003614141E-2</v>
      </c>
      <c r="BQ21" s="58">
        <f t="shared" si="172"/>
        <v>1595.0751580746758</v>
      </c>
      <c r="BR21" s="58">
        <f t="shared" si="173"/>
        <v>21.731072673476287</v>
      </c>
      <c r="BS21" s="49">
        <f t="shared" si="174"/>
        <v>8.75</v>
      </c>
      <c r="BT21" s="61">
        <f t="shared" si="175"/>
        <v>4.8999999999999998E-3</v>
      </c>
      <c r="BU21" s="208">
        <f t="shared" si="176"/>
        <v>2.7222222222222223E-5</v>
      </c>
      <c r="BV21" s="58">
        <f t="shared" si="190"/>
        <v>30283.807221851232</v>
      </c>
      <c r="BW21" s="203">
        <f t="shared" si="191"/>
        <v>0.82439252992817247</v>
      </c>
      <c r="BX21" s="58">
        <f t="shared" si="177"/>
        <v>0.82439252992817247</v>
      </c>
      <c r="BY21" s="58">
        <f t="shared" si="178"/>
        <v>30283.807221851232</v>
      </c>
      <c r="CA21" s="59" t="s">
        <v>95</v>
      </c>
      <c r="CC21" s="46">
        <f t="shared" si="132"/>
        <v>125</v>
      </c>
      <c r="CE21" s="59">
        <v>150</v>
      </c>
      <c r="CF21" s="59">
        <v>150</v>
      </c>
      <c r="CG21" s="59">
        <v>12</v>
      </c>
      <c r="CH21" s="46">
        <f t="shared" si="179"/>
        <v>3355128</v>
      </c>
      <c r="CI21" s="46">
        <v>56</v>
      </c>
      <c r="CJ21" s="46">
        <v>56</v>
      </c>
      <c r="CL21" s="48">
        <f t="shared" si="180"/>
        <v>0</v>
      </c>
      <c r="CM21" s="48" t="s">
        <v>169</v>
      </c>
      <c r="CN21" s="72">
        <f t="shared" si="181"/>
        <v>3355128</v>
      </c>
      <c r="CO21" s="99">
        <f t="shared" si="133"/>
        <v>687801240000</v>
      </c>
      <c r="CP21" s="59">
        <v>142</v>
      </c>
      <c r="CQ21" s="59">
        <v>111</v>
      </c>
      <c r="CR21" s="59">
        <v>27</v>
      </c>
      <c r="CS21" s="59">
        <v>0</v>
      </c>
      <c r="CT21" s="59"/>
      <c r="CU21" s="59"/>
      <c r="CV21" s="233">
        <v>12</v>
      </c>
      <c r="CW21" s="59">
        <v>175</v>
      </c>
      <c r="CX21" s="59">
        <v>87</v>
      </c>
      <c r="CY21" s="59">
        <v>86</v>
      </c>
      <c r="CZ21" s="59">
        <f t="shared" ref="CZ21:CZ30" si="201">$CV21</f>
        <v>12</v>
      </c>
      <c r="DA21" s="59">
        <v>189</v>
      </c>
      <c r="DB21" s="59">
        <v>81</v>
      </c>
      <c r="DC21" s="59">
        <v>98</v>
      </c>
      <c r="DD21" s="59">
        <f t="shared" ref="DD21:DD30" si="202">$CV21</f>
        <v>12</v>
      </c>
      <c r="DE21" s="59">
        <v>195</v>
      </c>
      <c r="DF21" s="59">
        <v>77</v>
      </c>
      <c r="DG21" s="59">
        <v>141</v>
      </c>
      <c r="DH21" s="59">
        <f t="shared" ref="DH21:DH30" si="203">$CV21</f>
        <v>12</v>
      </c>
      <c r="DI21" s="81">
        <f>2*CW21/(CX21+CY21)</f>
        <v>2.0231213872832372</v>
      </c>
      <c r="DJ21" s="81">
        <f>2*DA21/(DB21+DC21)</f>
        <v>2.1117318435754191</v>
      </c>
      <c r="DK21" s="81">
        <f>2*DE21/(DF21+DG21)</f>
        <v>1.7889908256880733</v>
      </c>
      <c r="DL21" s="82">
        <f t="shared" si="140"/>
        <v>32439560.439560439</v>
      </c>
      <c r="DM21" s="82">
        <f t="shared" si="141"/>
        <v>32439560.439560439</v>
      </c>
      <c r="DN21" s="82">
        <f t="shared" si="142"/>
        <v>32439560.439560439</v>
      </c>
      <c r="DO21" s="49">
        <f>DI21*DL21*(SQRT(DA21^2-CX21^2)/(CW21*CX21)+SQRT(DE21^2-CY21^2)/(CW21*CY21))^2</f>
        <v>33666.461897609421</v>
      </c>
      <c r="DP21" s="49">
        <f>DJ21*DM21/DB21^2</f>
        <v>10441.038373999269</v>
      </c>
      <c r="DQ21" s="234">
        <f>DK21*DN21/DF21^2</f>
        <v>9788.1727130590971</v>
      </c>
      <c r="DR21" s="58">
        <f t="shared" si="25"/>
        <v>19532.007472335543</v>
      </c>
      <c r="DS21" s="58"/>
      <c r="DT21" s="58"/>
      <c r="DU21" s="257"/>
      <c r="DV21" s="257"/>
      <c r="DW21" s="257"/>
      <c r="DX21" s="257"/>
      <c r="DY21" s="257"/>
      <c r="DZ21" s="259"/>
      <c r="EA21" s="259"/>
      <c r="EB21" s="191" t="s">
        <v>169</v>
      </c>
      <c r="EC21" s="177"/>
      <c r="EI21" s="177"/>
      <c r="EO21" s="177"/>
      <c r="EP21" s="46" t="s">
        <v>234</v>
      </c>
      <c r="EQ21" s="46" t="s">
        <v>242</v>
      </c>
      <c r="ER21" s="48">
        <v>143620000</v>
      </c>
      <c r="ES21" s="46" t="s">
        <v>196</v>
      </c>
      <c r="ET21" s="46">
        <f>200+440+100</f>
        <v>740</v>
      </c>
      <c r="EU21" s="177">
        <f>IF(ISBLANK(ES21),0,IF(ES21="Pinned",3,IF(ES21="Fixed",4,#N/A))*$C$2*ER21/10^6/ET21)</f>
        <v>159146.48648648648</v>
      </c>
      <c r="EV21" s="46" t="s">
        <v>234</v>
      </c>
      <c r="EW21" s="46" t="s">
        <v>242</v>
      </c>
      <c r="EX21" s="48">
        <v>143620000</v>
      </c>
      <c r="EY21" s="46" t="s">
        <v>196</v>
      </c>
      <c r="EZ21" s="46">
        <f>200+440+100</f>
        <v>740</v>
      </c>
      <c r="FA21" s="177">
        <f>IF(ISBLANK(EY21),0,IF(EY21="Pinned",3,IF(EY21="Fixed",4,#N/A))*$C$2*EX21/10^6/EZ21)</f>
        <v>159146.48648648648</v>
      </c>
      <c r="FB21" s="46" t="s">
        <v>234</v>
      </c>
      <c r="FC21" s="48">
        <v>582350</v>
      </c>
      <c r="FD21" s="46">
        <f t="shared" ref="FD21:FD26" si="204">16*200^3/12</f>
        <v>10666666.666666666</v>
      </c>
      <c r="FE21" s="46">
        <v>300</v>
      </c>
      <c r="FF21" s="46">
        <f t="shared" ref="FF21:FF28" si="205">FD21*FE21^2/2</f>
        <v>480000000000</v>
      </c>
      <c r="FG21" s="63">
        <f t="shared" ref="FG21:FG28" si="206">SQRT($C$3*FC21/($C$2*FF21))</f>
        <v>6.8310072651410828E-4</v>
      </c>
      <c r="FH21" s="68">
        <v>805</v>
      </c>
      <c r="FI21" s="136">
        <f t="shared" ref="FI21:FI28" si="207">2*$C$3*FC21*FG21/((COSH(FG21*FH21/2)-1)^2/(FG21*SINH(FG21*FH21/2))-SINH(FG21*FH21/2)+FG21*FH21/2)</f>
        <v>8250123.8166521797</v>
      </c>
      <c r="FJ21" s="177">
        <f t="shared" si="109"/>
        <v>8568416.7896251529</v>
      </c>
      <c r="FK21" s="46" t="s">
        <v>169</v>
      </c>
      <c r="FL21" s="177"/>
      <c r="FM21" s="46" t="s">
        <v>234</v>
      </c>
      <c r="FN21" s="46" t="s">
        <v>241</v>
      </c>
      <c r="FO21" s="48">
        <v>21350000</v>
      </c>
      <c r="FP21" s="46" t="s">
        <v>196</v>
      </c>
      <c r="FQ21" s="46">
        <v>4170</v>
      </c>
      <c r="FR21" s="177">
        <f t="shared" ref="FR21:FR26" si="208">IF(ISBLANK(FP21),0,IF(FP21="Pinned",3,IF(FP21="Fixed",4,#N/A))*$C$2*FO21/10^6/FQ21)</f>
        <v>4198.3213429256593</v>
      </c>
      <c r="FS21" s="46" t="s">
        <v>234</v>
      </c>
      <c r="FT21" s="46" t="s">
        <v>241</v>
      </c>
      <c r="FU21" s="48">
        <v>21350000</v>
      </c>
      <c r="FV21" s="46" t="s">
        <v>196</v>
      </c>
      <c r="FW21" s="46">
        <v>805</v>
      </c>
      <c r="FX21" s="177">
        <f t="shared" ref="FX21:FX28" si="209">IF(ISBLANK(FV21),0,IF(FV21="Pinned",3,IF(FV21="Fixed",4,#N/A))*$C$2*FU21/10^6/FW21)</f>
        <v>21747.82608695652</v>
      </c>
      <c r="FY21" s="46" t="s">
        <v>234</v>
      </c>
      <c r="FZ21" s="46" t="s">
        <v>241</v>
      </c>
      <c r="GA21" s="48">
        <v>21350000</v>
      </c>
      <c r="GB21" s="46" t="s">
        <v>197</v>
      </c>
      <c r="GC21" s="46">
        <f>200+440+100</f>
        <v>740</v>
      </c>
      <c r="GD21" s="177">
        <f>IF(ISBLANK(GB21),0,IF(GB21="Pinned",3,IF(GB21="Fixed",4,#N/A))*$C$2*GA21/10^6/GC21)</f>
        <v>17743.58108108108</v>
      </c>
      <c r="GE21" s="46" t="s">
        <v>234</v>
      </c>
      <c r="GF21" s="46" t="s">
        <v>241</v>
      </c>
      <c r="GG21" s="48">
        <v>21350000</v>
      </c>
      <c r="GH21" s="46" t="s">
        <v>197</v>
      </c>
      <c r="GI21" s="46">
        <f>200+440+100</f>
        <v>740</v>
      </c>
      <c r="GJ21" s="177">
        <f>IF(ISBLANK(GH21),0,IF(GH21="Pinned",3,IF(GH21="Fixed",4,#N/A))*$C$2*GG21/10^6/GI21)</f>
        <v>17743.58108108108</v>
      </c>
      <c r="GK21" s="177">
        <f t="shared" si="34"/>
        <v>61433.309592044337</v>
      </c>
      <c r="GL21" s="21">
        <f t="shared" si="145"/>
        <v>55.34</v>
      </c>
      <c r="GM21" s="21">
        <f t="shared" si="36"/>
        <v>7.8961395314200405E-8</v>
      </c>
      <c r="GN21" s="250">
        <f t="shared" si="146"/>
        <v>1.1013148238883756E-5</v>
      </c>
      <c r="GO21" s="177">
        <f t="shared" si="147"/>
        <v>90154.175623806615</v>
      </c>
      <c r="GQ21" s="67"/>
      <c r="GR21" s="83"/>
      <c r="GS21" s="83"/>
      <c r="GT21" s="84"/>
      <c r="GU21" s="84"/>
      <c r="GV21" s="84"/>
      <c r="GW21" s="85"/>
      <c r="GX21" s="86">
        <f>2.73*CO21/K21/10^6</f>
        <v>3119.0986465116275</v>
      </c>
      <c r="GY21" s="87"/>
      <c r="GZ21" s="87">
        <v>4.2699999999999996</v>
      </c>
      <c r="HA21" s="87"/>
      <c r="HB21" s="88"/>
      <c r="HC21" s="88"/>
      <c r="HD21" s="84"/>
      <c r="HE21" s="84"/>
      <c r="HF21" s="264"/>
      <c r="HG21" s="89"/>
      <c r="HH21" s="67"/>
      <c r="HI21" s="87">
        <f t="shared" si="39"/>
        <v>687.80124000000001</v>
      </c>
      <c r="HJ21" s="87">
        <f t="shared" si="40"/>
        <v>1077.5601037500001</v>
      </c>
      <c r="HK21" s="84">
        <f t="shared" si="41"/>
        <v>2490</v>
      </c>
      <c r="HL21" s="90">
        <f t="shared" si="42"/>
        <v>902</v>
      </c>
      <c r="HM21" s="90">
        <f t="shared" si="43"/>
        <v>602</v>
      </c>
      <c r="HN21" s="87">
        <f t="shared" si="111"/>
        <v>617.46148973181744</v>
      </c>
      <c r="HO21" s="84">
        <f t="shared" si="44"/>
        <v>180</v>
      </c>
      <c r="HP21" s="90">
        <f t="shared" si="45"/>
        <v>90154.175623806615</v>
      </c>
      <c r="HQ21" s="86">
        <f t="shared" si="192"/>
        <v>3119.0986465116275</v>
      </c>
      <c r="HR21" s="87">
        <f t="shared" si="120"/>
        <v>3041.5389943877244</v>
      </c>
      <c r="HS21" s="228">
        <f t="shared" si="47"/>
        <v>4.2699999999999996</v>
      </c>
      <c r="HT21" s="83">
        <f t="shared" si="48"/>
        <v>30283.807221851232</v>
      </c>
      <c r="HU21" s="88">
        <f t="shared" si="49"/>
        <v>0.01</v>
      </c>
      <c r="HV21" s="88">
        <f t="shared" si="50"/>
        <v>5.0000000000000001E-4</v>
      </c>
      <c r="HW21" s="108">
        <f t="shared" si="51"/>
        <v>0</v>
      </c>
      <c r="HX21" s="108">
        <f t="shared" si="52"/>
        <v>1</v>
      </c>
      <c r="HY21" s="264">
        <f t="shared" si="182"/>
        <v>1.1111111111111112E-2</v>
      </c>
      <c r="HZ21" s="89">
        <f t="shared" si="183"/>
        <v>9.1056832192424153</v>
      </c>
      <c r="IA21" s="67"/>
      <c r="IB21" s="92">
        <f t="shared" si="54"/>
        <v>5.6005221799927049E-3</v>
      </c>
      <c r="IC21" s="86">
        <f t="shared" si="55"/>
        <v>1113.9176312011512</v>
      </c>
      <c r="ID21" s="91"/>
      <c r="IE21" s="93">
        <f t="shared" si="56"/>
        <v>0.63829501259966259</v>
      </c>
      <c r="IF21" s="93">
        <f t="shared" si="57"/>
        <v>0.2479765019003283</v>
      </c>
      <c r="IG21" s="93">
        <f t="shared" si="150"/>
        <v>27.186756339601008</v>
      </c>
      <c r="IH21" s="268">
        <f t="shared" si="59"/>
        <v>80.934328624094277</v>
      </c>
      <c r="II21" s="181">
        <f t="shared" si="60"/>
        <v>2.8001160580861484</v>
      </c>
      <c r="IJ21" s="93">
        <f t="shared" si="151"/>
        <v>2.7304882418532106</v>
      </c>
      <c r="IK21" s="112">
        <f t="shared" si="184"/>
        <v>1.4099944464442991E-4</v>
      </c>
      <c r="IL21" s="112">
        <f t="shared" si="185"/>
        <v>4.3994778200072953E-3</v>
      </c>
      <c r="IM21" s="112">
        <f t="shared" si="64"/>
        <v>1.4746965390825094E-2</v>
      </c>
      <c r="IN21" s="67"/>
      <c r="IO21" s="94">
        <f t="shared" si="152"/>
        <v>3.8839627099380736E-4</v>
      </c>
      <c r="IP21" s="94">
        <f t="shared" si="186"/>
        <v>6.1349740323677206E-4</v>
      </c>
      <c r="IQ21" s="94">
        <f t="shared" si="187"/>
        <v>0.13223480367798937</v>
      </c>
      <c r="IR21" s="94">
        <f t="shared" si="193"/>
        <v>0.22694000000008618</v>
      </c>
      <c r="IS21" s="94"/>
      <c r="IT21" s="94">
        <f t="shared" si="188"/>
        <v>6.6652555586900433E-2</v>
      </c>
      <c r="IU21" s="94">
        <f t="shared" si="194"/>
        <v>0.56179000000007806</v>
      </c>
      <c r="IV21" s="94">
        <f t="shared" si="189"/>
        <v>0.13223480367798937</v>
      </c>
      <c r="IW21" s="67"/>
      <c r="IX21" s="65">
        <f t="shared" si="153"/>
        <v>2.7499646593109226</v>
      </c>
      <c r="IY21" s="86">
        <f t="shared" si="112"/>
        <v>687.80124000000001</v>
      </c>
      <c r="IZ21" s="89">
        <f t="shared" si="113"/>
        <v>0.61746148973181747</v>
      </c>
      <c r="JA21" s="86">
        <f t="shared" si="121"/>
        <v>17805.039728273441</v>
      </c>
      <c r="JB21" s="86">
        <f t="shared" si="195"/>
        <v>1186.7514002157161</v>
      </c>
      <c r="JC21" s="86">
        <f t="shared" si="196"/>
        <v>4040.6757159359095</v>
      </c>
      <c r="JD21" s="86">
        <f t="shared" si="115"/>
        <v>4.2699999999999996</v>
      </c>
      <c r="JE21" s="86">
        <f t="shared" si="116"/>
        <v>6.744745270385935</v>
      </c>
      <c r="JF21" s="86">
        <f t="shared" si="117"/>
        <v>0</v>
      </c>
      <c r="JG21" s="58">
        <f t="shared" si="118"/>
        <v>2354.4459329470392</v>
      </c>
      <c r="JH21" s="90" t="str">
        <f t="shared" si="74"/>
        <v>-</v>
      </c>
      <c r="JI21" s="95" t="e">
        <f t="shared" ref="JI21:JI26" si="210">JG21/JH21</f>
        <v>#VALUE!</v>
      </c>
    </row>
    <row r="22" spans="1:269" s="46" customFormat="1" x14ac:dyDescent="0.25">
      <c r="C22" s="21" t="s">
        <v>79</v>
      </c>
      <c r="D22" s="59" t="s">
        <v>85</v>
      </c>
      <c r="E22" s="21"/>
      <c r="F22" s="39">
        <f t="shared" ref="F22:F34" si="211">E22</f>
        <v>0</v>
      </c>
      <c r="G22" s="60" t="s">
        <v>58</v>
      </c>
      <c r="H22" s="59">
        <v>2490</v>
      </c>
      <c r="I22" s="59">
        <v>602</v>
      </c>
      <c r="J22" s="68">
        <f t="shared" si="77"/>
        <v>902</v>
      </c>
      <c r="K22" s="59">
        <v>602</v>
      </c>
      <c r="L22" s="59">
        <v>55.34</v>
      </c>
      <c r="M22" s="59" t="s">
        <v>90</v>
      </c>
      <c r="N22" s="59" t="s">
        <v>94</v>
      </c>
      <c r="O22" s="69">
        <v>293</v>
      </c>
      <c r="P22" s="224">
        <f t="shared" si="154"/>
        <v>410.2</v>
      </c>
      <c r="Q22" s="59">
        <v>90</v>
      </c>
      <c r="R22" s="59">
        <v>12</v>
      </c>
      <c r="S22" s="59"/>
      <c r="T22" s="69">
        <f t="shared" si="155"/>
        <v>1080</v>
      </c>
      <c r="U22" s="69">
        <f t="shared" si="78"/>
        <v>316.44</v>
      </c>
      <c r="V22" s="80">
        <v>1.1000000000000001</v>
      </c>
      <c r="W22" s="80">
        <v>1.4</v>
      </c>
      <c r="X22" s="62">
        <f t="shared" si="197"/>
        <v>487.31759999999997</v>
      </c>
      <c r="Y22" s="59" t="s">
        <v>92</v>
      </c>
      <c r="Z22" s="68" t="s">
        <v>93</v>
      </c>
      <c r="AA22" s="68">
        <v>245</v>
      </c>
      <c r="AB22" s="68">
        <v>400</v>
      </c>
      <c r="AC22" s="59">
        <v>165.2</v>
      </c>
      <c r="AD22" s="59">
        <v>165.2</v>
      </c>
      <c r="AE22" s="59">
        <v>4.5</v>
      </c>
      <c r="AF22" s="21">
        <f t="shared" si="156"/>
        <v>7339398.0764583908</v>
      </c>
      <c r="AG22" s="64">
        <f t="shared" si="128"/>
        <v>1504576605673.9702</v>
      </c>
      <c r="AH22" s="59" t="s">
        <v>95</v>
      </c>
      <c r="AI22" s="59" t="str">
        <f t="shared" si="198"/>
        <v>SN400B</v>
      </c>
      <c r="AJ22" s="59">
        <f t="shared" si="198"/>
        <v>293</v>
      </c>
      <c r="AK22" s="59">
        <f t="shared" si="157"/>
        <v>410.2</v>
      </c>
      <c r="AL22" s="59">
        <v>90</v>
      </c>
      <c r="AM22" s="59">
        <v>90</v>
      </c>
      <c r="AN22" s="59">
        <v>12</v>
      </c>
      <c r="AO22" s="59">
        <v>12</v>
      </c>
      <c r="AP22" s="59">
        <f t="shared" si="158"/>
        <v>2016</v>
      </c>
      <c r="AQ22" s="59">
        <f t="shared" si="159"/>
        <v>1080</v>
      </c>
      <c r="AR22" s="46">
        <f t="shared" si="160"/>
        <v>717768</v>
      </c>
      <c r="AS22" s="49">
        <f t="shared" si="161"/>
        <v>15950.4</v>
      </c>
      <c r="AT22" s="49">
        <f t="shared" si="82"/>
        <v>27108</v>
      </c>
      <c r="AU22" s="65">
        <f t="shared" si="83"/>
        <v>7.9426439999999996</v>
      </c>
      <c r="AV22" s="206">
        <f t="shared" si="7"/>
        <v>0</v>
      </c>
      <c r="AW22" s="206">
        <f t="shared" si="199"/>
        <v>1.3313609467455625</v>
      </c>
      <c r="AX22" s="65">
        <f t="shared" si="84"/>
        <v>7.9426439999999996</v>
      </c>
      <c r="AY22" s="59">
        <v>180</v>
      </c>
      <c r="AZ22" s="59" t="s">
        <v>58</v>
      </c>
      <c r="BA22" s="65">
        <f t="shared" si="200"/>
        <v>2</v>
      </c>
      <c r="BB22" s="66">
        <v>0.01</v>
      </c>
      <c r="BC22" s="109">
        <f t="shared" si="10"/>
        <v>5.0000000000000001E-4</v>
      </c>
      <c r="BD22" s="68">
        <v>0</v>
      </c>
      <c r="BE22" s="79">
        <v>1</v>
      </c>
      <c r="BF22" s="65">
        <f t="shared" si="11"/>
        <v>8.9338888888888892</v>
      </c>
      <c r="BG22" s="191">
        <f t="shared" si="162"/>
        <v>245</v>
      </c>
      <c r="BH22" s="46">
        <f t="shared" si="163"/>
        <v>165.2</v>
      </c>
      <c r="BI22" s="46">
        <f t="shared" si="164"/>
        <v>4.5</v>
      </c>
      <c r="BJ22" s="46">
        <f t="shared" si="165"/>
        <v>90</v>
      </c>
      <c r="BK22" s="46">
        <f t="shared" si="166"/>
        <v>90</v>
      </c>
      <c r="BL22" s="46">
        <f t="shared" si="167"/>
        <v>180</v>
      </c>
      <c r="BM22" s="49">
        <f t="shared" si="168"/>
        <v>37.599999999999994</v>
      </c>
      <c r="BN22" s="49">
        <f t="shared" si="169"/>
        <v>63.832671885171777</v>
      </c>
      <c r="BO22" s="49">
        <f t="shared" si="170"/>
        <v>69.685332313650363</v>
      </c>
      <c r="BP22" s="208">
        <f t="shared" si="171"/>
        <v>3.2514780158214365E-2</v>
      </c>
      <c r="BQ22" s="58">
        <f t="shared" si="172"/>
        <v>644.56373489722012</v>
      </c>
      <c r="BR22" s="58">
        <f t="shared" si="173"/>
        <v>20.957848138140676</v>
      </c>
      <c r="BS22" s="49">
        <f t="shared" si="174"/>
        <v>18.799999999999997</v>
      </c>
      <c r="BT22" s="61">
        <f t="shared" si="175"/>
        <v>6.4758399999999983E-3</v>
      </c>
      <c r="BU22" s="208">
        <f t="shared" si="176"/>
        <v>3.5976888888888882E-5</v>
      </c>
      <c r="BV22" s="58">
        <f t="shared" si="190"/>
        <v>3295.137907671121</v>
      </c>
      <c r="BW22" s="203">
        <f t="shared" si="191"/>
        <v>0.11854881037784971</v>
      </c>
      <c r="BX22" s="58">
        <f t="shared" si="177"/>
        <v>20.957848138140676</v>
      </c>
      <c r="BY22" s="58">
        <f t="shared" si="178"/>
        <v>644.56373489722012</v>
      </c>
      <c r="CA22" s="59" t="s">
        <v>95</v>
      </c>
      <c r="CC22" s="46">
        <f t="shared" si="132"/>
        <v>165.2</v>
      </c>
      <c r="CE22" s="59">
        <v>150</v>
      </c>
      <c r="CF22" s="59">
        <v>150</v>
      </c>
      <c r="CG22" s="59">
        <v>12</v>
      </c>
      <c r="CH22" s="46">
        <f t="shared" si="179"/>
        <v>3355128</v>
      </c>
      <c r="CI22" s="46">
        <v>56</v>
      </c>
      <c r="CJ22" s="46">
        <v>56</v>
      </c>
      <c r="CL22" s="48">
        <f t="shared" si="180"/>
        <v>0</v>
      </c>
      <c r="CM22" s="48" t="s">
        <v>169</v>
      </c>
      <c r="CN22" s="72">
        <f t="shared" si="181"/>
        <v>3355128</v>
      </c>
      <c r="CO22" s="99">
        <f t="shared" si="133"/>
        <v>687801240000</v>
      </c>
      <c r="CP22" s="59">
        <v>142</v>
      </c>
      <c r="CQ22" s="59">
        <v>111</v>
      </c>
      <c r="CR22" s="59">
        <v>27</v>
      </c>
      <c r="CS22" s="59">
        <v>0</v>
      </c>
      <c r="CT22" s="59"/>
      <c r="CU22" s="59"/>
      <c r="CV22" s="233">
        <v>12</v>
      </c>
      <c r="CW22" s="59">
        <v>175</v>
      </c>
      <c r="CX22" s="59">
        <v>87</v>
      </c>
      <c r="CY22" s="59">
        <v>86</v>
      </c>
      <c r="CZ22" s="59">
        <f t="shared" si="201"/>
        <v>12</v>
      </c>
      <c r="DA22" s="59">
        <v>189</v>
      </c>
      <c r="DB22" s="59">
        <v>81</v>
      </c>
      <c r="DC22" s="59">
        <v>98</v>
      </c>
      <c r="DD22" s="59">
        <f t="shared" si="202"/>
        <v>12</v>
      </c>
      <c r="DE22" s="59">
        <v>195</v>
      </c>
      <c r="DF22" s="59">
        <v>77</v>
      </c>
      <c r="DG22" s="59">
        <v>141</v>
      </c>
      <c r="DH22" s="59">
        <f t="shared" si="203"/>
        <v>12</v>
      </c>
      <c r="DI22" s="81">
        <f t="shared" ref="DI22:DI27" si="212">2*CW22/(CX22+CY22)</f>
        <v>2.0231213872832372</v>
      </c>
      <c r="DJ22" s="81">
        <f t="shared" ref="DJ22:DJ27" si="213">2*DA22/(DB22+DC22)</f>
        <v>2.1117318435754191</v>
      </c>
      <c r="DK22" s="81">
        <f t="shared" ref="DK22:DK27" si="214">2*DE22/(DF22+DG22)</f>
        <v>1.7889908256880733</v>
      </c>
      <c r="DL22" s="82">
        <f t="shared" si="140"/>
        <v>32439560.439560439</v>
      </c>
      <c r="DM22" s="82">
        <f t="shared" si="141"/>
        <v>32439560.439560439</v>
      </c>
      <c r="DN22" s="82">
        <f t="shared" si="142"/>
        <v>32439560.439560439</v>
      </c>
      <c r="DO22" s="49">
        <f t="shared" ref="DO22:DO27" si="215">DI22*DL22*(SQRT(DA22^2-CX22^2)/(CW22*CX22)+SQRT(DE22^2-CY22^2)/(CW22*CY22))^2</f>
        <v>33666.461897609421</v>
      </c>
      <c r="DP22" s="49">
        <f t="shared" ref="DP22:DP27" si="216">DJ22*DM22/DB22^2</f>
        <v>10441.038373999269</v>
      </c>
      <c r="DQ22" s="234">
        <f t="shared" ref="DQ22:DQ27" si="217">DK22*DN22/DF22^2</f>
        <v>9788.1727130590971</v>
      </c>
      <c r="DR22" s="58">
        <f t="shared" si="25"/>
        <v>19532.007472335543</v>
      </c>
      <c r="DS22" s="58"/>
      <c r="DT22" s="58"/>
      <c r="DU22" s="257"/>
      <c r="DV22" s="257"/>
      <c r="DW22" s="257"/>
      <c r="DX22" s="257"/>
      <c r="DY22" s="257"/>
      <c r="DZ22" s="259"/>
      <c r="EA22" s="259"/>
      <c r="EB22" s="191" t="s">
        <v>169</v>
      </c>
      <c r="EC22" s="177"/>
      <c r="EI22" s="177"/>
      <c r="EO22" s="177"/>
      <c r="EP22" s="46" t="s">
        <v>235</v>
      </c>
      <c r="EQ22" s="46" t="s">
        <v>242</v>
      </c>
      <c r="ER22" s="48">
        <v>6204300</v>
      </c>
      <c r="ES22" s="46" t="s">
        <v>197</v>
      </c>
      <c r="ET22" s="46">
        <f>200+440</f>
        <v>640</v>
      </c>
      <c r="EU22" s="177">
        <f>IF(ISBLANK(ES22),0,IF(ES22="Pinned",3,IF(ES22="Fixed",4,#N/A))*$C$2*ER22/10^6/ET22)</f>
        <v>5961.9445312500002</v>
      </c>
      <c r="EV22" s="46" t="s">
        <v>235</v>
      </c>
      <c r="EW22" s="46" t="s">
        <v>242</v>
      </c>
      <c r="EX22" s="48">
        <v>6204300</v>
      </c>
      <c r="EY22" s="46" t="s">
        <v>197</v>
      </c>
      <c r="EZ22" s="46">
        <f>200+440</f>
        <v>640</v>
      </c>
      <c r="FA22" s="177">
        <f>IF(ISBLANK(EY22),0,IF(EY22="Pinned",3,IF(EY22="Fixed",4,#N/A))*$C$2*EX22/10^6/EZ22)</f>
        <v>5961.9445312500002</v>
      </c>
      <c r="FB22" s="46" t="s">
        <v>234</v>
      </c>
      <c r="FC22" s="48">
        <v>582350</v>
      </c>
      <c r="FD22" s="46">
        <f t="shared" si="204"/>
        <v>10666666.666666666</v>
      </c>
      <c r="FE22" s="46">
        <v>300</v>
      </c>
      <c r="FF22" s="46">
        <f t="shared" si="205"/>
        <v>480000000000</v>
      </c>
      <c r="FG22" s="46">
        <f t="shared" si="206"/>
        <v>6.8310072651410828E-4</v>
      </c>
      <c r="FH22" s="68">
        <v>805</v>
      </c>
      <c r="FI22" s="58">
        <f t="shared" si="207"/>
        <v>8250123.8166521797</v>
      </c>
      <c r="FJ22" s="177">
        <f t="shared" si="109"/>
        <v>8262047.7057146793</v>
      </c>
      <c r="FK22" s="46" t="s">
        <v>169</v>
      </c>
      <c r="FL22" s="177"/>
      <c r="FM22" s="46" t="s">
        <v>234</v>
      </c>
      <c r="FN22" s="46" t="s">
        <v>241</v>
      </c>
      <c r="FO22" s="48">
        <v>21350000</v>
      </c>
      <c r="FP22" s="46" t="s">
        <v>196</v>
      </c>
      <c r="FQ22" s="46">
        <v>4170</v>
      </c>
      <c r="FR22" s="177">
        <f t="shared" si="208"/>
        <v>4198.3213429256593</v>
      </c>
      <c r="FS22" s="46" t="s">
        <v>234</v>
      </c>
      <c r="FT22" s="46" t="s">
        <v>241</v>
      </c>
      <c r="FU22" s="48">
        <v>21350000</v>
      </c>
      <c r="FV22" s="46" t="s">
        <v>196</v>
      </c>
      <c r="FW22" s="46">
        <v>805</v>
      </c>
      <c r="FX22" s="177">
        <f t="shared" si="209"/>
        <v>21747.82608695652</v>
      </c>
      <c r="FY22" s="46" t="s">
        <v>235</v>
      </c>
      <c r="FZ22" s="46" t="s">
        <v>241</v>
      </c>
      <c r="GA22" s="48">
        <v>195520</v>
      </c>
      <c r="GB22" s="46" t="s">
        <v>197</v>
      </c>
      <c r="GC22" s="46">
        <f>200+440</f>
        <v>640</v>
      </c>
      <c r="GD22" s="177">
        <f>IF(ISBLANK(GB22),0,IF(GB22="Pinned",3,IF(GB22="Fixed",4,#N/A))*$C$2*GA22/10^6/GC22)</f>
        <v>187.88249999999999</v>
      </c>
      <c r="GE22" s="46" t="s">
        <v>235</v>
      </c>
      <c r="GF22" s="46" t="s">
        <v>241</v>
      </c>
      <c r="GG22" s="48">
        <v>195520</v>
      </c>
      <c r="GH22" s="46" t="s">
        <v>197</v>
      </c>
      <c r="GI22" s="46">
        <f>200+440</f>
        <v>640</v>
      </c>
      <c r="GJ22" s="177">
        <f>IF(ISBLANK(GH22),0,IF(GH22="Pinned",3,IF(GH22="Fixed",4,#N/A))*$C$2*GG22/10^6/GI22)</f>
        <v>187.88249999999999</v>
      </c>
      <c r="GK22" s="177">
        <f t="shared" si="34"/>
        <v>26321.912429882177</v>
      </c>
      <c r="GL22" s="21">
        <f t="shared" si="145"/>
        <v>55.34</v>
      </c>
      <c r="GM22" s="21">
        <f t="shared" si="36"/>
        <v>8.1889401930522866E-8</v>
      </c>
      <c r="GN22" s="250">
        <f t="shared" si="146"/>
        <v>2.5703836951236758E-5</v>
      </c>
      <c r="GO22" s="177">
        <f t="shared" si="147"/>
        <v>38781.145285720027</v>
      </c>
      <c r="GQ22" s="67"/>
      <c r="GR22" s="83"/>
      <c r="GS22" s="83"/>
      <c r="GT22" s="84"/>
      <c r="GU22" s="84"/>
      <c r="GV22" s="84"/>
      <c r="GW22" s="85"/>
      <c r="GX22" s="86">
        <f>1.46*CO22/K22/10^6</f>
        <v>1668.0893860465117</v>
      </c>
      <c r="GY22" s="87"/>
      <c r="GZ22" s="87">
        <v>4.2699999999999996</v>
      </c>
      <c r="HA22" s="87"/>
      <c r="HB22" s="88"/>
      <c r="HC22" s="88"/>
      <c r="HD22" s="84"/>
      <c r="HE22" s="84"/>
      <c r="HF22" s="264"/>
      <c r="HG22" s="89"/>
      <c r="HH22" s="67"/>
      <c r="HI22" s="87">
        <f t="shared" si="39"/>
        <v>687.80124000000001</v>
      </c>
      <c r="HJ22" s="87">
        <f t="shared" si="40"/>
        <v>1504.5766056739701</v>
      </c>
      <c r="HK22" s="84">
        <f t="shared" si="41"/>
        <v>2490</v>
      </c>
      <c r="HL22" s="90">
        <f t="shared" si="42"/>
        <v>902</v>
      </c>
      <c r="HM22" s="90">
        <f t="shared" si="43"/>
        <v>602</v>
      </c>
      <c r="HN22" s="87">
        <f t="shared" si="111"/>
        <v>620.95789501353011</v>
      </c>
      <c r="HO22" s="84">
        <f t="shared" si="44"/>
        <v>180</v>
      </c>
      <c r="HP22" s="90">
        <f t="shared" si="45"/>
        <v>38781.145285720027</v>
      </c>
      <c r="HQ22" s="86">
        <f t="shared" si="192"/>
        <v>1668.0893860465117</v>
      </c>
      <c r="HR22" s="87">
        <f t="shared" si="120"/>
        <v>1616.4436651666438</v>
      </c>
      <c r="HS22" s="228">
        <f t="shared" si="47"/>
        <v>4.2699999999999996</v>
      </c>
      <c r="HT22" s="83">
        <f t="shared" si="48"/>
        <v>644.56373489722012</v>
      </c>
      <c r="HU22" s="88">
        <f t="shared" si="49"/>
        <v>0.01</v>
      </c>
      <c r="HV22" s="88">
        <f t="shared" si="50"/>
        <v>5.0000000000000001E-4</v>
      </c>
      <c r="HW22" s="108">
        <f t="shared" si="51"/>
        <v>0</v>
      </c>
      <c r="HX22" s="108">
        <f t="shared" si="52"/>
        <v>1</v>
      </c>
      <c r="HY22" s="264">
        <f t="shared" si="182"/>
        <v>1.1111111111111112E-2</v>
      </c>
      <c r="HZ22" s="89">
        <f t="shared" si="183"/>
        <v>9.144532166817001</v>
      </c>
      <c r="IA22" s="67"/>
      <c r="IB22" s="92">
        <f t="shared" si="54"/>
        <v>5.5693182060372153E-3</v>
      </c>
      <c r="IC22" s="86">
        <f t="shared" si="55"/>
        <v>1107.6455352661446</v>
      </c>
      <c r="ID22" s="91"/>
      <c r="IE22" s="93">
        <f t="shared" si="56"/>
        <v>0.45713939549917548</v>
      </c>
      <c r="IF22" s="93">
        <f t="shared" si="57"/>
        <v>0.24938068072832534</v>
      </c>
      <c r="IG22" s="93">
        <f t="shared" si="150"/>
        <v>0.58192238796172691</v>
      </c>
      <c r="IH22" s="268">
        <f t="shared" si="59"/>
        <v>35.012234556068258</v>
      </c>
      <c r="II22" s="181">
        <f t="shared" si="60"/>
        <v>1.5059776191358039</v>
      </c>
      <c r="IJ22" s="93">
        <f t="shared" si="151"/>
        <v>1.459351041195905</v>
      </c>
      <c r="IK22" s="112">
        <f t="shared" si="184"/>
        <v>6.6246358099573801E-3</v>
      </c>
      <c r="IL22" s="112">
        <f t="shared" si="185"/>
        <v>4.430681793962785E-3</v>
      </c>
      <c r="IM22" s="112">
        <f t="shared" si="64"/>
        <v>1.472649311692502E-2</v>
      </c>
      <c r="IN22" s="67"/>
      <c r="IO22" s="94">
        <f t="shared" si="152"/>
        <v>3.9059558349488347E-4</v>
      </c>
      <c r="IP22" s="94">
        <f t="shared" si="186"/>
        <v>3.2837881345038278E-4</v>
      </c>
      <c r="IQ22" s="94">
        <f t="shared" si="187"/>
        <v>9.3763090777016611E-2</v>
      </c>
      <c r="IR22" s="94">
        <f t="shared" si="193"/>
        <v>0.15004000000000928</v>
      </c>
      <c r="IS22" s="94"/>
      <c r="IT22" s="94">
        <f t="shared" si="188"/>
        <v>4.6997683966688283E-2</v>
      </c>
      <c r="IU22" s="94">
        <f t="shared" si="194"/>
        <v>0.18523000000004447</v>
      </c>
      <c r="IV22" s="94">
        <f t="shared" si="189"/>
        <v>9.5304335013844096E-2</v>
      </c>
      <c r="IW22" s="67"/>
      <c r="IX22" s="65">
        <f t="shared" si="153"/>
        <v>3.2392440693028575</v>
      </c>
      <c r="IY22" s="86">
        <f t="shared" si="112"/>
        <v>687.80124000000001</v>
      </c>
      <c r="IZ22" s="89">
        <f t="shared" si="113"/>
        <v>0.62095789501353016</v>
      </c>
      <c r="JA22" s="86">
        <f t="shared" si="121"/>
        <v>17605.095832578983</v>
      </c>
      <c r="JB22" s="86">
        <f t="shared" si="195"/>
        <v>827.39873014280795</v>
      </c>
      <c r="JC22" s="86">
        <f t="shared" si="196"/>
        <v>2641.4685787203139</v>
      </c>
      <c r="JD22" s="86">
        <f t="shared" si="115"/>
        <v>4.2699999999999996</v>
      </c>
      <c r="JE22" s="86">
        <f t="shared" si="116"/>
        <v>3.5898448233516747</v>
      </c>
      <c r="JF22" s="86">
        <f t="shared" si="117"/>
        <v>0.68015517664832492</v>
      </c>
      <c r="JG22" s="58">
        <f t="shared" si="118"/>
        <v>1677.841951178938</v>
      </c>
      <c r="JH22" s="90" t="str">
        <f t="shared" si="74"/>
        <v>-</v>
      </c>
      <c r="JI22" s="95" t="e">
        <f t="shared" si="210"/>
        <v>#VALUE!</v>
      </c>
    </row>
    <row r="23" spans="1:269" s="46" customFormat="1" x14ac:dyDescent="0.25">
      <c r="C23" s="21" t="s">
        <v>76</v>
      </c>
      <c r="D23" s="59" t="s">
        <v>85</v>
      </c>
      <c r="E23" s="219">
        <v>527</v>
      </c>
      <c r="F23" s="56">
        <f t="shared" si="211"/>
        <v>527</v>
      </c>
      <c r="G23" s="60">
        <v>527</v>
      </c>
      <c r="H23" s="59">
        <v>2490</v>
      </c>
      <c r="I23" s="59">
        <v>602</v>
      </c>
      <c r="J23" s="68">
        <f t="shared" si="77"/>
        <v>902</v>
      </c>
      <c r="K23" s="59">
        <v>602</v>
      </c>
      <c r="L23" s="59">
        <v>55.34</v>
      </c>
      <c r="M23" s="59" t="s">
        <v>90</v>
      </c>
      <c r="N23" s="59" t="s">
        <v>94</v>
      </c>
      <c r="O23" s="69">
        <v>293</v>
      </c>
      <c r="P23" s="224">
        <f t="shared" si="154"/>
        <v>410.2</v>
      </c>
      <c r="Q23" s="59">
        <v>90</v>
      </c>
      <c r="R23" s="59">
        <v>12</v>
      </c>
      <c r="S23" s="59"/>
      <c r="T23" s="69">
        <f t="shared" si="155"/>
        <v>1080</v>
      </c>
      <c r="U23" s="69">
        <f t="shared" si="78"/>
        <v>316.44</v>
      </c>
      <c r="V23" s="80">
        <v>1.1000000000000001</v>
      </c>
      <c r="W23" s="80">
        <v>1.4</v>
      </c>
      <c r="X23" s="62">
        <f t="shared" si="197"/>
        <v>487.31759999999997</v>
      </c>
      <c r="Y23" s="59" t="s">
        <v>91</v>
      </c>
      <c r="Z23" s="68" t="s">
        <v>93</v>
      </c>
      <c r="AA23" s="68">
        <v>245</v>
      </c>
      <c r="AB23" s="68">
        <v>400</v>
      </c>
      <c r="AC23" s="59">
        <v>125</v>
      </c>
      <c r="AD23" s="59">
        <v>125</v>
      </c>
      <c r="AE23" s="59">
        <v>4.5</v>
      </c>
      <c r="AF23" s="21">
        <f t="shared" si="156"/>
        <v>5256390.75</v>
      </c>
      <c r="AG23" s="64">
        <f t="shared" si="128"/>
        <v>1077560103750</v>
      </c>
      <c r="AH23" s="59" t="s">
        <v>95</v>
      </c>
      <c r="AI23" s="59" t="str">
        <f t="shared" si="198"/>
        <v>SN400B</v>
      </c>
      <c r="AJ23" s="59">
        <f t="shared" si="198"/>
        <v>293</v>
      </c>
      <c r="AK23" s="59">
        <f t="shared" si="157"/>
        <v>410.2</v>
      </c>
      <c r="AL23" s="59">
        <v>90</v>
      </c>
      <c r="AM23" s="59">
        <v>90</v>
      </c>
      <c r="AN23" s="59">
        <v>12</v>
      </c>
      <c r="AO23" s="59">
        <v>12</v>
      </c>
      <c r="AP23" s="59">
        <f t="shared" si="158"/>
        <v>2016</v>
      </c>
      <c r="AQ23" s="59">
        <f t="shared" si="159"/>
        <v>1080</v>
      </c>
      <c r="AR23" s="46">
        <f t="shared" si="160"/>
        <v>717768</v>
      </c>
      <c r="AS23" s="49">
        <f t="shared" si="161"/>
        <v>15950.4</v>
      </c>
      <c r="AT23" s="49">
        <f t="shared" si="82"/>
        <v>27108</v>
      </c>
      <c r="AU23" s="65">
        <f t="shared" si="83"/>
        <v>7.9426439999999996</v>
      </c>
      <c r="AV23" s="206">
        <f t="shared" si="7"/>
        <v>0.89217996641204833</v>
      </c>
      <c r="AW23" s="206">
        <f t="shared" si="199"/>
        <v>0.58947420537284201</v>
      </c>
      <c r="AX23" s="65">
        <f t="shared" si="84"/>
        <v>3.2606602395406283</v>
      </c>
      <c r="AY23" s="59">
        <v>180</v>
      </c>
      <c r="AZ23" s="59" t="s">
        <v>58</v>
      </c>
      <c r="BA23" s="65">
        <f t="shared" si="200"/>
        <v>2</v>
      </c>
      <c r="BB23" s="66">
        <v>0.01</v>
      </c>
      <c r="BC23" s="109">
        <f t="shared" si="10"/>
        <v>5.0000000000000001E-4</v>
      </c>
      <c r="BD23" s="68">
        <v>0</v>
      </c>
      <c r="BE23" s="79">
        <v>1</v>
      </c>
      <c r="BF23" s="65">
        <f t="shared" si="11"/>
        <v>8.9338888888888892</v>
      </c>
      <c r="BG23" s="191">
        <f t="shared" si="162"/>
        <v>245</v>
      </c>
      <c r="BH23" s="46">
        <f t="shared" si="163"/>
        <v>125</v>
      </c>
      <c r="BI23" s="46">
        <f t="shared" si="164"/>
        <v>4.5</v>
      </c>
      <c r="BJ23" s="46">
        <f t="shared" si="165"/>
        <v>90</v>
      </c>
      <c r="BK23" s="46">
        <f t="shared" si="166"/>
        <v>90</v>
      </c>
      <c r="BL23" s="46">
        <f t="shared" si="167"/>
        <v>180</v>
      </c>
      <c r="BM23" s="49">
        <f t="shared" si="168"/>
        <v>17.5</v>
      </c>
      <c r="BN23" s="49">
        <f t="shared" si="169"/>
        <v>36.592348927063973</v>
      </c>
      <c r="BO23" s="49">
        <f t="shared" si="170"/>
        <v>39.044642827714519</v>
      </c>
      <c r="BP23" s="208">
        <f t="shared" si="171"/>
        <v>1.3623855003614141E-2</v>
      </c>
      <c r="BQ23" s="58">
        <f t="shared" si="172"/>
        <v>1595.0751580746758</v>
      </c>
      <c r="BR23" s="58">
        <f t="shared" si="173"/>
        <v>21.731072673476287</v>
      </c>
      <c r="BS23" s="49">
        <f t="shared" si="174"/>
        <v>8.75</v>
      </c>
      <c r="BT23" s="61">
        <f t="shared" si="175"/>
        <v>4.8999999999999998E-3</v>
      </c>
      <c r="BU23" s="208">
        <f t="shared" si="176"/>
        <v>2.7222222222222223E-5</v>
      </c>
      <c r="BV23" s="58">
        <f t="shared" si="190"/>
        <v>30283.807221851232</v>
      </c>
      <c r="BW23" s="203">
        <f t="shared" si="191"/>
        <v>0.82439252992817247</v>
      </c>
      <c r="BX23" s="58">
        <f t="shared" si="177"/>
        <v>0.82439252992817247</v>
      </c>
      <c r="BY23" s="58">
        <f t="shared" si="178"/>
        <v>30283.807221851232</v>
      </c>
      <c r="CA23" s="59" t="s">
        <v>95</v>
      </c>
      <c r="CE23" s="59">
        <v>150</v>
      </c>
      <c r="CF23" s="59">
        <v>150</v>
      </c>
      <c r="CG23" s="59">
        <v>12</v>
      </c>
      <c r="CH23" s="46">
        <f t="shared" si="179"/>
        <v>3355128</v>
      </c>
      <c r="CI23" s="46">
        <v>56</v>
      </c>
      <c r="CJ23" s="46">
        <v>56</v>
      </c>
      <c r="CL23" s="48">
        <f t="shared" si="180"/>
        <v>0</v>
      </c>
      <c r="CM23" s="48" t="s">
        <v>169</v>
      </c>
      <c r="CN23" s="72">
        <f t="shared" si="181"/>
        <v>3355128</v>
      </c>
      <c r="CO23" s="99">
        <f t="shared" si="133"/>
        <v>687801240000</v>
      </c>
      <c r="CP23" s="59">
        <v>0</v>
      </c>
      <c r="CQ23" s="59">
        <v>0</v>
      </c>
      <c r="CR23" s="59">
        <v>27</v>
      </c>
      <c r="CS23" s="59">
        <v>0</v>
      </c>
      <c r="CT23" s="59"/>
      <c r="CU23" s="59"/>
      <c r="CV23" s="233">
        <v>12</v>
      </c>
      <c r="CW23" s="59">
        <v>175</v>
      </c>
      <c r="CX23" s="59">
        <v>137</v>
      </c>
      <c r="CY23" s="59">
        <v>194</v>
      </c>
      <c r="CZ23" s="59">
        <f t="shared" si="201"/>
        <v>12</v>
      </c>
      <c r="DA23" s="59">
        <v>153</v>
      </c>
      <c r="DB23" s="59">
        <v>157</v>
      </c>
      <c r="DC23" s="59">
        <v>40</v>
      </c>
      <c r="DD23" s="59">
        <f t="shared" si="202"/>
        <v>12</v>
      </c>
      <c r="DE23" s="59">
        <v>210</v>
      </c>
      <c r="DF23" s="59">
        <v>162</v>
      </c>
      <c r="DG23" s="59">
        <v>108</v>
      </c>
      <c r="DH23" s="59">
        <f t="shared" si="203"/>
        <v>12</v>
      </c>
      <c r="DI23" s="81">
        <f t="shared" si="212"/>
        <v>1.0574018126888218</v>
      </c>
      <c r="DJ23" s="81">
        <f t="shared" si="213"/>
        <v>1.5532994923857868</v>
      </c>
      <c r="DK23" s="81">
        <f t="shared" si="214"/>
        <v>1.5555555555555556</v>
      </c>
      <c r="DL23" s="82">
        <f t="shared" si="140"/>
        <v>32439560.439560439</v>
      </c>
      <c r="DM23" s="82">
        <f t="shared" si="141"/>
        <v>32439560.439560439</v>
      </c>
      <c r="DN23" s="82">
        <f t="shared" si="142"/>
        <v>32439560.439560439</v>
      </c>
      <c r="DO23" s="49">
        <f t="shared" si="215"/>
        <v>930.85504973213187</v>
      </c>
      <c r="DP23" s="49">
        <f t="shared" si="216"/>
        <v>2044.2351723797021</v>
      </c>
      <c r="DQ23" s="234">
        <f t="shared" si="217"/>
        <v>1922.7838157879312</v>
      </c>
      <c r="DR23" s="58">
        <f t="shared" si="25"/>
        <v>1775.0091428310266</v>
      </c>
      <c r="DS23" s="58"/>
      <c r="DT23" s="58"/>
      <c r="DU23" s="257"/>
      <c r="DV23" s="257"/>
      <c r="DW23" s="257"/>
      <c r="DX23" s="257"/>
      <c r="DY23" s="257"/>
      <c r="DZ23" s="259"/>
      <c r="EA23" s="259"/>
      <c r="EB23" s="191" t="s">
        <v>169</v>
      </c>
      <c r="EC23" s="177"/>
      <c r="EI23" s="177"/>
      <c r="EO23" s="177"/>
      <c r="EU23" s="177"/>
      <c r="FA23" s="177"/>
      <c r="FB23" s="46" t="s">
        <v>234</v>
      </c>
      <c r="FC23" s="46">
        <v>582350</v>
      </c>
      <c r="FD23" s="46">
        <f t="shared" si="204"/>
        <v>10666666.666666666</v>
      </c>
      <c r="FE23" s="46">
        <v>300</v>
      </c>
      <c r="FF23" s="46">
        <f t="shared" si="205"/>
        <v>480000000000</v>
      </c>
      <c r="FG23" s="46">
        <f t="shared" si="206"/>
        <v>6.8310072651410828E-4</v>
      </c>
      <c r="FH23" s="68">
        <v>805</v>
      </c>
      <c r="FI23" s="58">
        <f t="shared" si="207"/>
        <v>8250123.8166521797</v>
      </c>
      <c r="FJ23" s="177">
        <f t="shared" si="109"/>
        <v>8250123.8166521797</v>
      </c>
      <c r="FK23" s="46" t="s">
        <v>169</v>
      </c>
      <c r="FL23" s="177"/>
      <c r="FM23" s="46" t="s">
        <v>234</v>
      </c>
      <c r="FN23" s="46" t="s">
        <v>241</v>
      </c>
      <c r="FO23" s="48">
        <v>21350000</v>
      </c>
      <c r="FP23" s="46" t="s">
        <v>196</v>
      </c>
      <c r="FQ23" s="46">
        <v>4170</v>
      </c>
      <c r="FR23" s="177">
        <f t="shared" si="208"/>
        <v>4198.3213429256593</v>
      </c>
      <c r="FS23" s="46" t="s">
        <v>234</v>
      </c>
      <c r="FT23" s="46" t="s">
        <v>241</v>
      </c>
      <c r="FU23" s="48">
        <v>21350000</v>
      </c>
      <c r="FV23" s="46" t="s">
        <v>196</v>
      </c>
      <c r="FW23" s="46">
        <v>805</v>
      </c>
      <c r="FX23" s="177">
        <f t="shared" si="209"/>
        <v>21747.82608695652</v>
      </c>
      <c r="GD23" s="177"/>
      <c r="GJ23" s="177"/>
      <c r="GK23" s="177">
        <f t="shared" si="34"/>
        <v>25946.147429882178</v>
      </c>
      <c r="GL23" s="21">
        <f t="shared" si="145"/>
        <v>55.34</v>
      </c>
      <c r="GM23" s="21">
        <f t="shared" si="36"/>
        <v>8.2007756535340205E-8</v>
      </c>
      <c r="GN23" s="250">
        <f t="shared" si="146"/>
        <v>2.6076092690478325E-5</v>
      </c>
      <c r="GO23" s="177">
        <f t="shared" si="147"/>
        <v>38229.075617536473</v>
      </c>
      <c r="GQ23" s="67"/>
      <c r="GR23" s="83"/>
      <c r="GS23" s="83"/>
      <c r="GT23" s="84"/>
      <c r="GU23" s="84"/>
      <c r="GV23" s="84"/>
      <c r="GW23" s="85"/>
      <c r="GX23" s="86">
        <f>0.19*CO23/K23/10^6</f>
        <v>217.08012558139535</v>
      </c>
      <c r="GY23" s="87"/>
      <c r="GZ23" s="87">
        <v>1.75</v>
      </c>
      <c r="HA23" s="87"/>
      <c r="HB23" s="88"/>
      <c r="HC23" s="88"/>
      <c r="HD23" s="84"/>
      <c r="HE23" s="84"/>
      <c r="HF23" s="264"/>
      <c r="HG23" s="89"/>
      <c r="HH23" s="67"/>
      <c r="HI23" s="87">
        <f t="shared" si="39"/>
        <v>687.80124000000001</v>
      </c>
      <c r="HJ23" s="87">
        <f t="shared" si="40"/>
        <v>1077.5601037500001</v>
      </c>
      <c r="HK23" s="84">
        <f t="shared" si="41"/>
        <v>2490</v>
      </c>
      <c r="HL23" s="90">
        <f t="shared" si="42"/>
        <v>902</v>
      </c>
      <c r="HM23" s="90">
        <f t="shared" si="43"/>
        <v>602</v>
      </c>
      <c r="HN23" s="87">
        <f t="shared" si="111"/>
        <v>604.66643420480068</v>
      </c>
      <c r="HO23" s="84">
        <f t="shared" si="44"/>
        <v>180</v>
      </c>
      <c r="HP23" s="90">
        <f t="shared" si="45"/>
        <v>38229.075617536473</v>
      </c>
      <c r="HQ23" s="86">
        <f t="shared" si="192"/>
        <v>217.08012558139535</v>
      </c>
      <c r="HR23" s="87">
        <f t="shared" si="120"/>
        <v>216.20215168062853</v>
      </c>
      <c r="HS23" s="228">
        <f t="shared" si="47"/>
        <v>1.75</v>
      </c>
      <c r="HT23" s="83">
        <f t="shared" si="48"/>
        <v>30283.807221851232</v>
      </c>
      <c r="HU23" s="88">
        <f t="shared" si="49"/>
        <v>0.01</v>
      </c>
      <c r="HV23" s="88">
        <f t="shared" si="50"/>
        <v>5.0000000000000001E-4</v>
      </c>
      <c r="HW23" s="108">
        <f t="shared" si="51"/>
        <v>0</v>
      </c>
      <c r="HX23" s="108">
        <f t="shared" si="52"/>
        <v>1</v>
      </c>
      <c r="HY23" s="264">
        <f t="shared" si="182"/>
        <v>1.1111111111111112E-2</v>
      </c>
      <c r="HZ23" s="89">
        <f t="shared" si="183"/>
        <v>8.9635159356088963</v>
      </c>
      <c r="IA23" s="67"/>
      <c r="IB23" s="92">
        <f t="shared" si="54"/>
        <v>5.7147127692565771E-3</v>
      </c>
      <c r="IC23" s="86">
        <f t="shared" si="55"/>
        <v>1137.4887063220735</v>
      </c>
      <c r="ID23" s="91"/>
      <c r="IE23" s="93">
        <f t="shared" si="56"/>
        <v>0.63829501259966259</v>
      </c>
      <c r="IF23" s="93">
        <f t="shared" si="57"/>
        <v>0.24283792538345408</v>
      </c>
      <c r="IG23" s="93">
        <f t="shared" si="150"/>
        <v>26.62339155855895</v>
      </c>
      <c r="IH23" s="268">
        <f t="shared" si="59"/>
        <v>33.608312245266482</v>
      </c>
      <c r="II23" s="181">
        <f t="shared" si="60"/>
        <v>0.19084156561281088</v>
      </c>
      <c r="IJ23" s="93">
        <f t="shared" si="151"/>
        <v>0.19006971276197629</v>
      </c>
      <c r="IK23" s="112">
        <f t="shared" si="184"/>
        <v>5.7786657641159803E-5</v>
      </c>
      <c r="IL23" s="112">
        <f t="shared" si="185"/>
        <v>4.2852872307434231E-3</v>
      </c>
      <c r="IM23" s="112">
        <f t="shared" si="64"/>
        <v>1.4823901954135842E-2</v>
      </c>
      <c r="IN23" s="67"/>
      <c r="IO23" s="94">
        <f t="shared" si="152"/>
        <v>1.5588029172386894E-4</v>
      </c>
      <c r="IP23" s="94">
        <f t="shared" si="186"/>
        <v>4.2445340918195358E-5</v>
      </c>
      <c r="IQ23" s="94">
        <f t="shared" si="187"/>
        <v>1.8124122642104615E-2</v>
      </c>
      <c r="IR23" s="94">
        <f t="shared" si="193"/>
        <v>0.10184999999999321</v>
      </c>
      <c r="IS23" s="94"/>
      <c r="IT23" s="94">
        <f t="shared" si="188"/>
        <v>9.3216739584966735E-3</v>
      </c>
      <c r="IU23" s="94">
        <f t="shared" si="194"/>
        <v>0.27960000000013885</v>
      </c>
      <c r="IV23" s="94">
        <f t="shared" si="189"/>
        <v>2.3975004820163185E-2</v>
      </c>
      <c r="IW23" s="67"/>
      <c r="IX23" s="65">
        <f t="shared" si="153"/>
        <v>6.458336187983476</v>
      </c>
      <c r="IY23" s="86">
        <f t="shared" si="112"/>
        <v>687.80124000000001</v>
      </c>
      <c r="IZ23" s="89">
        <f t="shared" si="113"/>
        <v>0.60466643420480071</v>
      </c>
      <c r="JA23" s="86">
        <f t="shared" si="121"/>
        <v>18566.540007913416</v>
      </c>
      <c r="JB23" s="86">
        <f t="shared" si="195"/>
        <v>173.07123249115313</v>
      </c>
      <c r="JC23" s="86">
        <f t="shared" si="196"/>
        <v>1891.0020998058553</v>
      </c>
      <c r="JD23" s="86">
        <f t="shared" si="115"/>
        <v>1.7500000000000002</v>
      </c>
      <c r="JE23" s="86">
        <f t="shared" si="116"/>
        <v>0.47651531688446253</v>
      </c>
      <c r="JF23" s="86">
        <f t="shared" si="117"/>
        <v>1.2734846831155378</v>
      </c>
      <c r="JG23" s="58">
        <f t="shared" si="118"/>
        <v>445.13288618347678</v>
      </c>
      <c r="JH23" s="90">
        <f t="shared" si="74"/>
        <v>527</v>
      </c>
      <c r="JI23" s="95">
        <f t="shared" si="210"/>
        <v>0.8446544329857244</v>
      </c>
    </row>
    <row r="24" spans="1:269" s="46" customFormat="1" x14ac:dyDescent="0.25">
      <c r="C24" s="21" t="s">
        <v>80</v>
      </c>
      <c r="D24" s="59" t="s">
        <v>85</v>
      </c>
      <c r="E24" s="21"/>
      <c r="F24" s="39">
        <f t="shared" si="211"/>
        <v>0</v>
      </c>
      <c r="G24" s="60" t="s">
        <v>58</v>
      </c>
      <c r="H24" s="59">
        <v>2490</v>
      </c>
      <c r="I24" s="59">
        <v>602</v>
      </c>
      <c r="J24" s="68">
        <f t="shared" si="77"/>
        <v>902</v>
      </c>
      <c r="K24" s="59">
        <v>602</v>
      </c>
      <c r="L24" s="59">
        <v>55.34</v>
      </c>
      <c r="M24" s="59" t="s">
        <v>90</v>
      </c>
      <c r="N24" s="59" t="s">
        <v>94</v>
      </c>
      <c r="O24" s="69">
        <v>293</v>
      </c>
      <c r="P24" s="224">
        <f t="shared" si="154"/>
        <v>410.2</v>
      </c>
      <c r="Q24" s="59">
        <v>90</v>
      </c>
      <c r="R24" s="59">
        <v>12</v>
      </c>
      <c r="S24" s="59"/>
      <c r="T24" s="69">
        <f t="shared" si="155"/>
        <v>1080</v>
      </c>
      <c r="U24" s="69">
        <f t="shared" si="78"/>
        <v>316.44</v>
      </c>
      <c r="V24" s="80">
        <v>1.1000000000000001</v>
      </c>
      <c r="W24" s="80">
        <v>1.4</v>
      </c>
      <c r="X24" s="62">
        <f t="shared" si="197"/>
        <v>487.31759999999997</v>
      </c>
      <c r="Y24" s="59" t="s">
        <v>91</v>
      </c>
      <c r="Z24" s="68" t="s">
        <v>93</v>
      </c>
      <c r="AA24" s="68">
        <v>245</v>
      </c>
      <c r="AB24" s="68">
        <v>400</v>
      </c>
      <c r="AC24" s="59">
        <v>125</v>
      </c>
      <c r="AD24" s="59">
        <v>125</v>
      </c>
      <c r="AE24" s="59">
        <v>4.5</v>
      </c>
      <c r="AF24" s="21">
        <f t="shared" si="156"/>
        <v>5256390.75</v>
      </c>
      <c r="AG24" s="64">
        <f t="shared" si="128"/>
        <v>1077560103750</v>
      </c>
      <c r="AH24" s="59" t="s">
        <v>180</v>
      </c>
      <c r="AI24" s="59" t="str">
        <f t="shared" si="198"/>
        <v>SN400B</v>
      </c>
      <c r="AJ24" s="59">
        <f t="shared" si="198"/>
        <v>293</v>
      </c>
      <c r="AK24" s="59">
        <f t="shared" si="157"/>
        <v>410.2</v>
      </c>
      <c r="AL24" s="59">
        <v>90</v>
      </c>
      <c r="AM24" s="59">
        <v>90</v>
      </c>
      <c r="AN24" s="68">
        <f>12*3</f>
        <v>36</v>
      </c>
      <c r="AO24" s="59">
        <v>12</v>
      </c>
      <c r="AP24" s="59">
        <f t="shared" si="158"/>
        <v>3888</v>
      </c>
      <c r="AQ24" s="59">
        <f t="shared" si="159"/>
        <v>1080</v>
      </c>
      <c r="AR24" s="46">
        <f t="shared" si="160"/>
        <v>2179224</v>
      </c>
      <c r="AS24" s="49">
        <f t="shared" si="161"/>
        <v>48427.199999999997</v>
      </c>
      <c r="AT24" s="49">
        <f t="shared" si="82"/>
        <v>90396</v>
      </c>
      <c r="AU24" s="65">
        <f t="shared" si="83"/>
        <v>26.486028000000001</v>
      </c>
      <c r="AV24" s="206">
        <f t="shared" si="7"/>
        <v>0</v>
      </c>
      <c r="AW24" s="206">
        <f t="shared" si="199"/>
        <v>0.14792899408284024</v>
      </c>
      <c r="AX24" s="65">
        <f t="shared" si="84"/>
        <v>26.486028000000001</v>
      </c>
      <c r="AY24" s="59">
        <v>180</v>
      </c>
      <c r="AZ24" s="59" t="s">
        <v>58</v>
      </c>
      <c r="BA24" s="65">
        <f t="shared" si="200"/>
        <v>2</v>
      </c>
      <c r="BB24" s="66">
        <v>0.01</v>
      </c>
      <c r="BC24" s="109">
        <f t="shared" si="10"/>
        <v>5.0000000000000001E-4</v>
      </c>
      <c r="BD24" s="68">
        <v>0</v>
      </c>
      <c r="BE24" s="79">
        <v>1</v>
      </c>
      <c r="BF24" s="65">
        <f t="shared" si="11"/>
        <v>8.9338888888888892</v>
      </c>
      <c r="BG24" s="191">
        <f t="shared" si="162"/>
        <v>245</v>
      </c>
      <c r="BH24" s="46">
        <f t="shared" si="163"/>
        <v>125</v>
      </c>
      <c r="BI24" s="46">
        <f t="shared" si="164"/>
        <v>4.5</v>
      </c>
      <c r="BJ24" s="46">
        <f t="shared" si="165"/>
        <v>90</v>
      </c>
      <c r="BK24" s="46">
        <f t="shared" si="166"/>
        <v>90</v>
      </c>
      <c r="BL24" s="46">
        <f t="shared" si="167"/>
        <v>180</v>
      </c>
      <c r="BM24" s="49">
        <f t="shared" si="168"/>
        <v>17.5</v>
      </c>
      <c r="BN24" s="49">
        <f t="shared" si="169"/>
        <v>36.592348927063973</v>
      </c>
      <c r="BO24" s="49">
        <f t="shared" si="170"/>
        <v>39.044642827714519</v>
      </c>
      <c r="BP24" s="208">
        <f t="shared" si="171"/>
        <v>1.3623855003614141E-2</v>
      </c>
      <c r="BQ24" s="58">
        <f t="shared" si="172"/>
        <v>1595.0751580746758</v>
      </c>
      <c r="BR24" s="58">
        <f t="shared" si="173"/>
        <v>21.731072673476287</v>
      </c>
      <c r="BS24" s="49">
        <f t="shared" si="174"/>
        <v>8.75</v>
      </c>
      <c r="BT24" s="61">
        <f t="shared" si="175"/>
        <v>4.8999999999999998E-3</v>
      </c>
      <c r="BU24" s="208">
        <f t="shared" si="176"/>
        <v>2.7222222222222223E-5</v>
      </c>
      <c r="BV24" s="58">
        <f t="shared" si="190"/>
        <v>30283.807221851232</v>
      </c>
      <c r="BW24" s="203">
        <f t="shared" si="191"/>
        <v>0.82439252992817247</v>
      </c>
      <c r="BX24" s="58">
        <f t="shared" si="177"/>
        <v>0.82439252992817247</v>
      </c>
      <c r="BY24" s="58">
        <f t="shared" si="178"/>
        <v>30283.807221851232</v>
      </c>
      <c r="CA24" s="59" t="s">
        <v>95</v>
      </c>
      <c r="CE24" s="59">
        <v>150</v>
      </c>
      <c r="CF24" s="59">
        <v>150</v>
      </c>
      <c r="CG24" s="59">
        <v>12</v>
      </c>
      <c r="CH24" s="46">
        <f t="shared" si="179"/>
        <v>3355128</v>
      </c>
      <c r="CI24" s="46">
        <v>56</v>
      </c>
      <c r="CJ24" s="46">
        <v>56</v>
      </c>
      <c r="CL24" s="48">
        <f t="shared" si="180"/>
        <v>0</v>
      </c>
      <c r="CM24" s="48" t="s">
        <v>169</v>
      </c>
      <c r="CN24" s="72">
        <f t="shared" si="181"/>
        <v>3355128</v>
      </c>
      <c r="CO24" s="99">
        <f t="shared" si="133"/>
        <v>687801240000</v>
      </c>
      <c r="CP24" s="59">
        <v>0</v>
      </c>
      <c r="CQ24" s="59">
        <v>0</v>
      </c>
      <c r="CR24" s="59">
        <v>27</v>
      </c>
      <c r="CS24" s="59">
        <v>0</v>
      </c>
      <c r="CT24" s="59"/>
      <c r="CU24" s="59"/>
      <c r="CV24" s="233">
        <v>12</v>
      </c>
      <c r="CW24" s="59">
        <v>175</v>
      </c>
      <c r="CX24" s="59">
        <v>137</v>
      </c>
      <c r="CY24" s="59">
        <v>194</v>
      </c>
      <c r="CZ24" s="59">
        <f t="shared" si="201"/>
        <v>12</v>
      </c>
      <c r="DA24" s="59">
        <v>153</v>
      </c>
      <c r="DB24" s="59">
        <v>157</v>
      </c>
      <c r="DC24" s="59">
        <v>40</v>
      </c>
      <c r="DD24" s="59">
        <f t="shared" si="202"/>
        <v>12</v>
      </c>
      <c r="DE24" s="59">
        <v>210</v>
      </c>
      <c r="DF24" s="59">
        <v>162</v>
      </c>
      <c r="DG24" s="59">
        <v>108</v>
      </c>
      <c r="DH24" s="59">
        <f t="shared" si="203"/>
        <v>12</v>
      </c>
      <c r="DI24" s="81">
        <f t="shared" si="212"/>
        <v>1.0574018126888218</v>
      </c>
      <c r="DJ24" s="81">
        <f t="shared" si="213"/>
        <v>1.5532994923857868</v>
      </c>
      <c r="DK24" s="81">
        <f t="shared" si="214"/>
        <v>1.5555555555555556</v>
      </c>
      <c r="DL24" s="82">
        <f t="shared" si="140"/>
        <v>32439560.439560439</v>
      </c>
      <c r="DM24" s="82">
        <f t="shared" si="141"/>
        <v>32439560.439560439</v>
      </c>
      <c r="DN24" s="82">
        <f t="shared" si="142"/>
        <v>32439560.439560439</v>
      </c>
      <c r="DO24" s="49">
        <f t="shared" si="215"/>
        <v>930.85504973213187</v>
      </c>
      <c r="DP24" s="49">
        <f t="shared" si="216"/>
        <v>2044.2351723797021</v>
      </c>
      <c r="DQ24" s="234">
        <f t="shared" si="217"/>
        <v>1922.7838157879312</v>
      </c>
      <c r="DR24" s="58">
        <f t="shared" si="25"/>
        <v>1775.0091428310266</v>
      </c>
      <c r="DS24" s="58"/>
      <c r="DT24" s="58"/>
      <c r="DU24" s="257"/>
      <c r="DV24" s="257"/>
      <c r="DW24" s="257"/>
      <c r="DX24" s="257"/>
      <c r="DY24" s="257"/>
      <c r="DZ24" s="259"/>
      <c r="EA24" s="259"/>
      <c r="EB24" s="191" t="s">
        <v>169</v>
      </c>
      <c r="EC24" s="177"/>
      <c r="EI24" s="177"/>
      <c r="EO24" s="177"/>
      <c r="EU24" s="177"/>
      <c r="FA24" s="177"/>
      <c r="FB24" s="46" t="s">
        <v>234</v>
      </c>
      <c r="FC24" s="46">
        <v>582350</v>
      </c>
      <c r="FD24" s="46">
        <f t="shared" si="204"/>
        <v>10666666.666666666</v>
      </c>
      <c r="FE24" s="46">
        <v>300</v>
      </c>
      <c r="FF24" s="46">
        <f t="shared" si="205"/>
        <v>480000000000</v>
      </c>
      <c r="FG24" s="46">
        <f t="shared" si="206"/>
        <v>6.8310072651410828E-4</v>
      </c>
      <c r="FH24" s="68">
        <v>805</v>
      </c>
      <c r="FI24" s="58">
        <f t="shared" si="207"/>
        <v>8250123.8166521797</v>
      </c>
      <c r="FJ24" s="177">
        <f t="shared" si="109"/>
        <v>8250123.8166521797</v>
      </c>
      <c r="FK24" s="46" t="s">
        <v>169</v>
      </c>
      <c r="FL24" s="177"/>
      <c r="FM24" s="46" t="s">
        <v>234</v>
      </c>
      <c r="FN24" s="46" t="s">
        <v>241</v>
      </c>
      <c r="FO24" s="48">
        <v>21350000</v>
      </c>
      <c r="FP24" s="46" t="s">
        <v>196</v>
      </c>
      <c r="FQ24" s="46">
        <v>4170</v>
      </c>
      <c r="FR24" s="177">
        <f t="shared" si="208"/>
        <v>4198.3213429256593</v>
      </c>
      <c r="FS24" s="46" t="s">
        <v>234</v>
      </c>
      <c r="FT24" s="46" t="s">
        <v>241</v>
      </c>
      <c r="FU24" s="48">
        <v>21350000</v>
      </c>
      <c r="FV24" s="46" t="s">
        <v>196</v>
      </c>
      <c r="FW24" s="46">
        <v>805</v>
      </c>
      <c r="FX24" s="177">
        <f t="shared" si="209"/>
        <v>21747.82608695652</v>
      </c>
      <c r="GD24" s="177"/>
      <c r="GJ24" s="177"/>
      <c r="GK24" s="177">
        <f t="shared" si="34"/>
        <v>25946.147429882178</v>
      </c>
      <c r="GL24" s="21">
        <f t="shared" si="145"/>
        <v>55.34</v>
      </c>
      <c r="GM24" s="21">
        <f t="shared" si="36"/>
        <v>8.2007756535340205E-8</v>
      </c>
      <c r="GN24" s="250">
        <f t="shared" si="146"/>
        <v>2.6076092690478325E-5</v>
      </c>
      <c r="GO24" s="177">
        <f t="shared" si="147"/>
        <v>38229.075617536473</v>
      </c>
      <c r="GQ24" s="67"/>
      <c r="GR24" s="83"/>
      <c r="GS24" s="83"/>
      <c r="GT24" s="84"/>
      <c r="GU24" s="84"/>
      <c r="GV24" s="84"/>
      <c r="GW24" s="85"/>
      <c r="GX24" s="86">
        <f>0.19*CO24/K24/10^6</f>
        <v>217.08012558139535</v>
      </c>
      <c r="GY24" s="87"/>
      <c r="GZ24" s="87">
        <v>23</v>
      </c>
      <c r="HA24" s="87"/>
      <c r="HB24" s="88"/>
      <c r="HC24" s="88"/>
      <c r="HD24" s="84"/>
      <c r="HE24" s="84"/>
      <c r="HF24" s="264"/>
      <c r="HG24" s="89"/>
      <c r="HH24" s="67"/>
      <c r="HI24" s="87">
        <f t="shared" si="39"/>
        <v>687.80124000000001</v>
      </c>
      <c r="HJ24" s="87">
        <f t="shared" si="40"/>
        <v>1077.5601037500001</v>
      </c>
      <c r="HK24" s="84">
        <f t="shared" si="41"/>
        <v>2490</v>
      </c>
      <c r="HL24" s="90">
        <f t="shared" si="42"/>
        <v>902</v>
      </c>
      <c r="HM24" s="90">
        <f t="shared" si="43"/>
        <v>602</v>
      </c>
      <c r="HN24" s="87">
        <f t="shared" si="111"/>
        <v>604.66643420480068</v>
      </c>
      <c r="HO24" s="84">
        <f t="shared" si="44"/>
        <v>180</v>
      </c>
      <c r="HP24" s="90">
        <f t="shared" si="45"/>
        <v>38229.075617536473</v>
      </c>
      <c r="HQ24" s="86">
        <f t="shared" si="192"/>
        <v>217.08012558139535</v>
      </c>
      <c r="HR24" s="87">
        <f t="shared" si="120"/>
        <v>216.20215168062853</v>
      </c>
      <c r="HS24" s="228">
        <f t="shared" si="47"/>
        <v>23</v>
      </c>
      <c r="HT24" s="83">
        <f t="shared" si="48"/>
        <v>30283.807221851232</v>
      </c>
      <c r="HU24" s="88">
        <f t="shared" si="49"/>
        <v>0.01</v>
      </c>
      <c r="HV24" s="88">
        <f t="shared" si="50"/>
        <v>5.0000000000000001E-4</v>
      </c>
      <c r="HW24" s="108">
        <f t="shared" si="51"/>
        <v>0</v>
      </c>
      <c r="HX24" s="108">
        <f t="shared" si="52"/>
        <v>1</v>
      </c>
      <c r="HY24" s="264">
        <f t="shared" si="182"/>
        <v>1.1111111111111112E-2</v>
      </c>
      <c r="HZ24" s="89">
        <f t="shared" si="183"/>
        <v>8.9635159356088963</v>
      </c>
      <c r="IA24" s="67"/>
      <c r="IB24" s="92">
        <f t="shared" si="54"/>
        <v>5.7147127692565771E-3</v>
      </c>
      <c r="IC24" s="86">
        <f t="shared" si="55"/>
        <v>1137.4887063220735</v>
      </c>
      <c r="ID24" s="91"/>
      <c r="IE24" s="93">
        <f t="shared" si="56"/>
        <v>0.63829501259966259</v>
      </c>
      <c r="IF24" s="93">
        <f t="shared" si="57"/>
        <v>0.24283792538345408</v>
      </c>
      <c r="IG24" s="93">
        <f t="shared" si="150"/>
        <v>26.62339155855895</v>
      </c>
      <c r="IH24" s="268">
        <f t="shared" si="59"/>
        <v>33.608312245266482</v>
      </c>
      <c r="II24" s="181">
        <f t="shared" si="60"/>
        <v>0.19084156561281088</v>
      </c>
      <c r="IJ24" s="93">
        <f t="shared" si="151"/>
        <v>0.19006971276197629</v>
      </c>
      <c r="IK24" s="112">
        <f t="shared" si="184"/>
        <v>7.5948178614095745E-4</v>
      </c>
      <c r="IL24" s="112">
        <f t="shared" si="185"/>
        <v>4.2852872307434231E-3</v>
      </c>
      <c r="IM24" s="112">
        <f t="shared" si="64"/>
        <v>1.4823901954135842E-2</v>
      </c>
      <c r="IN24" s="67"/>
      <c r="IO24" s="94">
        <f t="shared" si="152"/>
        <v>2.0487124055137062E-3</v>
      </c>
      <c r="IP24" s="94">
        <f t="shared" si="186"/>
        <v>4.2445340918195358E-5</v>
      </c>
      <c r="IQ24" s="94">
        <f t="shared" si="187"/>
        <v>1.8124122642104615E-2</v>
      </c>
      <c r="IR24" s="94">
        <f t="shared" si="193"/>
        <v>0.10184999999999321</v>
      </c>
      <c r="IS24" s="94"/>
      <c r="IT24" s="94">
        <f t="shared" si="188"/>
        <v>9.3216739584966735E-3</v>
      </c>
      <c r="IU24" s="94">
        <f t="shared" si="194"/>
        <v>0.27960000000013885</v>
      </c>
      <c r="IV24" s="94">
        <f t="shared" si="189"/>
        <v>6.5897893306607155E-2</v>
      </c>
      <c r="IW24" s="67"/>
      <c r="IX24" s="65">
        <f t="shared" si="153"/>
        <v>3.895509202039634</v>
      </c>
      <c r="IY24" s="86">
        <f t="shared" si="112"/>
        <v>687.80124000000001</v>
      </c>
      <c r="IZ24" s="89">
        <f t="shared" si="113"/>
        <v>0.60466643420480071</v>
      </c>
      <c r="JA24" s="86">
        <f t="shared" si="121"/>
        <v>18566.540007913416</v>
      </c>
      <c r="JB24" s="86">
        <f t="shared" si="195"/>
        <v>173.07123249115313</v>
      </c>
      <c r="JC24" s="86">
        <f t="shared" si="196"/>
        <v>1891.0020998058553</v>
      </c>
      <c r="JD24" s="86">
        <f t="shared" si="115"/>
        <v>23</v>
      </c>
      <c r="JE24" s="86">
        <f t="shared" si="116"/>
        <v>0.47651531688446253</v>
      </c>
      <c r="JF24" s="86">
        <f t="shared" si="117"/>
        <v>22.523484683115537</v>
      </c>
      <c r="JG24" s="58">
        <f t="shared" si="118"/>
        <v>1223.4958725143313</v>
      </c>
      <c r="JH24" s="90" t="str">
        <f t="shared" si="74"/>
        <v>-</v>
      </c>
      <c r="JI24" s="95" t="e">
        <f t="shared" si="210"/>
        <v>#VALUE!</v>
      </c>
    </row>
    <row r="25" spans="1:269" s="46" customFormat="1" x14ac:dyDescent="0.25">
      <c r="C25" s="21" t="s">
        <v>81</v>
      </c>
      <c r="D25" s="59" t="s">
        <v>85</v>
      </c>
      <c r="E25" s="21"/>
      <c r="F25" s="39">
        <f t="shared" si="211"/>
        <v>0</v>
      </c>
      <c r="G25" s="60" t="s">
        <v>58</v>
      </c>
      <c r="H25" s="59">
        <v>2490</v>
      </c>
      <c r="I25" s="59">
        <v>602</v>
      </c>
      <c r="J25" s="68">
        <f t="shared" si="77"/>
        <v>902</v>
      </c>
      <c r="K25" s="59">
        <v>602</v>
      </c>
      <c r="L25" s="59">
        <v>55.34</v>
      </c>
      <c r="M25" s="59" t="s">
        <v>90</v>
      </c>
      <c r="N25" s="59" t="s">
        <v>94</v>
      </c>
      <c r="O25" s="69">
        <v>293</v>
      </c>
      <c r="P25" s="224">
        <f t="shared" si="154"/>
        <v>410.2</v>
      </c>
      <c r="Q25" s="59">
        <v>90</v>
      </c>
      <c r="R25" s="59">
        <v>12</v>
      </c>
      <c r="S25" s="59"/>
      <c r="T25" s="69">
        <f t="shared" si="155"/>
        <v>1080</v>
      </c>
      <c r="U25" s="69">
        <f t="shared" si="78"/>
        <v>316.44</v>
      </c>
      <c r="V25" s="80">
        <v>1.1000000000000001</v>
      </c>
      <c r="W25" s="80">
        <v>1.4</v>
      </c>
      <c r="X25" s="62">
        <f t="shared" si="197"/>
        <v>487.31759999999997</v>
      </c>
      <c r="Y25" s="59" t="s">
        <v>92</v>
      </c>
      <c r="Z25" s="68" t="s">
        <v>93</v>
      </c>
      <c r="AA25" s="68">
        <v>245</v>
      </c>
      <c r="AB25" s="68">
        <v>400</v>
      </c>
      <c r="AC25" s="59">
        <v>165.2</v>
      </c>
      <c r="AD25" s="59">
        <v>165.2</v>
      </c>
      <c r="AE25" s="59">
        <v>4.5</v>
      </c>
      <c r="AF25" s="21">
        <f t="shared" si="156"/>
        <v>7339398.0764583908</v>
      </c>
      <c r="AG25" s="64">
        <f t="shared" si="128"/>
        <v>1504576605673.9702</v>
      </c>
      <c r="AH25" s="59" t="s">
        <v>181</v>
      </c>
      <c r="AI25" s="59" t="str">
        <f t="shared" si="198"/>
        <v>SN400B</v>
      </c>
      <c r="AJ25" s="59">
        <f t="shared" si="198"/>
        <v>293</v>
      </c>
      <c r="AK25" s="59">
        <f t="shared" si="157"/>
        <v>410.2</v>
      </c>
      <c r="AL25" s="59"/>
      <c r="AM25" s="59"/>
      <c r="AN25" s="68"/>
      <c r="AO25" s="59"/>
      <c r="AP25" s="59">
        <f t="shared" si="158"/>
        <v>0</v>
      </c>
      <c r="AQ25" s="59">
        <f t="shared" si="159"/>
        <v>0</v>
      </c>
      <c r="AR25" s="46">
        <f t="shared" si="160"/>
        <v>0</v>
      </c>
      <c r="AS25" s="49" t="e">
        <f t="shared" si="161"/>
        <v>#DIV/0!</v>
      </c>
      <c r="AT25" s="49">
        <f t="shared" si="82"/>
        <v>0</v>
      </c>
      <c r="AU25" s="65">
        <f t="shared" si="83"/>
        <v>0</v>
      </c>
      <c r="AV25" s="206" t="e">
        <f t="shared" si="7"/>
        <v>#DIV/0!</v>
      </c>
      <c r="AW25" s="206" t="e">
        <f t="shared" si="199"/>
        <v>#DIV/0!</v>
      </c>
      <c r="AX25" s="65" t="e">
        <f t="shared" si="84"/>
        <v>#DIV/0!</v>
      </c>
      <c r="AY25" s="59">
        <v>180</v>
      </c>
      <c r="AZ25" s="59" t="s">
        <v>58</v>
      </c>
      <c r="BA25" s="65" t="e">
        <f t="shared" si="200"/>
        <v>#DIV/0!</v>
      </c>
      <c r="BB25" s="66">
        <v>0.01</v>
      </c>
      <c r="BC25" s="109">
        <f t="shared" si="10"/>
        <v>5.0000000000000001E-4</v>
      </c>
      <c r="BD25" s="68">
        <v>0</v>
      </c>
      <c r="BE25" s="79">
        <v>1</v>
      </c>
      <c r="BF25" s="65">
        <f t="shared" si="11"/>
        <v>8.9338888888888892</v>
      </c>
      <c r="BG25" s="191">
        <f t="shared" si="162"/>
        <v>245</v>
      </c>
      <c r="BH25" s="46">
        <f t="shared" si="163"/>
        <v>165.2</v>
      </c>
      <c r="BI25" s="46">
        <f t="shared" si="164"/>
        <v>4.5</v>
      </c>
      <c r="BJ25" s="46">
        <f t="shared" si="165"/>
        <v>0</v>
      </c>
      <c r="BK25" s="46">
        <f t="shared" si="166"/>
        <v>0</v>
      </c>
      <c r="BL25" s="46">
        <f t="shared" si="167"/>
        <v>180</v>
      </c>
      <c r="BM25" s="49">
        <f t="shared" si="168"/>
        <v>82.6</v>
      </c>
      <c r="BN25" s="49">
        <f t="shared" si="169"/>
        <v>78.099999999999994</v>
      </c>
      <c r="BO25" s="49">
        <f t="shared" si="170"/>
        <v>100.25960354129728</v>
      </c>
      <c r="BP25" s="208">
        <f t="shared" si="171"/>
        <v>0.1231089085627627</v>
      </c>
      <c r="BQ25" s="58">
        <f t="shared" si="172"/>
        <v>149.29669777948575</v>
      </c>
      <c r="BR25" s="58">
        <f t="shared" si="173"/>
        <v>18.379753515657129</v>
      </c>
      <c r="BS25" s="49">
        <f t="shared" si="174"/>
        <v>41.3</v>
      </c>
      <c r="BT25" s="61">
        <f t="shared" si="175"/>
        <v>0</v>
      </c>
      <c r="BU25" s="208">
        <f t="shared" si="176"/>
        <v>0</v>
      </c>
      <c r="BV25" s="58">
        <f t="shared" si="190"/>
        <v>412.40839289126535</v>
      </c>
      <c r="BW25" s="203">
        <f t="shared" si="191"/>
        <v>0</v>
      </c>
      <c r="BX25" s="58">
        <f t="shared" si="177"/>
        <v>18.379753515657129</v>
      </c>
      <c r="BY25" s="58">
        <f t="shared" si="178"/>
        <v>149.29669777948575</v>
      </c>
      <c r="CA25" s="59" t="s">
        <v>95</v>
      </c>
      <c r="CE25" s="59">
        <v>150</v>
      </c>
      <c r="CF25" s="59">
        <v>150</v>
      </c>
      <c r="CG25" s="59">
        <v>12</v>
      </c>
      <c r="CH25" s="46">
        <f t="shared" si="179"/>
        <v>3355128</v>
      </c>
      <c r="CI25" s="46">
        <v>56</v>
      </c>
      <c r="CJ25" s="46">
        <v>56</v>
      </c>
      <c r="CL25" s="48">
        <f t="shared" si="180"/>
        <v>0</v>
      </c>
      <c r="CM25" s="48" t="s">
        <v>169</v>
      </c>
      <c r="CN25" s="72">
        <f t="shared" si="181"/>
        <v>3355128</v>
      </c>
      <c r="CO25" s="99">
        <f t="shared" si="133"/>
        <v>687801240000</v>
      </c>
      <c r="CP25" s="59">
        <v>0</v>
      </c>
      <c r="CQ25" s="59">
        <v>0</v>
      </c>
      <c r="CR25" s="59">
        <v>27</v>
      </c>
      <c r="CS25" s="59">
        <v>0</v>
      </c>
      <c r="CT25" s="59"/>
      <c r="CU25" s="59"/>
      <c r="CV25" s="233">
        <v>12</v>
      </c>
      <c r="CW25" s="59">
        <v>175</v>
      </c>
      <c r="CX25" s="59">
        <v>137</v>
      </c>
      <c r="CY25" s="59">
        <v>194</v>
      </c>
      <c r="CZ25" s="59">
        <f t="shared" si="201"/>
        <v>12</v>
      </c>
      <c r="DA25" s="59">
        <v>153</v>
      </c>
      <c r="DB25" s="59">
        <v>157</v>
      </c>
      <c r="DC25" s="59">
        <v>40</v>
      </c>
      <c r="DD25" s="59">
        <f t="shared" si="202"/>
        <v>12</v>
      </c>
      <c r="DE25" s="59">
        <v>210</v>
      </c>
      <c r="DF25" s="59">
        <v>162</v>
      </c>
      <c r="DG25" s="59">
        <v>108</v>
      </c>
      <c r="DH25" s="59">
        <f t="shared" si="203"/>
        <v>12</v>
      </c>
      <c r="DI25" s="81">
        <f t="shared" si="212"/>
        <v>1.0574018126888218</v>
      </c>
      <c r="DJ25" s="81">
        <f t="shared" si="213"/>
        <v>1.5532994923857868</v>
      </c>
      <c r="DK25" s="81">
        <f t="shared" si="214"/>
        <v>1.5555555555555556</v>
      </c>
      <c r="DL25" s="82">
        <f t="shared" si="140"/>
        <v>32439560.439560439</v>
      </c>
      <c r="DM25" s="82">
        <f t="shared" si="141"/>
        <v>32439560.439560439</v>
      </c>
      <c r="DN25" s="82">
        <f t="shared" si="142"/>
        <v>32439560.439560439</v>
      </c>
      <c r="DO25" s="49">
        <f t="shared" si="215"/>
        <v>930.85504973213187</v>
      </c>
      <c r="DP25" s="49">
        <f t="shared" si="216"/>
        <v>2044.2351723797021</v>
      </c>
      <c r="DQ25" s="234">
        <f t="shared" si="217"/>
        <v>1922.7838157879312</v>
      </c>
      <c r="DR25" s="58">
        <f t="shared" si="25"/>
        <v>1775.0091428310266</v>
      </c>
      <c r="DS25" s="58"/>
      <c r="DT25" s="58"/>
      <c r="DU25" s="257"/>
      <c r="DV25" s="257"/>
      <c r="DW25" s="257"/>
      <c r="DX25" s="257"/>
      <c r="DY25" s="257"/>
      <c r="DZ25" s="259"/>
      <c r="EA25" s="259"/>
      <c r="EB25" s="191" t="s">
        <v>169</v>
      </c>
      <c r="EC25" s="177"/>
      <c r="EI25" s="177"/>
      <c r="EO25" s="177"/>
      <c r="EU25" s="177"/>
      <c r="FA25" s="177"/>
      <c r="FB25" s="46" t="s">
        <v>234</v>
      </c>
      <c r="FC25" s="46">
        <v>582350</v>
      </c>
      <c r="FD25" s="46">
        <f t="shared" si="204"/>
        <v>10666666.666666666</v>
      </c>
      <c r="FE25" s="46">
        <v>300</v>
      </c>
      <c r="FF25" s="46">
        <f t="shared" si="205"/>
        <v>480000000000</v>
      </c>
      <c r="FG25" s="46">
        <f t="shared" si="206"/>
        <v>6.8310072651410828E-4</v>
      </c>
      <c r="FH25" s="68">
        <v>805</v>
      </c>
      <c r="FI25" s="58">
        <f t="shared" si="207"/>
        <v>8250123.8166521797</v>
      </c>
      <c r="FJ25" s="177">
        <f t="shared" si="109"/>
        <v>8250123.8166521797</v>
      </c>
      <c r="FK25" s="46" t="s">
        <v>169</v>
      </c>
      <c r="FL25" s="177"/>
      <c r="FM25" s="46" t="s">
        <v>234</v>
      </c>
      <c r="FN25" s="46" t="s">
        <v>241</v>
      </c>
      <c r="FO25" s="48">
        <v>21350000</v>
      </c>
      <c r="FP25" s="46" t="s">
        <v>196</v>
      </c>
      <c r="FQ25" s="46">
        <v>4170</v>
      </c>
      <c r="FR25" s="177">
        <f t="shared" si="208"/>
        <v>4198.3213429256593</v>
      </c>
      <c r="FS25" s="46" t="s">
        <v>234</v>
      </c>
      <c r="FT25" s="46" t="s">
        <v>241</v>
      </c>
      <c r="FU25" s="48">
        <v>21350000</v>
      </c>
      <c r="FV25" s="46" t="s">
        <v>196</v>
      </c>
      <c r="FW25" s="46">
        <v>805</v>
      </c>
      <c r="FX25" s="177">
        <f t="shared" si="209"/>
        <v>21747.82608695652</v>
      </c>
      <c r="GD25" s="177"/>
      <c r="GJ25" s="177"/>
      <c r="GK25" s="177">
        <f t="shared" si="34"/>
        <v>25946.147429882178</v>
      </c>
      <c r="GL25" s="21">
        <f t="shared" si="145"/>
        <v>55.34</v>
      </c>
      <c r="GM25" s="21">
        <f t="shared" si="36"/>
        <v>8.2007756535340205E-8</v>
      </c>
      <c r="GN25" s="250">
        <f t="shared" si="146"/>
        <v>2.6076092690478325E-5</v>
      </c>
      <c r="GO25" s="177">
        <f t="shared" si="147"/>
        <v>38229.075617536473</v>
      </c>
      <c r="GQ25" s="67"/>
      <c r="GR25" s="83"/>
      <c r="GS25" s="83"/>
      <c r="GT25" s="84"/>
      <c r="GU25" s="84"/>
      <c r="GV25" s="84"/>
      <c r="GW25" s="85"/>
      <c r="GX25" s="86">
        <f>0.19*CO25/K25/10^6</f>
        <v>217.08012558139535</v>
      </c>
      <c r="GY25" s="87"/>
      <c r="GZ25" s="87">
        <v>45.1</v>
      </c>
      <c r="HA25" s="87"/>
      <c r="HB25" s="88"/>
      <c r="HC25" s="88"/>
      <c r="HD25" s="84"/>
      <c r="HE25" s="84"/>
      <c r="HF25" s="264"/>
      <c r="HG25" s="89"/>
      <c r="HH25" s="67"/>
      <c r="HI25" s="87">
        <f t="shared" si="39"/>
        <v>687.80124000000001</v>
      </c>
      <c r="HJ25" s="87">
        <f t="shared" si="40"/>
        <v>1504.5766056739701</v>
      </c>
      <c r="HK25" s="84">
        <f t="shared" si="41"/>
        <v>2490</v>
      </c>
      <c r="HL25" s="90">
        <f t="shared" si="42"/>
        <v>902</v>
      </c>
      <c r="HM25" s="90">
        <f t="shared" si="43"/>
        <v>602</v>
      </c>
      <c r="HN25" s="87">
        <f t="shared" si="111"/>
        <v>604.66643420480068</v>
      </c>
      <c r="HO25" s="84">
        <f t="shared" si="44"/>
        <v>180</v>
      </c>
      <c r="HP25" s="90">
        <f t="shared" si="45"/>
        <v>38229.075617536473</v>
      </c>
      <c r="HQ25" s="86">
        <f t="shared" si="192"/>
        <v>217.08012558139535</v>
      </c>
      <c r="HR25" s="87">
        <f t="shared" si="120"/>
        <v>216.20215168062853</v>
      </c>
      <c r="HS25" s="228">
        <f t="shared" si="47"/>
        <v>45.1</v>
      </c>
      <c r="HT25" s="83">
        <f t="shared" si="48"/>
        <v>149.29669777948575</v>
      </c>
      <c r="HU25" s="88">
        <f t="shared" si="49"/>
        <v>0.01</v>
      </c>
      <c r="HV25" s="88">
        <f t="shared" si="50"/>
        <v>5.0000000000000001E-4</v>
      </c>
      <c r="HW25" s="108">
        <f t="shared" si="51"/>
        <v>0</v>
      </c>
      <c r="HX25" s="108">
        <f t="shared" si="52"/>
        <v>1</v>
      </c>
      <c r="HY25" s="264">
        <f t="shared" si="182"/>
        <v>1.1111111111111112E-2</v>
      </c>
      <c r="HZ25" s="89">
        <f t="shared" si="183"/>
        <v>8.9635159356088963</v>
      </c>
      <c r="IA25" s="67"/>
      <c r="IB25" s="92">
        <f t="shared" si="54"/>
        <v>5.7147127692565771E-3</v>
      </c>
      <c r="IC25" s="86">
        <f t="shared" si="55"/>
        <v>1137.4887063220735</v>
      </c>
      <c r="ID25" s="91"/>
      <c r="IE25" s="93">
        <f t="shared" si="56"/>
        <v>0.45713939549917548</v>
      </c>
      <c r="IF25" s="93">
        <f t="shared" si="57"/>
        <v>0.24283792538345408</v>
      </c>
      <c r="IG25" s="93">
        <f t="shared" si="150"/>
        <v>0.13125114732982082</v>
      </c>
      <c r="IH25" s="268">
        <f t="shared" si="59"/>
        <v>33.608312245266482</v>
      </c>
      <c r="II25" s="181">
        <f t="shared" si="60"/>
        <v>0.19084156561281088</v>
      </c>
      <c r="IJ25" s="93">
        <f t="shared" si="151"/>
        <v>0.19006971276197629</v>
      </c>
      <c r="IK25" s="112">
        <f t="shared" si="184"/>
        <v>0.30208303780846923</v>
      </c>
      <c r="IL25" s="112">
        <f t="shared" si="185"/>
        <v>4.2852872307434231E-3</v>
      </c>
      <c r="IM25" s="112">
        <f t="shared" si="64"/>
        <v>1.4823901954135842E-2</v>
      </c>
      <c r="IN25" s="67"/>
      <c r="IO25" s="94">
        <f t="shared" si="152"/>
        <v>4.0172578038551367E-3</v>
      </c>
      <c r="IP25" s="94">
        <f t="shared" si="186"/>
        <v>4.2445340918195358E-5</v>
      </c>
      <c r="IQ25" s="94">
        <f t="shared" si="187"/>
        <v>1.8124122642104615E-2</v>
      </c>
      <c r="IR25" s="94">
        <f t="shared" si="193"/>
        <v>3.0829999999998914E-2</v>
      </c>
      <c r="IS25" s="94"/>
      <c r="IT25" s="94">
        <f t="shared" si="188"/>
        <v>9.3216739584966735E-3</v>
      </c>
      <c r="IU25" s="94">
        <f t="shared" si="194"/>
        <v>4.416000000000285E-2</v>
      </c>
      <c r="IV25" s="94">
        <f t="shared" si="189"/>
        <v>2.9519740565929691E-2</v>
      </c>
      <c r="IW25" s="67"/>
      <c r="IX25" s="65">
        <f t="shared" si="153"/>
        <v>5.8202780403179606</v>
      </c>
      <c r="IY25" s="86">
        <f t="shared" si="112"/>
        <v>687.80124000000001</v>
      </c>
      <c r="IZ25" s="89">
        <f t="shared" si="113"/>
        <v>0.60466643420480071</v>
      </c>
      <c r="JA25" s="86">
        <f t="shared" si="121"/>
        <v>18566.540007913416</v>
      </c>
      <c r="JB25" s="86">
        <f t="shared" si="195"/>
        <v>173.07123249115313</v>
      </c>
      <c r="JC25" s="86">
        <f t="shared" si="196"/>
        <v>572.4064284439504</v>
      </c>
      <c r="JD25" s="86">
        <f t="shared" si="115"/>
        <v>45.1</v>
      </c>
      <c r="JE25" s="86">
        <f t="shared" si="116"/>
        <v>0.47651531688446253</v>
      </c>
      <c r="JF25" s="86">
        <f t="shared" si="117"/>
        <v>44.623484683115542</v>
      </c>
      <c r="JG25" s="58">
        <f t="shared" si="118"/>
        <v>548.07944424055825</v>
      </c>
      <c r="JH25" s="90" t="str">
        <f t="shared" si="74"/>
        <v>-</v>
      </c>
      <c r="JI25" s="95" t="e">
        <f t="shared" si="210"/>
        <v>#VALUE!</v>
      </c>
    </row>
    <row r="26" spans="1:269" s="46" customFormat="1" x14ac:dyDescent="0.25">
      <c r="A26" s="6"/>
      <c r="B26" s="6"/>
      <c r="C26" s="10" t="s">
        <v>77</v>
      </c>
      <c r="D26" s="31" t="s">
        <v>85</v>
      </c>
      <c r="E26" s="220">
        <v>339</v>
      </c>
      <c r="F26" s="38">
        <f t="shared" si="211"/>
        <v>339</v>
      </c>
      <c r="G26" s="37">
        <v>339</v>
      </c>
      <c r="H26" s="31">
        <v>2490</v>
      </c>
      <c r="I26" s="31">
        <v>602</v>
      </c>
      <c r="J26" s="25">
        <f t="shared" si="77"/>
        <v>902</v>
      </c>
      <c r="K26" s="31">
        <v>602</v>
      </c>
      <c r="L26" s="31">
        <v>55.34</v>
      </c>
      <c r="M26" s="31" t="s">
        <v>90</v>
      </c>
      <c r="N26" s="31" t="s">
        <v>94</v>
      </c>
      <c r="O26" s="51">
        <v>293</v>
      </c>
      <c r="P26" s="225">
        <f t="shared" si="154"/>
        <v>410.2</v>
      </c>
      <c r="Q26" s="31">
        <v>90</v>
      </c>
      <c r="R26" s="31">
        <v>12</v>
      </c>
      <c r="S26" s="31"/>
      <c r="T26" s="51">
        <f t="shared" si="155"/>
        <v>1080</v>
      </c>
      <c r="U26" s="51">
        <f t="shared" si="78"/>
        <v>316.44</v>
      </c>
      <c r="V26" s="26">
        <v>1.1000000000000001</v>
      </c>
      <c r="W26" s="26">
        <v>1.4</v>
      </c>
      <c r="X26" s="30">
        <f t="shared" si="197"/>
        <v>487.31759999999997</v>
      </c>
      <c r="Y26" s="31" t="s">
        <v>91</v>
      </c>
      <c r="Z26" s="25" t="s">
        <v>93</v>
      </c>
      <c r="AA26" s="25">
        <v>245</v>
      </c>
      <c r="AB26" s="25">
        <v>400</v>
      </c>
      <c r="AC26" s="31">
        <v>125</v>
      </c>
      <c r="AD26" s="31">
        <v>125</v>
      </c>
      <c r="AE26" s="31">
        <v>4.5</v>
      </c>
      <c r="AF26" s="10">
        <f t="shared" si="156"/>
        <v>5256390.75</v>
      </c>
      <c r="AG26" s="52">
        <f t="shared" si="128"/>
        <v>1077560103750</v>
      </c>
      <c r="AH26" s="31" t="s">
        <v>95</v>
      </c>
      <c r="AI26" s="31" t="str">
        <f t="shared" si="198"/>
        <v>SN400B</v>
      </c>
      <c r="AJ26" s="31">
        <f t="shared" si="198"/>
        <v>293</v>
      </c>
      <c r="AK26" s="31">
        <f t="shared" si="157"/>
        <v>410.2</v>
      </c>
      <c r="AL26" s="31">
        <v>90</v>
      </c>
      <c r="AM26" s="31">
        <v>90</v>
      </c>
      <c r="AN26" s="31">
        <v>12</v>
      </c>
      <c r="AO26" s="31">
        <v>12</v>
      </c>
      <c r="AP26" s="31">
        <f t="shared" si="158"/>
        <v>2016</v>
      </c>
      <c r="AQ26" s="31">
        <f t="shared" si="159"/>
        <v>1080</v>
      </c>
      <c r="AR26" s="6">
        <f t="shared" si="160"/>
        <v>717768</v>
      </c>
      <c r="AS26" s="7">
        <f t="shared" si="161"/>
        <v>15950.4</v>
      </c>
      <c r="AT26" s="7">
        <f t="shared" si="82"/>
        <v>27108</v>
      </c>
      <c r="AU26" s="17">
        <f t="shared" si="83"/>
        <v>7.9426439999999996</v>
      </c>
      <c r="AV26" s="207">
        <f t="shared" si="7"/>
        <v>0.57390703721761749</v>
      </c>
      <c r="AW26" s="207">
        <f t="shared" si="199"/>
        <v>6.7669232759637486E-3</v>
      </c>
      <c r="AX26" s="17">
        <f t="shared" si="84"/>
        <v>7.888896737443706</v>
      </c>
      <c r="AY26" s="31">
        <v>0</v>
      </c>
      <c r="AZ26" s="31" t="s">
        <v>58</v>
      </c>
      <c r="BA26" s="17">
        <f t="shared" si="200"/>
        <v>0</v>
      </c>
      <c r="BB26" s="35">
        <v>0.01</v>
      </c>
      <c r="BC26" s="110">
        <f t="shared" si="10"/>
        <v>5.0000000000000001E-4</v>
      </c>
      <c r="BD26" s="25">
        <v>0</v>
      </c>
      <c r="BE26" s="32">
        <v>1</v>
      </c>
      <c r="BF26" s="17" t="e">
        <f t="shared" si="11"/>
        <v>#DIV/0!</v>
      </c>
      <c r="BG26" s="195">
        <f t="shared" si="162"/>
        <v>245</v>
      </c>
      <c r="BH26" s="6">
        <f t="shared" si="163"/>
        <v>125</v>
      </c>
      <c r="BI26" s="6">
        <f t="shared" si="164"/>
        <v>4.5</v>
      </c>
      <c r="BJ26" s="6">
        <f t="shared" si="165"/>
        <v>90</v>
      </c>
      <c r="BK26" s="6">
        <f t="shared" si="166"/>
        <v>90</v>
      </c>
      <c r="BL26" s="6">
        <f t="shared" si="167"/>
        <v>0</v>
      </c>
      <c r="BM26" s="7">
        <f t="shared" si="168"/>
        <v>17.5</v>
      </c>
      <c r="BN26" s="7">
        <f t="shared" si="169"/>
        <v>36.592348927063973</v>
      </c>
      <c r="BO26" s="7">
        <f t="shared" si="170"/>
        <v>39.044642827714519</v>
      </c>
      <c r="BP26" s="209" t="e">
        <f t="shared" si="171"/>
        <v>#DIV/0!</v>
      </c>
      <c r="BQ26" s="19">
        <f t="shared" si="172"/>
        <v>0</v>
      </c>
      <c r="BR26" s="19" t="e">
        <f t="shared" si="173"/>
        <v>#DIV/0!</v>
      </c>
      <c r="BS26" s="7">
        <f t="shared" si="174"/>
        <v>8.75</v>
      </c>
      <c r="BT26" s="22">
        <f t="shared" si="175"/>
        <v>4.8999999999999998E-3</v>
      </c>
      <c r="BU26" s="209" t="e">
        <f t="shared" si="176"/>
        <v>#DIV/0!</v>
      </c>
      <c r="BV26" s="19">
        <f t="shared" si="190"/>
        <v>0</v>
      </c>
      <c r="BW26" s="204" t="e">
        <f t="shared" si="191"/>
        <v>#DIV/0!</v>
      </c>
      <c r="BX26" s="19" t="e">
        <f t="shared" si="177"/>
        <v>#DIV/0!</v>
      </c>
      <c r="BY26" s="19">
        <f t="shared" si="178"/>
        <v>0</v>
      </c>
      <c r="BZ26" s="6"/>
      <c r="CA26" s="31" t="s">
        <v>95</v>
      </c>
      <c r="CB26" s="6"/>
      <c r="CC26" s="6"/>
      <c r="CD26" s="6"/>
      <c r="CE26" s="31">
        <v>150</v>
      </c>
      <c r="CF26" s="31">
        <v>150</v>
      </c>
      <c r="CG26" s="31">
        <v>12</v>
      </c>
      <c r="CH26" s="6">
        <f t="shared" si="179"/>
        <v>3355128</v>
      </c>
      <c r="CI26" s="6">
        <v>56</v>
      </c>
      <c r="CJ26" s="6">
        <v>56</v>
      </c>
      <c r="CK26" s="6"/>
      <c r="CL26" s="33">
        <f t="shared" si="180"/>
        <v>0</v>
      </c>
      <c r="CM26" s="33" t="s">
        <v>169</v>
      </c>
      <c r="CN26" s="34">
        <f t="shared" si="181"/>
        <v>3355128</v>
      </c>
      <c r="CO26" s="77">
        <f t="shared" si="133"/>
        <v>687801240000</v>
      </c>
      <c r="CP26" s="31">
        <v>0</v>
      </c>
      <c r="CQ26" s="31">
        <v>0</v>
      </c>
      <c r="CR26" s="31">
        <v>27</v>
      </c>
      <c r="CS26" s="31">
        <v>0</v>
      </c>
      <c r="CT26" s="31"/>
      <c r="CU26" s="31"/>
      <c r="CV26" s="235">
        <v>12</v>
      </c>
      <c r="CW26" s="31">
        <v>175</v>
      </c>
      <c r="CX26" s="31">
        <v>137</v>
      </c>
      <c r="CY26" s="31">
        <v>194</v>
      </c>
      <c r="CZ26" s="31">
        <f t="shared" si="201"/>
        <v>12</v>
      </c>
      <c r="DA26" s="31">
        <v>153</v>
      </c>
      <c r="DB26" s="31">
        <v>157</v>
      </c>
      <c r="DC26" s="31">
        <v>40</v>
      </c>
      <c r="DD26" s="31">
        <f t="shared" si="202"/>
        <v>12</v>
      </c>
      <c r="DE26" s="31">
        <v>210</v>
      </c>
      <c r="DF26" s="31">
        <v>162</v>
      </c>
      <c r="DG26" s="31">
        <v>108</v>
      </c>
      <c r="DH26" s="31">
        <f t="shared" si="203"/>
        <v>12</v>
      </c>
      <c r="DI26" s="53">
        <f t="shared" si="212"/>
        <v>1.0574018126888218</v>
      </c>
      <c r="DJ26" s="53">
        <f t="shared" si="213"/>
        <v>1.5532994923857868</v>
      </c>
      <c r="DK26" s="53">
        <f t="shared" si="214"/>
        <v>1.5555555555555556</v>
      </c>
      <c r="DL26" s="54">
        <f t="shared" si="140"/>
        <v>32439560.439560439</v>
      </c>
      <c r="DM26" s="54">
        <f t="shared" si="141"/>
        <v>32439560.439560439</v>
      </c>
      <c r="DN26" s="54">
        <f t="shared" si="142"/>
        <v>32439560.439560439</v>
      </c>
      <c r="DO26" s="7">
        <f t="shared" si="215"/>
        <v>930.85504973213187</v>
      </c>
      <c r="DP26" s="7">
        <f t="shared" si="216"/>
        <v>2044.2351723797021</v>
      </c>
      <c r="DQ26" s="236">
        <f t="shared" si="217"/>
        <v>1922.7838157879312</v>
      </c>
      <c r="DR26" s="19">
        <f t="shared" si="25"/>
        <v>1775.0091428310266</v>
      </c>
      <c r="DS26" s="19"/>
      <c r="DT26" s="19"/>
      <c r="DU26" s="258"/>
      <c r="DV26" s="258"/>
      <c r="DW26" s="258"/>
      <c r="DX26" s="258"/>
      <c r="DY26" s="258"/>
      <c r="DZ26" s="260"/>
      <c r="EA26" s="260"/>
      <c r="EB26" s="195" t="s">
        <v>169</v>
      </c>
      <c r="EC26" s="178"/>
      <c r="ED26" s="6"/>
      <c r="EE26" s="6"/>
      <c r="EF26" s="6"/>
      <c r="EG26" s="6"/>
      <c r="EH26" s="6"/>
      <c r="EI26" s="178"/>
      <c r="EJ26" s="6"/>
      <c r="EK26" s="6"/>
      <c r="EL26" s="6"/>
      <c r="EM26" s="6"/>
      <c r="EN26" s="6"/>
      <c r="EO26" s="178"/>
      <c r="EP26" s="6"/>
      <c r="EQ26" s="6"/>
      <c r="ER26" s="6"/>
      <c r="ES26" s="6"/>
      <c r="ET26" s="6"/>
      <c r="EU26" s="178"/>
      <c r="EV26" s="6"/>
      <c r="EW26" s="6"/>
      <c r="EX26" s="6"/>
      <c r="EY26" s="6"/>
      <c r="EZ26" s="6"/>
      <c r="FA26" s="178"/>
      <c r="FB26" s="6" t="s">
        <v>234</v>
      </c>
      <c r="FC26" s="6">
        <v>582350</v>
      </c>
      <c r="FD26" s="6">
        <f t="shared" si="204"/>
        <v>10666666.666666666</v>
      </c>
      <c r="FE26" s="6">
        <v>300</v>
      </c>
      <c r="FF26" s="6">
        <f t="shared" si="205"/>
        <v>480000000000</v>
      </c>
      <c r="FG26" s="6">
        <f t="shared" si="206"/>
        <v>6.8310072651410828E-4</v>
      </c>
      <c r="FH26" s="25">
        <v>805</v>
      </c>
      <c r="FI26" s="19">
        <f t="shared" si="207"/>
        <v>8250123.8166521797</v>
      </c>
      <c r="FJ26" s="178">
        <f t="shared" si="109"/>
        <v>8250123.8166521797</v>
      </c>
      <c r="FK26" s="6" t="s">
        <v>169</v>
      </c>
      <c r="FL26" s="178"/>
      <c r="FM26" s="6" t="s">
        <v>234</v>
      </c>
      <c r="FN26" s="6" t="s">
        <v>241</v>
      </c>
      <c r="FO26" s="33">
        <v>21350000</v>
      </c>
      <c r="FP26" s="6" t="s">
        <v>196</v>
      </c>
      <c r="FQ26" s="6">
        <v>4170</v>
      </c>
      <c r="FR26" s="178">
        <f t="shared" si="208"/>
        <v>4198.3213429256593</v>
      </c>
      <c r="FS26" s="6" t="s">
        <v>234</v>
      </c>
      <c r="FT26" s="6" t="s">
        <v>241</v>
      </c>
      <c r="FU26" s="6">
        <v>21350000</v>
      </c>
      <c r="FV26" s="6" t="s">
        <v>196</v>
      </c>
      <c r="FW26" s="6">
        <v>805</v>
      </c>
      <c r="FX26" s="178">
        <f t="shared" si="209"/>
        <v>21747.82608695652</v>
      </c>
      <c r="FY26" s="6"/>
      <c r="FZ26" s="6"/>
      <c r="GA26" s="6"/>
      <c r="GB26" s="6"/>
      <c r="GC26" s="6"/>
      <c r="GD26" s="178"/>
      <c r="GE26" s="6"/>
      <c r="GF26" s="6"/>
      <c r="GG26" s="6"/>
      <c r="GH26" s="6"/>
      <c r="GI26" s="6"/>
      <c r="GJ26" s="178"/>
      <c r="GK26" s="178">
        <f t="shared" si="34"/>
        <v>25946.147429882178</v>
      </c>
      <c r="GL26" s="10">
        <f t="shared" si="145"/>
        <v>55.34</v>
      </c>
      <c r="GM26" s="10">
        <f t="shared" si="36"/>
        <v>8.2007756535340205E-8</v>
      </c>
      <c r="GN26" s="251">
        <f t="shared" si="146"/>
        <v>2.6076092690478325E-5</v>
      </c>
      <c r="GO26" s="178">
        <f t="shared" si="147"/>
        <v>38229.075617536473</v>
      </c>
      <c r="GP26" s="6"/>
      <c r="GQ26" s="8"/>
      <c r="GR26" s="102"/>
      <c r="GS26" s="102"/>
      <c r="GT26" s="9"/>
      <c r="GU26" s="9"/>
      <c r="GV26" s="9"/>
      <c r="GW26" s="103"/>
      <c r="GX26" s="18">
        <f>0.19*CO26/K26/10^6</f>
        <v>217.08012558139535</v>
      </c>
      <c r="GY26" s="104"/>
      <c r="GZ26" s="104">
        <v>0.51</v>
      </c>
      <c r="HA26" s="104"/>
      <c r="HB26" s="12"/>
      <c r="HC26" s="12"/>
      <c r="HD26" s="9"/>
      <c r="HE26" s="9"/>
      <c r="HF26" s="265"/>
      <c r="HG26" s="14"/>
      <c r="HH26" s="8"/>
      <c r="HI26" s="104">
        <f t="shared" si="39"/>
        <v>687.80124000000001</v>
      </c>
      <c r="HJ26" s="104">
        <f t="shared" si="40"/>
        <v>1077.5601037500001</v>
      </c>
      <c r="HK26" s="9">
        <f t="shared" si="41"/>
        <v>2490</v>
      </c>
      <c r="HL26" s="11">
        <f t="shared" si="42"/>
        <v>902</v>
      </c>
      <c r="HM26" s="11">
        <f t="shared" si="43"/>
        <v>602</v>
      </c>
      <c r="HN26" s="104">
        <f t="shared" si="111"/>
        <v>604.66643420480068</v>
      </c>
      <c r="HO26" s="9">
        <f t="shared" si="44"/>
        <v>0</v>
      </c>
      <c r="HP26" s="11">
        <f t="shared" si="45"/>
        <v>38229.075617536473</v>
      </c>
      <c r="HQ26" s="18">
        <f t="shared" si="192"/>
        <v>217.08012558139535</v>
      </c>
      <c r="HR26" s="104">
        <f t="shared" si="120"/>
        <v>216.20215168062853</v>
      </c>
      <c r="HS26" s="229">
        <f t="shared" si="47"/>
        <v>0.51</v>
      </c>
      <c r="HT26" s="102">
        <f t="shared" si="48"/>
        <v>0</v>
      </c>
      <c r="HU26" s="12">
        <f t="shared" si="49"/>
        <v>0.01</v>
      </c>
      <c r="HV26" s="12">
        <f t="shared" si="50"/>
        <v>5.0000000000000001E-4</v>
      </c>
      <c r="HW26" s="111">
        <f t="shared" si="51"/>
        <v>0</v>
      </c>
      <c r="HX26" s="111">
        <f t="shared" si="52"/>
        <v>1</v>
      </c>
      <c r="HY26" s="265">
        <f t="shared" si="182"/>
        <v>0</v>
      </c>
      <c r="HZ26" s="14">
        <f t="shared" si="183"/>
        <v>2.2450000000000001</v>
      </c>
      <c r="IA26" s="13"/>
      <c r="IB26" s="15">
        <f t="shared" si="54"/>
        <v>0</v>
      </c>
      <c r="IC26" s="18">
        <f t="shared" si="55"/>
        <v>1137.4887063220735</v>
      </c>
      <c r="ID26" s="13"/>
      <c r="IE26" s="105">
        <f t="shared" si="56"/>
        <v>0.63829501259966259</v>
      </c>
      <c r="IF26" s="105">
        <f t="shared" si="57"/>
        <v>0.24283792538345408</v>
      </c>
      <c r="IG26" s="105">
        <f t="shared" si="150"/>
        <v>0</v>
      </c>
      <c r="IH26" s="269">
        <f t="shared" si="59"/>
        <v>33.608312245266482</v>
      </c>
      <c r="II26" s="182">
        <f t="shared" si="60"/>
        <v>0.19084156561281088</v>
      </c>
      <c r="IJ26" s="105">
        <f t="shared" si="151"/>
        <v>0.19006971276197629</v>
      </c>
      <c r="IK26" s="113">
        <f t="shared" si="184"/>
        <v>0</v>
      </c>
      <c r="IL26" s="113">
        <f>MAX(0,HU26-IB26)</f>
        <v>0.01</v>
      </c>
      <c r="IM26" s="113">
        <f t="shared" si="64"/>
        <v>3.7127908430247313E-3</v>
      </c>
      <c r="IN26" s="8"/>
      <c r="IO26" s="16">
        <f t="shared" si="152"/>
        <v>0</v>
      </c>
      <c r="IP26" s="16">
        <f t="shared" si="186"/>
        <v>9.9048998661477872E-5</v>
      </c>
      <c r="IQ26" s="16">
        <f t="shared" si="187"/>
        <v>1.8124122642104615E-2</v>
      </c>
      <c r="IR26" s="16">
        <f t="shared" si="193"/>
        <v>1.8109999999999432E-2</v>
      </c>
      <c r="IS26" s="16"/>
      <c r="IT26" s="16">
        <f t="shared" si="188"/>
        <v>9.3216739584966735E-3</v>
      </c>
      <c r="IU26" s="16">
        <f t="shared" si="194"/>
        <v>1.8109999999999432E-2</v>
      </c>
      <c r="IV26" s="16">
        <f t="shared" si="189"/>
        <v>1.8124122642104615E-2</v>
      </c>
      <c r="IW26" s="8"/>
      <c r="IX26" s="17">
        <f t="shared" si="153"/>
        <v>7.4279933088046617</v>
      </c>
      <c r="IY26" s="18">
        <f t="shared" si="112"/>
        <v>687.80124000000001</v>
      </c>
      <c r="IZ26" s="14">
        <f t="shared" si="113"/>
        <v>0.60466643420480071</v>
      </c>
      <c r="JA26" s="18">
        <f t="shared" si="121"/>
        <v>18566.540007913416</v>
      </c>
      <c r="JB26" s="18">
        <f t="shared" si="195"/>
        <v>173.07123249115313</v>
      </c>
      <c r="JC26" s="18">
        <f t="shared" si="196"/>
        <v>336.24003954330141</v>
      </c>
      <c r="JD26" s="18">
        <f t="shared" si="115"/>
        <v>0</v>
      </c>
      <c r="JE26" s="18">
        <f t="shared" si="116"/>
        <v>1.1119798772550316</v>
      </c>
      <c r="JF26" s="18">
        <f t="shared" si="117"/>
        <v>0</v>
      </c>
      <c r="JG26" s="19">
        <f t="shared" si="118"/>
        <v>336.50224814296467</v>
      </c>
      <c r="JH26" s="11">
        <f t="shared" si="74"/>
        <v>339</v>
      </c>
      <c r="JI26" s="20">
        <f t="shared" si="210"/>
        <v>0.99263200042172473</v>
      </c>
    </row>
    <row r="27" spans="1:269" s="46" customFormat="1" x14ac:dyDescent="0.25">
      <c r="A27" s="46" t="s">
        <v>12</v>
      </c>
      <c r="B27" s="46">
        <v>2012</v>
      </c>
      <c r="C27" s="46" t="s">
        <v>127</v>
      </c>
      <c r="D27" s="59" t="s">
        <v>85</v>
      </c>
      <c r="E27" s="76">
        <f>1.19*264</f>
        <v>314.15999999999997</v>
      </c>
      <c r="F27" s="60">
        <f t="shared" si="211"/>
        <v>314.15999999999997</v>
      </c>
      <c r="G27" s="60" t="s">
        <v>58</v>
      </c>
      <c r="H27" s="68">
        <v>2863</v>
      </c>
      <c r="I27" s="68">
        <v>763</v>
      </c>
      <c r="J27" s="68">
        <f t="shared" si="77"/>
        <v>1063</v>
      </c>
      <c r="K27" s="68">
        <v>763</v>
      </c>
      <c r="L27" s="254">
        <v>47.5</v>
      </c>
      <c r="M27" s="59" t="s">
        <v>90</v>
      </c>
      <c r="N27" s="59" t="s">
        <v>166</v>
      </c>
      <c r="O27" s="49"/>
      <c r="P27" s="224">
        <f t="shared" si="154"/>
        <v>0</v>
      </c>
      <c r="Q27" s="59">
        <v>74</v>
      </c>
      <c r="R27" s="59">
        <v>12</v>
      </c>
      <c r="S27" s="59"/>
      <c r="T27" s="69">
        <f>Q27*R27</f>
        <v>888</v>
      </c>
      <c r="U27" s="69">
        <f t="shared" si="78"/>
        <v>0</v>
      </c>
      <c r="V27" s="80">
        <v>1.1000000000000001</v>
      </c>
      <c r="W27" s="80">
        <v>1.4</v>
      </c>
      <c r="X27" s="62">
        <f t="shared" si="197"/>
        <v>0</v>
      </c>
      <c r="Y27" s="59" t="s">
        <v>91</v>
      </c>
      <c r="Z27" s="59" t="s">
        <v>167</v>
      </c>
      <c r="AA27" s="68">
        <v>245</v>
      </c>
      <c r="AB27" s="68">
        <v>400</v>
      </c>
      <c r="AC27" s="59">
        <v>125</v>
      </c>
      <c r="AD27" s="59">
        <v>125</v>
      </c>
      <c r="AE27" s="59">
        <v>2.2999999999999998</v>
      </c>
      <c r="AF27" s="21">
        <f t="shared" si="156"/>
        <v>2833497.5211999961</v>
      </c>
      <c r="AG27" s="64">
        <f t="shared" si="128"/>
        <v>580866991845.99915</v>
      </c>
      <c r="AH27" s="59" t="s">
        <v>95</v>
      </c>
      <c r="AI27" s="68" t="s">
        <v>166</v>
      </c>
      <c r="AJ27" s="59">
        <v>297</v>
      </c>
      <c r="AK27" s="59">
        <f t="shared" si="157"/>
        <v>0</v>
      </c>
      <c r="AL27" s="59">
        <v>85</v>
      </c>
      <c r="AM27" s="59">
        <v>85</v>
      </c>
      <c r="AN27" s="68">
        <v>12</v>
      </c>
      <c r="AO27" s="68">
        <v>12</v>
      </c>
      <c r="AP27" s="68">
        <f t="shared" si="158"/>
        <v>1896</v>
      </c>
      <c r="AQ27" s="68">
        <f t="shared" si="159"/>
        <v>1020</v>
      </c>
      <c r="AR27" s="46">
        <f t="shared" si="160"/>
        <v>603613</v>
      </c>
      <c r="AS27" s="49">
        <f t="shared" si="161"/>
        <v>14202.658823529411</v>
      </c>
      <c r="AT27" s="49">
        <f t="shared" si="82"/>
        <v>24303</v>
      </c>
      <c r="AU27" s="65">
        <f t="shared" si="83"/>
        <v>7.2179909999999996</v>
      </c>
      <c r="AV27" s="206">
        <f t="shared" si="7"/>
        <v>0.55789967182372247</v>
      </c>
      <c r="AW27" s="206">
        <f t="shared" si="199"/>
        <v>1.8597929747961278E-3</v>
      </c>
      <c r="AX27" s="65">
        <f t="shared" si="84"/>
        <v>7.2045670310460581</v>
      </c>
      <c r="AY27" s="59">
        <v>110</v>
      </c>
      <c r="AZ27" s="59">
        <v>167</v>
      </c>
      <c r="BA27" s="70">
        <f>MIN(AY27:AZ27)/AL27</f>
        <v>1.2941176470588236</v>
      </c>
      <c r="BB27" s="66">
        <v>0</v>
      </c>
      <c r="BC27" s="109">
        <f t="shared" si="10"/>
        <v>5.0000000000000001E-4</v>
      </c>
      <c r="BD27" s="68">
        <v>0</v>
      </c>
      <c r="BE27" s="71">
        <v>2</v>
      </c>
      <c r="BF27" s="65">
        <f t="shared" si="11"/>
        <v>31.176954545454542</v>
      </c>
      <c r="BG27" s="191">
        <f t="shared" si="162"/>
        <v>245</v>
      </c>
      <c r="BH27" s="46">
        <f t="shared" si="163"/>
        <v>125</v>
      </c>
      <c r="BI27" s="46">
        <f t="shared" si="164"/>
        <v>2.2999999999999998</v>
      </c>
      <c r="BJ27" s="46">
        <f t="shared" si="165"/>
        <v>85</v>
      </c>
      <c r="BK27" s="46">
        <f t="shared" si="166"/>
        <v>85</v>
      </c>
      <c r="BL27" s="46">
        <f t="shared" si="167"/>
        <v>110</v>
      </c>
      <c r="BM27" s="49">
        <f t="shared" si="168"/>
        <v>20</v>
      </c>
      <c r="BN27" s="49">
        <f t="shared" si="169"/>
        <v>42.635548548130586</v>
      </c>
      <c r="BO27" s="49">
        <f t="shared" si="170"/>
        <v>45.065581477661709</v>
      </c>
      <c r="BP27" s="208">
        <f t="shared" si="171"/>
        <v>2.2091208450282937E-2</v>
      </c>
      <c r="BQ27" s="58">
        <f t="shared" si="172"/>
        <v>188.07427558901722</v>
      </c>
      <c r="BR27" s="58">
        <f t="shared" si="173"/>
        <v>4.1547880261729393</v>
      </c>
      <c r="BS27" s="49">
        <f t="shared" si="174"/>
        <v>10</v>
      </c>
      <c r="BT27" s="61">
        <f t="shared" si="175"/>
        <v>9.0543478260869566E-3</v>
      </c>
      <c r="BU27" s="208">
        <f t="shared" si="176"/>
        <v>8.2312252964426879E-5</v>
      </c>
      <c r="BV27" s="58">
        <f t="shared" si="190"/>
        <v>628.75507291666634</v>
      </c>
      <c r="BW27" s="203">
        <f t="shared" si="191"/>
        <v>5.1754246614583305E-2</v>
      </c>
      <c r="BX27" s="58">
        <f t="shared" si="177"/>
        <v>5.1754246614583305E-2</v>
      </c>
      <c r="BY27" s="58">
        <f t="shared" si="178"/>
        <v>628.75507291666634</v>
      </c>
      <c r="CA27" s="59" t="s">
        <v>95</v>
      </c>
      <c r="CB27" s="68" t="s">
        <v>94</v>
      </c>
      <c r="CC27" s="59">
        <v>297</v>
      </c>
      <c r="CD27" s="59"/>
      <c r="CE27" s="68">
        <v>145</v>
      </c>
      <c r="CF27" s="68">
        <v>145</v>
      </c>
      <c r="CG27" s="68">
        <v>12</v>
      </c>
      <c r="CH27" s="48">
        <f t="shared" ref="CH27:CH34" si="218">(CG27*CE27^3-(CF27-CG27)*CG27^3)/12</f>
        <v>3029473</v>
      </c>
      <c r="CI27" s="68">
        <v>55</v>
      </c>
      <c r="CJ27" s="68">
        <v>55</v>
      </c>
      <c r="CK27" s="68">
        <v>6</v>
      </c>
      <c r="CL27" s="48">
        <f t="shared" ref="CL27:CL34" si="219">((2*CK27)*CE27^3-(2*CK27)*(2*CK27+CG27)^3+(2*CJ27)*(2*CK27+CG27)^3-(2*CJ27)*CG27^3)/12</f>
        <v>3145681</v>
      </c>
      <c r="CM27" s="48" t="s">
        <v>169</v>
      </c>
      <c r="CN27" s="72">
        <f t="shared" si="181"/>
        <v>3029473</v>
      </c>
      <c r="CO27" s="73">
        <f t="shared" si="133"/>
        <v>621041965000</v>
      </c>
      <c r="CP27" s="59">
        <v>0</v>
      </c>
      <c r="CQ27" s="59">
        <v>0</v>
      </c>
      <c r="CR27" s="59">
        <v>0</v>
      </c>
      <c r="CS27" s="59">
        <v>0</v>
      </c>
      <c r="CV27" s="237">
        <v>16</v>
      </c>
      <c r="CW27" s="59">
        <v>313</v>
      </c>
      <c r="CX27" s="59">
        <v>198</v>
      </c>
      <c r="CY27" s="59">
        <v>287</v>
      </c>
      <c r="CZ27" s="68">
        <f t="shared" si="201"/>
        <v>16</v>
      </c>
      <c r="DA27" s="59">
        <v>267</v>
      </c>
      <c r="DB27" s="59">
        <v>231</v>
      </c>
      <c r="DC27" s="68">
        <v>290</v>
      </c>
      <c r="DD27" s="68">
        <f t="shared" si="202"/>
        <v>16</v>
      </c>
      <c r="DE27" s="59">
        <v>313</v>
      </c>
      <c r="DF27" s="59">
        <v>289</v>
      </c>
      <c r="DG27" s="59">
        <v>119</v>
      </c>
      <c r="DH27" s="68">
        <f t="shared" si="203"/>
        <v>16</v>
      </c>
      <c r="DI27" s="47">
        <f t="shared" si="212"/>
        <v>1.2907216494845362</v>
      </c>
      <c r="DJ27" s="47">
        <f t="shared" si="213"/>
        <v>1.0249520153550864</v>
      </c>
      <c r="DK27" s="47">
        <f t="shared" si="214"/>
        <v>1.5343137254901962</v>
      </c>
      <c r="DL27" s="48">
        <f t="shared" si="140"/>
        <v>76893772.8937729</v>
      </c>
      <c r="DM27" s="48">
        <f t="shared" si="141"/>
        <v>76893772.8937729</v>
      </c>
      <c r="DN27" s="48">
        <f t="shared" si="142"/>
        <v>76893772.8937729</v>
      </c>
      <c r="DO27" s="49">
        <f t="shared" si="215"/>
        <v>1818.6495574885153</v>
      </c>
      <c r="DP27" s="49">
        <f t="shared" si="216"/>
        <v>1476.9668389971862</v>
      </c>
      <c r="DQ27" s="234">
        <f t="shared" si="217"/>
        <v>1412.5689485954642</v>
      </c>
      <c r="DR27" s="58">
        <f t="shared" si="25"/>
        <v>2740.9595541605572</v>
      </c>
      <c r="DS27" s="58"/>
      <c r="DT27" s="58"/>
      <c r="DU27" s="257"/>
      <c r="DV27" s="257"/>
      <c r="DW27" s="257"/>
      <c r="DX27" s="257"/>
      <c r="DY27" s="257"/>
      <c r="DZ27" s="259"/>
      <c r="EA27" s="259"/>
      <c r="EB27" s="191" t="s">
        <v>169</v>
      </c>
      <c r="EC27" s="177"/>
      <c r="EI27" s="177"/>
      <c r="EO27" s="177"/>
      <c r="EU27" s="177"/>
      <c r="FA27" s="177"/>
      <c r="FB27" s="46" t="s">
        <v>232</v>
      </c>
      <c r="FC27" s="48">
        <v>358910</v>
      </c>
      <c r="FD27" s="46">
        <f>9*150^3/12</f>
        <v>2531250</v>
      </c>
      <c r="FE27" s="46">
        <v>300</v>
      </c>
      <c r="FF27" s="46">
        <f t="shared" si="205"/>
        <v>113906250000</v>
      </c>
      <c r="FG27" s="63">
        <f t="shared" si="206"/>
        <v>1.1008605993955214E-3</v>
      </c>
      <c r="FH27" s="46">
        <f>2*2075</f>
        <v>4150</v>
      </c>
      <c r="FI27" s="136">
        <f t="shared" si="207"/>
        <v>21266.173079404049</v>
      </c>
      <c r="FJ27" s="177">
        <f t="shared" si="109"/>
        <v>21266.173079404049</v>
      </c>
      <c r="FK27" s="46" t="s">
        <v>169</v>
      </c>
      <c r="FL27" s="177"/>
      <c r="FM27" s="46" t="s">
        <v>232</v>
      </c>
      <c r="FN27" s="46" t="s">
        <v>241</v>
      </c>
      <c r="FO27" s="48">
        <v>5075300</v>
      </c>
      <c r="FP27" s="46" t="s">
        <v>196</v>
      </c>
      <c r="FQ27" s="46">
        <f>2075</f>
        <v>2075</v>
      </c>
      <c r="FR27" s="177">
        <f t="shared" ref="FR27:FR34" si="220">IF(ISBLANK(FP27),0,IF(FP27="Pinned",3,IF(FP27="Fixed",4,#N/A))*$C$2*FO27/10^6/FQ27)</f>
        <v>2005.6607228915664</v>
      </c>
      <c r="FS27" s="46" t="s">
        <v>232</v>
      </c>
      <c r="FT27" s="46" t="s">
        <v>241</v>
      </c>
      <c r="FU27" s="48">
        <v>5075300</v>
      </c>
      <c r="FV27" s="46" t="s">
        <v>196</v>
      </c>
      <c r="FW27" s="46">
        <f>2075</f>
        <v>2075</v>
      </c>
      <c r="FX27" s="177">
        <f t="shared" si="209"/>
        <v>2005.6607228915664</v>
      </c>
      <c r="GA27" s="48"/>
      <c r="GD27" s="177"/>
      <c r="GG27" s="48"/>
      <c r="GJ27" s="177"/>
      <c r="GK27" s="177">
        <f t="shared" si="34"/>
        <v>4011.3214457831327</v>
      </c>
      <c r="GL27" s="21">
        <f t="shared" si="145"/>
        <v>47.5</v>
      </c>
      <c r="GM27" s="21">
        <f t="shared" si="36"/>
        <v>2.5560681244538339E-5</v>
      </c>
      <c r="GN27" s="250">
        <f t="shared" si="146"/>
        <v>1.3551092295165245E-4</v>
      </c>
      <c r="GO27" s="177">
        <f t="shared" si="147"/>
        <v>6208.4189512508074</v>
      </c>
      <c r="GQ27" s="67"/>
      <c r="GR27" s="83"/>
      <c r="GS27" s="83"/>
      <c r="GT27" s="84"/>
      <c r="GU27" s="84"/>
      <c r="GV27" s="84"/>
      <c r="GW27" s="85"/>
      <c r="GX27" s="86"/>
      <c r="GY27" s="87"/>
      <c r="GZ27" s="87"/>
      <c r="HA27" s="87"/>
      <c r="HB27" s="88"/>
      <c r="HC27" s="88"/>
      <c r="HD27" s="84"/>
      <c r="HE27" s="84"/>
      <c r="HF27" s="264"/>
      <c r="HG27" s="89"/>
      <c r="HH27" s="67"/>
      <c r="HI27" s="87">
        <f t="shared" si="39"/>
        <v>621.041965</v>
      </c>
      <c r="HJ27" s="87">
        <f t="shared" si="40"/>
        <v>580.86699184599911</v>
      </c>
      <c r="HK27" s="84">
        <f t="shared" si="41"/>
        <v>2863</v>
      </c>
      <c r="HL27" s="90">
        <f t="shared" si="42"/>
        <v>1063</v>
      </c>
      <c r="HM27" s="90">
        <f t="shared" si="43"/>
        <v>763</v>
      </c>
      <c r="HN27" s="87">
        <f t="shared" si="111"/>
        <v>877.65238355171664</v>
      </c>
      <c r="HO27" s="84">
        <f t="shared" si="44"/>
        <v>110</v>
      </c>
      <c r="HP27" s="90">
        <f t="shared" si="45"/>
        <v>6208.4189512508074</v>
      </c>
      <c r="HQ27" s="86">
        <f t="shared" si="192"/>
        <v>2740.9595541605572</v>
      </c>
      <c r="HR27" s="87">
        <f t="shared" si="120"/>
        <v>1952.1225106312347</v>
      </c>
      <c r="HS27" s="228">
        <f t="shared" si="47"/>
        <v>5.1754246614583305E-2</v>
      </c>
      <c r="HT27" s="83">
        <f t="shared" si="48"/>
        <v>628.75507291666634</v>
      </c>
      <c r="HU27" s="88">
        <f t="shared" si="49"/>
        <v>0</v>
      </c>
      <c r="HV27" s="88">
        <f t="shared" si="50"/>
        <v>5.0000000000000001E-4</v>
      </c>
      <c r="HW27" s="108">
        <f t="shared" si="51"/>
        <v>0</v>
      </c>
      <c r="HX27" s="108">
        <f t="shared" si="52"/>
        <v>2</v>
      </c>
      <c r="HY27" s="264">
        <f t="shared" si="182"/>
        <v>3.6363636363636362E-2</v>
      </c>
      <c r="HZ27" s="89">
        <f t="shared" si="183"/>
        <v>35.346132129153332</v>
      </c>
      <c r="IA27" s="67"/>
      <c r="IB27" s="92">
        <f t="shared" si="54"/>
        <v>1.4069097677535539E-2</v>
      </c>
      <c r="IC27" s="86">
        <f t="shared" si="55"/>
        <v>707.61724874117476</v>
      </c>
      <c r="ID27" s="91"/>
      <c r="IE27" s="93">
        <f t="shared" si="56"/>
        <v>1.0691638080971422</v>
      </c>
      <c r="IF27" s="93">
        <f t="shared" si="57"/>
        <v>0.30654990693388634</v>
      </c>
      <c r="IG27" s="93">
        <f t="shared" ref="IG27:IG34" si="221">HT27/IC27</f>
        <v>0.88855249647348</v>
      </c>
      <c r="IH27" s="268">
        <f t="shared" si="59"/>
        <v>8.7736964613219328</v>
      </c>
      <c r="II27" s="181">
        <f t="shared" si="60"/>
        <v>3.8735058522621149</v>
      </c>
      <c r="IJ27" s="93">
        <f t="shared" ref="IJ27:IJ34" si="222">HR27/IC27</f>
        <v>2.7587265772619158</v>
      </c>
      <c r="IK27" s="266">
        <f t="shared" si="184"/>
        <v>8.2312252964426879E-5</v>
      </c>
      <c r="IL27" s="112">
        <f t="shared" ref="IL27:IL34" si="223">MAX(0,HU27-IB27)</f>
        <v>0</v>
      </c>
      <c r="IM27" s="112">
        <f t="shared" si="64"/>
        <v>4.0273498701289087E-2</v>
      </c>
      <c r="IN27" s="67"/>
      <c r="IO27" s="94">
        <f t="shared" si="152"/>
        <v>7.4105055166978541E-6</v>
      </c>
      <c r="IP27" s="94">
        <f t="shared" si="186"/>
        <v>0</v>
      </c>
      <c r="IQ27" s="94">
        <f t="shared" si="187"/>
        <v>0.13287550009804466</v>
      </c>
      <c r="IR27" s="94">
        <f t="shared" si="193"/>
        <v>0.2044600000000637</v>
      </c>
      <c r="IS27" s="94"/>
      <c r="IT27" s="94">
        <f t="shared" si="188"/>
        <v>5.1409555720346271E-2</v>
      </c>
      <c r="IU27" s="94">
        <f t="shared" si="194"/>
        <v>0.43633000000029559</v>
      </c>
      <c r="IV27" s="94">
        <f t="shared" si="189"/>
        <v>0.13293986490109169</v>
      </c>
      <c r="IW27" s="67"/>
      <c r="IX27" s="65">
        <f t="shared" ref="IX27:IX34" si="224">1/SQRT(IV27)</f>
        <v>2.7426625943084919</v>
      </c>
      <c r="IY27" s="86">
        <f t="shared" si="112"/>
        <v>621.041965</v>
      </c>
      <c r="IZ27" s="89">
        <f t="shared" si="113"/>
        <v>0.8776523835517166</v>
      </c>
      <c r="JA27" s="86">
        <f t="shared" si="121"/>
        <v>7957.4811660624946</v>
      </c>
      <c r="JB27" s="86">
        <f t="shared" si="195"/>
        <v>409.09057140029586</v>
      </c>
      <c r="JC27" s="86">
        <f t="shared" si="196"/>
        <v>1626.9865992136445</v>
      </c>
      <c r="JD27" s="86">
        <f t="shared" si="115"/>
        <v>5.1754246614583305E-2</v>
      </c>
      <c r="JE27" s="86">
        <f t="shared" si="116"/>
        <v>0</v>
      </c>
      <c r="JF27" s="86">
        <f t="shared" si="117"/>
        <v>5.1754246614583305E-2</v>
      </c>
      <c r="JG27" s="58">
        <f t="shared" si="118"/>
        <v>1057.8664711693298</v>
      </c>
      <c r="JH27" s="90" t="str">
        <f t="shared" si="74"/>
        <v>-</v>
      </c>
      <c r="JI27" s="95" t="e">
        <f t="shared" ref="JI27:JI34" si="225">JG27/JH27</f>
        <v>#VALUE!</v>
      </c>
    </row>
    <row r="28" spans="1:269" s="46" customFormat="1" x14ac:dyDescent="0.25">
      <c r="A28" s="6"/>
      <c r="B28" s="6"/>
      <c r="C28" s="6" t="s">
        <v>13</v>
      </c>
      <c r="D28" s="31" t="s">
        <v>85</v>
      </c>
      <c r="E28" s="221">
        <f>1.17*264</f>
        <v>308.88</v>
      </c>
      <c r="F28" s="37">
        <f t="shared" si="211"/>
        <v>308.88</v>
      </c>
      <c r="G28" s="37">
        <f>1.17*264</f>
        <v>308.88</v>
      </c>
      <c r="H28" s="25">
        <v>2863</v>
      </c>
      <c r="I28" s="25">
        <v>763</v>
      </c>
      <c r="J28" s="25">
        <f t="shared" si="77"/>
        <v>1063</v>
      </c>
      <c r="K28" s="25">
        <v>763</v>
      </c>
      <c r="L28" s="255">
        <v>47.5</v>
      </c>
      <c r="M28" s="31" t="s">
        <v>90</v>
      </c>
      <c r="N28" s="31" t="s">
        <v>166</v>
      </c>
      <c r="O28" s="7"/>
      <c r="P28" s="225">
        <f t="shared" si="154"/>
        <v>0</v>
      </c>
      <c r="Q28" s="31">
        <v>74</v>
      </c>
      <c r="R28" s="31">
        <v>12</v>
      </c>
      <c r="S28" s="31"/>
      <c r="T28" s="51">
        <f>Q28*R28</f>
        <v>888</v>
      </c>
      <c r="U28" s="51">
        <f t="shared" si="78"/>
        <v>0</v>
      </c>
      <c r="V28" s="26">
        <v>1.1000000000000001</v>
      </c>
      <c r="W28" s="26">
        <v>1.4</v>
      </c>
      <c r="X28" s="30">
        <f t="shared" si="197"/>
        <v>0</v>
      </c>
      <c r="Y28" s="31" t="s">
        <v>91</v>
      </c>
      <c r="Z28" s="31" t="s">
        <v>167</v>
      </c>
      <c r="AA28" s="25">
        <v>245</v>
      </c>
      <c r="AB28" s="25">
        <v>400</v>
      </c>
      <c r="AC28" s="31">
        <v>125</v>
      </c>
      <c r="AD28" s="31">
        <v>125</v>
      </c>
      <c r="AE28" s="31">
        <v>2.2999999999999998</v>
      </c>
      <c r="AF28" s="10">
        <f t="shared" ref="AF28:AF34" si="226">IF(Y28="RHS",(AD28*AC28^3-(AD28-2*AE28)*(AC28-2*AE28)^3)/12,IF(Y28="CHS",PI()*(AC28^4-(AC28-2*AE28)^4)/64,#N/A))</f>
        <v>2833497.5211999961</v>
      </c>
      <c r="AG28" s="52">
        <f t="shared" si="128"/>
        <v>580866991845.99915</v>
      </c>
      <c r="AH28" s="31" t="s">
        <v>95</v>
      </c>
      <c r="AI28" s="25" t="s">
        <v>166</v>
      </c>
      <c r="AJ28" s="31">
        <v>297</v>
      </c>
      <c r="AK28" s="31">
        <f t="shared" si="157"/>
        <v>0</v>
      </c>
      <c r="AL28" s="31">
        <v>85</v>
      </c>
      <c r="AM28" s="31">
        <v>85</v>
      </c>
      <c r="AN28" s="25">
        <v>12</v>
      </c>
      <c r="AO28" s="25">
        <v>12</v>
      </c>
      <c r="AP28" s="25">
        <f t="shared" si="158"/>
        <v>1896</v>
      </c>
      <c r="AQ28" s="25">
        <f t="shared" si="159"/>
        <v>1020</v>
      </c>
      <c r="AR28" s="6">
        <f t="shared" si="160"/>
        <v>603613</v>
      </c>
      <c r="AS28" s="7">
        <f t="shared" si="161"/>
        <v>14202.658823529411</v>
      </c>
      <c r="AT28" s="7">
        <f t="shared" si="82"/>
        <v>24303</v>
      </c>
      <c r="AU28" s="17">
        <f t="shared" si="83"/>
        <v>7.2179909999999996</v>
      </c>
      <c r="AV28" s="207">
        <f t="shared" si="7"/>
        <v>0.54852320675105493</v>
      </c>
      <c r="AW28" s="207">
        <f t="shared" si="199"/>
        <v>5.212568545276368E-4</v>
      </c>
      <c r="AX28" s="17">
        <f t="shared" si="84"/>
        <v>7.2142285727153306</v>
      </c>
      <c r="AY28" s="31">
        <v>30</v>
      </c>
      <c r="AZ28" s="31">
        <v>30</v>
      </c>
      <c r="BA28" s="55">
        <f>MIN(AY28:AZ28)/AL28</f>
        <v>0.35294117647058826</v>
      </c>
      <c r="BB28" s="35">
        <v>0</v>
      </c>
      <c r="BC28" s="110">
        <f t="shared" si="10"/>
        <v>5.0000000000000001E-4</v>
      </c>
      <c r="BD28" s="25">
        <v>0</v>
      </c>
      <c r="BE28" s="57">
        <v>2</v>
      </c>
      <c r="BF28" s="17">
        <f t="shared" si="11"/>
        <v>105.16483333333333</v>
      </c>
      <c r="BG28" s="195">
        <f t="shared" si="162"/>
        <v>245</v>
      </c>
      <c r="BH28" s="6">
        <f t="shared" si="163"/>
        <v>125</v>
      </c>
      <c r="BI28" s="6">
        <f t="shared" si="164"/>
        <v>2.2999999999999998</v>
      </c>
      <c r="BJ28" s="6">
        <f t="shared" si="165"/>
        <v>85</v>
      </c>
      <c r="BK28" s="6">
        <f t="shared" si="166"/>
        <v>85</v>
      </c>
      <c r="BL28" s="6">
        <f t="shared" si="167"/>
        <v>30</v>
      </c>
      <c r="BM28" s="7">
        <f t="shared" si="168"/>
        <v>20</v>
      </c>
      <c r="BN28" s="7">
        <f t="shared" si="169"/>
        <v>42.635548548130586</v>
      </c>
      <c r="BO28" s="7">
        <f t="shared" si="170"/>
        <v>45.065581477661709</v>
      </c>
      <c r="BP28" s="209">
        <f t="shared" si="171"/>
        <v>8.1001097651037426E-2</v>
      </c>
      <c r="BQ28" s="19">
        <f t="shared" si="172"/>
        <v>3.8151806468095155</v>
      </c>
      <c r="BR28" s="19">
        <f t="shared" si="173"/>
        <v>0.30903382012856567</v>
      </c>
      <c r="BS28" s="7">
        <f t="shared" si="174"/>
        <v>10</v>
      </c>
      <c r="BT28" s="22">
        <f t="shared" si="175"/>
        <v>9.0543478260869566E-3</v>
      </c>
      <c r="BU28" s="209">
        <f t="shared" si="176"/>
        <v>3.0181159420289856E-4</v>
      </c>
      <c r="BV28" s="19">
        <f t="shared" si="190"/>
        <v>12.754610795454541</v>
      </c>
      <c r="BW28" s="204">
        <f t="shared" si="191"/>
        <v>3.8494894176136349E-3</v>
      </c>
      <c r="BX28" s="19">
        <f t="shared" si="177"/>
        <v>3.8494894176136349E-3</v>
      </c>
      <c r="BY28" s="19">
        <f t="shared" si="178"/>
        <v>12.754610795454541</v>
      </c>
      <c r="BZ28" s="6"/>
      <c r="CA28" s="31" t="s">
        <v>95</v>
      </c>
      <c r="CB28" s="25" t="s">
        <v>94</v>
      </c>
      <c r="CC28" s="31">
        <v>297</v>
      </c>
      <c r="CD28" s="31"/>
      <c r="CE28" s="25">
        <v>145</v>
      </c>
      <c r="CF28" s="25">
        <v>145</v>
      </c>
      <c r="CG28" s="25">
        <v>12</v>
      </c>
      <c r="CH28" s="33">
        <f t="shared" si="218"/>
        <v>3029473</v>
      </c>
      <c r="CI28" s="25">
        <v>55</v>
      </c>
      <c r="CJ28" s="25">
        <v>55</v>
      </c>
      <c r="CK28" s="25">
        <v>6</v>
      </c>
      <c r="CL28" s="33">
        <f t="shared" si="219"/>
        <v>3145681</v>
      </c>
      <c r="CM28" s="33" t="s">
        <v>169</v>
      </c>
      <c r="CN28" s="34">
        <f t="shared" si="181"/>
        <v>3029473</v>
      </c>
      <c r="CO28" s="74">
        <f t="shared" si="133"/>
        <v>621041965000</v>
      </c>
      <c r="CP28" s="31">
        <v>0</v>
      </c>
      <c r="CQ28" s="31">
        <v>0</v>
      </c>
      <c r="CR28" s="31">
        <v>0</v>
      </c>
      <c r="CS28" s="31">
        <v>0</v>
      </c>
      <c r="CT28" s="6"/>
      <c r="CU28" s="6"/>
      <c r="CV28" s="238">
        <v>16</v>
      </c>
      <c r="CW28" s="31">
        <v>313</v>
      </c>
      <c r="CX28" s="31">
        <v>198</v>
      </c>
      <c r="CY28" s="31">
        <v>287</v>
      </c>
      <c r="CZ28" s="25">
        <f t="shared" si="201"/>
        <v>16</v>
      </c>
      <c r="DA28" s="31">
        <v>267</v>
      </c>
      <c r="DB28" s="31">
        <v>231</v>
      </c>
      <c r="DC28" s="25">
        <v>290</v>
      </c>
      <c r="DD28" s="25">
        <f t="shared" si="202"/>
        <v>16</v>
      </c>
      <c r="DE28" s="31">
        <v>313</v>
      </c>
      <c r="DF28" s="31">
        <v>289</v>
      </c>
      <c r="DG28" s="31">
        <v>119</v>
      </c>
      <c r="DH28" s="25">
        <f t="shared" si="203"/>
        <v>16</v>
      </c>
      <c r="DI28" s="50">
        <f t="shared" ref="DI28:DI34" si="227">2*CW28/(CX28+CY28)</f>
        <v>1.2907216494845362</v>
      </c>
      <c r="DJ28" s="50">
        <f t="shared" ref="DJ28:DJ34" si="228">2*DA28/(DB28+DC28)</f>
        <v>1.0249520153550864</v>
      </c>
      <c r="DK28" s="50">
        <f t="shared" ref="DK28:DK34" si="229">2*DE28/(DF28+DG28)</f>
        <v>1.5343137254901962</v>
      </c>
      <c r="DL28" s="33">
        <f t="shared" si="140"/>
        <v>76893772.8937729</v>
      </c>
      <c r="DM28" s="33">
        <f t="shared" si="141"/>
        <v>76893772.8937729</v>
      </c>
      <c r="DN28" s="33">
        <f t="shared" si="142"/>
        <v>76893772.8937729</v>
      </c>
      <c r="DO28" s="7">
        <f t="shared" ref="DO28:DO34" si="230">DI28*DL28*(SQRT(DA28^2-CX28^2)/(CW28*CX28)+SQRT(DE28^2-CY28^2)/(CW28*CY28))^2</f>
        <v>1818.6495574885153</v>
      </c>
      <c r="DP28" s="7">
        <f t="shared" ref="DP28:DP34" si="231">DJ28*DM28/DB28^2</f>
        <v>1476.9668389971862</v>
      </c>
      <c r="DQ28" s="236">
        <f t="shared" ref="DQ28:DQ34" si="232">DK28*DN28/DF28^2</f>
        <v>1412.5689485954642</v>
      </c>
      <c r="DR28" s="19">
        <f t="shared" si="25"/>
        <v>2740.9595541605572</v>
      </c>
      <c r="DS28" s="19"/>
      <c r="DT28" s="19"/>
      <c r="DU28" s="258"/>
      <c r="DV28" s="258"/>
      <c r="DW28" s="258"/>
      <c r="DX28" s="258"/>
      <c r="DY28" s="258"/>
      <c r="DZ28" s="260"/>
      <c r="EA28" s="260"/>
      <c r="EB28" s="195" t="s">
        <v>169</v>
      </c>
      <c r="EC28" s="178"/>
      <c r="ED28" s="6"/>
      <c r="EE28" s="6"/>
      <c r="EF28" s="6"/>
      <c r="EG28" s="6"/>
      <c r="EH28" s="6"/>
      <c r="EI28" s="178"/>
      <c r="EJ28" s="6"/>
      <c r="EK28" s="6"/>
      <c r="EL28" s="6"/>
      <c r="EM28" s="6"/>
      <c r="EN28" s="6"/>
      <c r="EO28" s="178"/>
      <c r="EP28" s="6"/>
      <c r="EQ28" s="6"/>
      <c r="ER28" s="6"/>
      <c r="ES28" s="6"/>
      <c r="ET28" s="6"/>
      <c r="EU28" s="178"/>
      <c r="EV28" s="6"/>
      <c r="EW28" s="6"/>
      <c r="EX28" s="6"/>
      <c r="EY28" s="6"/>
      <c r="EZ28" s="6"/>
      <c r="FA28" s="178"/>
      <c r="FB28" s="6" t="s">
        <v>232</v>
      </c>
      <c r="FC28" s="6">
        <v>358910</v>
      </c>
      <c r="FD28" s="6">
        <f>9*150^3/12</f>
        <v>2531250</v>
      </c>
      <c r="FE28" s="6">
        <v>300</v>
      </c>
      <c r="FF28" s="6">
        <f t="shared" si="205"/>
        <v>113906250000</v>
      </c>
      <c r="FG28" s="6">
        <f t="shared" si="206"/>
        <v>1.1008605993955214E-3</v>
      </c>
      <c r="FH28" s="6">
        <f>2*2075</f>
        <v>4150</v>
      </c>
      <c r="FI28" s="19">
        <f t="shared" si="207"/>
        <v>21266.173079404049</v>
      </c>
      <c r="FJ28" s="178">
        <f t="shared" si="109"/>
        <v>21266.173079404049</v>
      </c>
      <c r="FK28" s="6" t="s">
        <v>169</v>
      </c>
      <c r="FL28" s="178"/>
      <c r="FM28" s="6" t="s">
        <v>232</v>
      </c>
      <c r="FN28" s="6" t="s">
        <v>241</v>
      </c>
      <c r="FO28" s="33">
        <v>5075300</v>
      </c>
      <c r="FP28" s="6" t="s">
        <v>196</v>
      </c>
      <c r="FQ28" s="6">
        <f>2075</f>
        <v>2075</v>
      </c>
      <c r="FR28" s="178">
        <f t="shared" si="220"/>
        <v>2005.6607228915664</v>
      </c>
      <c r="FS28" s="6" t="s">
        <v>232</v>
      </c>
      <c r="FT28" s="6" t="s">
        <v>241</v>
      </c>
      <c r="FU28" s="6">
        <v>5075300</v>
      </c>
      <c r="FV28" s="6" t="s">
        <v>196</v>
      </c>
      <c r="FW28" s="6">
        <f>2075</f>
        <v>2075</v>
      </c>
      <c r="FX28" s="178">
        <f t="shared" si="209"/>
        <v>2005.6607228915664</v>
      </c>
      <c r="FY28" s="6"/>
      <c r="FZ28" s="6"/>
      <c r="GA28" s="6"/>
      <c r="GB28" s="6"/>
      <c r="GC28" s="6"/>
      <c r="GD28" s="178"/>
      <c r="GE28" s="6"/>
      <c r="GF28" s="6"/>
      <c r="GG28" s="6"/>
      <c r="GH28" s="6"/>
      <c r="GI28" s="6"/>
      <c r="GJ28" s="178"/>
      <c r="GK28" s="178">
        <f t="shared" si="34"/>
        <v>4011.3214457831327</v>
      </c>
      <c r="GL28" s="10">
        <f t="shared" si="145"/>
        <v>47.5</v>
      </c>
      <c r="GM28" s="10">
        <f t="shared" si="36"/>
        <v>2.5560681244538339E-5</v>
      </c>
      <c r="GN28" s="251">
        <f t="shared" si="146"/>
        <v>1.3551092295165245E-4</v>
      </c>
      <c r="GO28" s="178">
        <f t="shared" si="147"/>
        <v>6208.4189512508074</v>
      </c>
      <c r="GP28" s="6"/>
      <c r="GQ28" s="8"/>
      <c r="GR28" s="102"/>
      <c r="GS28" s="102"/>
      <c r="GT28" s="9"/>
      <c r="GU28" s="9"/>
      <c r="GV28" s="9"/>
      <c r="GW28" s="103"/>
      <c r="GX28" s="18"/>
      <c r="GY28" s="104"/>
      <c r="GZ28" s="104"/>
      <c r="HA28" s="104"/>
      <c r="HB28" s="12"/>
      <c r="HC28" s="12"/>
      <c r="HD28" s="9"/>
      <c r="HE28" s="9"/>
      <c r="HF28" s="265"/>
      <c r="HG28" s="14"/>
      <c r="HH28" s="8"/>
      <c r="HI28" s="104">
        <f t="shared" si="39"/>
        <v>621.041965</v>
      </c>
      <c r="HJ28" s="104">
        <f t="shared" si="40"/>
        <v>580.86699184599911</v>
      </c>
      <c r="HK28" s="9">
        <f t="shared" si="41"/>
        <v>2863</v>
      </c>
      <c r="HL28" s="11">
        <f t="shared" si="42"/>
        <v>1063</v>
      </c>
      <c r="HM28" s="11">
        <f t="shared" si="43"/>
        <v>763</v>
      </c>
      <c r="HN28" s="104">
        <f t="shared" si="111"/>
        <v>877.65238355171664</v>
      </c>
      <c r="HO28" s="9">
        <f t="shared" si="44"/>
        <v>30</v>
      </c>
      <c r="HP28" s="11">
        <f t="shared" si="45"/>
        <v>6208.4189512508074</v>
      </c>
      <c r="HQ28" s="18">
        <f t="shared" si="192"/>
        <v>2740.9595541605572</v>
      </c>
      <c r="HR28" s="104">
        <f t="shared" si="120"/>
        <v>1952.1225106312347</v>
      </c>
      <c r="HS28" s="229">
        <f t="shared" si="47"/>
        <v>3.8494894176136349E-3</v>
      </c>
      <c r="HT28" s="102">
        <f t="shared" si="48"/>
        <v>12.754610795454541</v>
      </c>
      <c r="HU28" s="12">
        <f t="shared" si="49"/>
        <v>0</v>
      </c>
      <c r="HV28" s="12">
        <f t="shared" si="50"/>
        <v>5.0000000000000001E-4</v>
      </c>
      <c r="HW28" s="111">
        <f t="shared" si="51"/>
        <v>0</v>
      </c>
      <c r="HX28" s="111">
        <f t="shared" si="52"/>
        <v>2</v>
      </c>
      <c r="HY28" s="265">
        <f t="shared" si="182"/>
        <v>0.13333333333333333</v>
      </c>
      <c r="HZ28" s="14">
        <f t="shared" si="183"/>
        <v>120.45181780689555</v>
      </c>
      <c r="IA28" s="8"/>
      <c r="IB28" s="15">
        <f t="shared" si="54"/>
        <v>5.1586691484296975E-2</v>
      </c>
      <c r="IC28" s="18">
        <f t="shared" si="55"/>
        <v>707.61724874117476</v>
      </c>
      <c r="ID28" s="13"/>
      <c r="IE28" s="105">
        <f t="shared" si="56"/>
        <v>1.0691638080971422</v>
      </c>
      <c r="IF28" s="105">
        <f t="shared" si="57"/>
        <v>0.30654990693388634</v>
      </c>
      <c r="IG28" s="105">
        <f t="shared" si="221"/>
        <v>1.8024731333421463E-2</v>
      </c>
      <c r="IH28" s="269">
        <f t="shared" si="59"/>
        <v>8.7736964613219328</v>
      </c>
      <c r="II28" s="182">
        <f t="shared" si="60"/>
        <v>3.8735058522621149</v>
      </c>
      <c r="IJ28" s="105">
        <f t="shared" si="222"/>
        <v>2.7587265772619158</v>
      </c>
      <c r="IK28" s="267">
        <f t="shared" si="184"/>
        <v>3.0181159420289856E-4</v>
      </c>
      <c r="IL28" s="113">
        <f t="shared" si="223"/>
        <v>0</v>
      </c>
      <c r="IM28" s="113">
        <f t="shared" si="64"/>
        <v>0.13724319567098606</v>
      </c>
      <c r="IN28" s="8"/>
      <c r="IO28" s="16">
        <f t="shared" si="152"/>
        <v>5.5119462520893147E-7</v>
      </c>
      <c r="IP28" s="16">
        <f t="shared" si="186"/>
        <v>0</v>
      </c>
      <c r="IQ28" s="16">
        <f t="shared" si="187"/>
        <v>0.13287550009804466</v>
      </c>
      <c r="IR28" s="16">
        <f t="shared" si="193"/>
        <v>0.14152000000000076</v>
      </c>
      <c r="IS28" s="16"/>
      <c r="IT28" s="16">
        <f t="shared" si="188"/>
        <v>5.1409555720346271E-2</v>
      </c>
      <c r="IU28" s="16">
        <f t="shared" si="194"/>
        <v>0.14382000000000306</v>
      </c>
      <c r="IV28" s="16">
        <f t="shared" si="189"/>
        <v>0.13287574541291866</v>
      </c>
      <c r="IW28" s="8"/>
      <c r="IX28" s="17">
        <f t="shared" si="224"/>
        <v>2.7433242534817541</v>
      </c>
      <c r="IY28" s="18">
        <f t="shared" si="112"/>
        <v>621.041965</v>
      </c>
      <c r="IZ28" s="14">
        <f t="shared" si="113"/>
        <v>0.8776523835517166</v>
      </c>
      <c r="JA28" s="18">
        <f t="shared" si="121"/>
        <v>7957.4811660624946</v>
      </c>
      <c r="JB28" s="18">
        <f t="shared" si="195"/>
        <v>409.09057140029586</v>
      </c>
      <c r="JC28" s="18">
        <f t="shared" si="196"/>
        <v>1126.1427346211703</v>
      </c>
      <c r="JD28" s="18">
        <f t="shared" si="115"/>
        <v>3.8494894176136357E-3</v>
      </c>
      <c r="JE28" s="18">
        <f t="shared" si="116"/>
        <v>0</v>
      </c>
      <c r="JF28" s="18">
        <f t="shared" si="117"/>
        <v>3.8494894176136357E-3</v>
      </c>
      <c r="JG28" s="19">
        <f t="shared" si="118"/>
        <v>1057.3562415498152</v>
      </c>
      <c r="JH28" s="11">
        <f t="shared" si="74"/>
        <v>308.88</v>
      </c>
      <c r="JI28" s="20">
        <f t="shared" si="225"/>
        <v>3.423194255211782</v>
      </c>
    </row>
    <row r="29" spans="1:269" s="46" customFormat="1" x14ac:dyDescent="0.25">
      <c r="A29" s="46" t="s">
        <v>20</v>
      </c>
      <c r="B29" s="46">
        <v>2005</v>
      </c>
      <c r="C29" s="46" t="s">
        <v>21</v>
      </c>
      <c r="D29" s="59" t="s">
        <v>84</v>
      </c>
      <c r="E29" s="222">
        <v>1156</v>
      </c>
      <c r="F29" s="100">
        <f t="shared" si="211"/>
        <v>1156</v>
      </c>
      <c r="G29" s="101">
        <f>F29</f>
        <v>1156</v>
      </c>
      <c r="H29" s="59">
        <v>5173</v>
      </c>
      <c r="I29" s="59">
        <v>1224</v>
      </c>
      <c r="J29" s="68">
        <f t="shared" si="77"/>
        <v>1524</v>
      </c>
      <c r="K29" s="59">
        <v>1224</v>
      </c>
      <c r="L29" s="254">
        <v>45</v>
      </c>
      <c r="M29" s="59" t="s">
        <v>90</v>
      </c>
      <c r="N29" s="59" t="s">
        <v>94</v>
      </c>
      <c r="O29" s="69">
        <f t="shared" ref="O29:O34" si="233">6.89475729*44.7</f>
        <v>308.19565086300003</v>
      </c>
      <c r="P29" s="69">
        <f t="shared" ref="P29:P34" si="234">6.89475729*67.5</f>
        <v>465.39611707500001</v>
      </c>
      <c r="Q29" s="59">
        <v>162</v>
      </c>
      <c r="R29" s="59">
        <v>19</v>
      </c>
      <c r="S29" s="59"/>
      <c r="T29" s="69">
        <f t="shared" ref="T29:T34" si="235">Q29*R29</f>
        <v>3078</v>
      </c>
      <c r="U29" s="69">
        <f t="shared" si="78"/>
        <v>948.62621335631411</v>
      </c>
      <c r="V29" s="80">
        <v>1.1000000000000001</v>
      </c>
      <c r="W29" s="80">
        <v>1.4</v>
      </c>
      <c r="X29" s="62">
        <f t="shared" si="197"/>
        <v>1460.8843685687239</v>
      </c>
      <c r="Y29" s="59" t="s">
        <v>91</v>
      </c>
      <c r="Z29" s="59" t="s">
        <v>93</v>
      </c>
      <c r="AA29" s="68">
        <v>245</v>
      </c>
      <c r="AB29" s="68">
        <v>400</v>
      </c>
      <c r="AC29" s="59">
        <v>250</v>
      </c>
      <c r="AD29" s="59">
        <v>250</v>
      </c>
      <c r="AE29" s="59">
        <v>6</v>
      </c>
      <c r="AF29" s="21">
        <f>IF(Y29="RHS",(AD29*AC29^3-(AD29-2*AE29)*(AC29-2*AE29)^3)/12,IF(Y29="CHS",PI()*(AC29^4-(AC29-2*AE29)^4)/64,#N/A))</f>
        <v>58142272</v>
      </c>
      <c r="AG29" s="64">
        <f t="shared" si="128"/>
        <v>11919165760000</v>
      </c>
      <c r="AH29" s="59" t="s">
        <v>95</v>
      </c>
      <c r="AI29" s="59" t="s">
        <v>94</v>
      </c>
      <c r="AJ29" s="69">
        <f t="shared" ref="AJ29:AJ34" si="236">O29</f>
        <v>308.19565086300003</v>
      </c>
      <c r="AK29" s="69">
        <f t="shared" si="157"/>
        <v>465.39611707500001</v>
      </c>
      <c r="AL29" s="59">
        <v>208</v>
      </c>
      <c r="AM29" s="59">
        <v>208</v>
      </c>
      <c r="AN29" s="59">
        <v>19</v>
      </c>
      <c r="AO29" s="59">
        <v>19</v>
      </c>
      <c r="AP29" s="59">
        <f t="shared" si="158"/>
        <v>7543</v>
      </c>
      <c r="AQ29" s="59">
        <f t="shared" si="159"/>
        <v>3952</v>
      </c>
      <c r="AR29" s="46">
        <f t="shared" si="160"/>
        <v>14140248.083333334</v>
      </c>
      <c r="AS29" s="49">
        <f t="shared" si="161"/>
        <v>135963.92387820513</v>
      </c>
      <c r="AT29" s="49">
        <f t="shared" si="82"/>
        <v>222561.25</v>
      </c>
      <c r="AU29" s="65">
        <f t="shared" si="83"/>
        <v>68.592409300632866</v>
      </c>
      <c r="AV29" s="206">
        <f t="shared" si="7"/>
        <v>0.49726423062041208</v>
      </c>
      <c r="AW29" s="206">
        <f t="shared" si="199"/>
        <v>3.137244830884602E-3</v>
      </c>
      <c r="AX29" s="65">
        <f t="shared" si="84"/>
        <v>68.377218119116534</v>
      </c>
      <c r="AY29" s="59">
        <v>190</v>
      </c>
      <c r="AZ29" s="59">
        <v>190</v>
      </c>
      <c r="BA29" s="70">
        <f t="shared" ref="BA29:BA34" si="237">MIN(AY29:AZ29)/AL29</f>
        <v>0.91346153846153844</v>
      </c>
      <c r="BB29" s="66">
        <v>0</v>
      </c>
      <c r="BC29" s="109">
        <f t="shared" si="10"/>
        <v>5.0000000000000001E-4</v>
      </c>
      <c r="BD29" s="68">
        <v>0</v>
      </c>
      <c r="BE29" s="71">
        <v>2</v>
      </c>
      <c r="BF29" s="65">
        <f t="shared" si="11"/>
        <v>30.354921052631578</v>
      </c>
      <c r="BG29" s="191">
        <f t="shared" si="162"/>
        <v>245</v>
      </c>
      <c r="BH29" s="46">
        <f t="shared" si="163"/>
        <v>250</v>
      </c>
      <c r="BI29" s="46">
        <f t="shared" si="164"/>
        <v>6</v>
      </c>
      <c r="BJ29" s="46">
        <f t="shared" si="165"/>
        <v>208</v>
      </c>
      <c r="BK29" s="46">
        <f t="shared" si="166"/>
        <v>208</v>
      </c>
      <c r="BL29" s="46">
        <f t="shared" si="167"/>
        <v>190</v>
      </c>
      <c r="BM29" s="49">
        <f t="shared" si="168"/>
        <v>21</v>
      </c>
      <c r="BN29" s="49">
        <f t="shared" si="169"/>
        <v>57.835974963685018</v>
      </c>
      <c r="BO29" s="49">
        <f t="shared" si="170"/>
        <v>60.11287924703079</v>
      </c>
      <c r="BP29" s="208">
        <f t="shared" si="171"/>
        <v>1.198370675445143E-2</v>
      </c>
      <c r="BQ29" s="58">
        <f t="shared" si="172"/>
        <v>2787.005734687436</v>
      </c>
      <c r="BR29" s="58">
        <f t="shared" si="173"/>
        <v>33.398659447468695</v>
      </c>
      <c r="BS29" s="49">
        <f t="shared" si="174"/>
        <v>10.5</v>
      </c>
      <c r="BT29" s="61">
        <f t="shared" si="175"/>
        <v>1.6986666666666667E-2</v>
      </c>
      <c r="BU29" s="208">
        <f t="shared" si="176"/>
        <v>8.940350877192983E-5</v>
      </c>
      <c r="BV29" s="58">
        <f t="shared" si="190"/>
        <v>46666.97781414746</v>
      </c>
      <c r="BW29" s="203">
        <f t="shared" si="191"/>
        <v>4.1721915603665876</v>
      </c>
      <c r="BX29" s="58">
        <f t="shared" si="177"/>
        <v>4.1721915603665876</v>
      </c>
      <c r="BY29" s="58">
        <f t="shared" si="178"/>
        <v>46666.97781414746</v>
      </c>
      <c r="CA29" s="59" t="s">
        <v>95</v>
      </c>
      <c r="CB29" s="59" t="s">
        <v>173</v>
      </c>
      <c r="CC29" s="69">
        <f t="shared" ref="CC29:CD34" si="238">O29</f>
        <v>308.19565086300003</v>
      </c>
      <c r="CD29" s="69">
        <f t="shared" si="238"/>
        <v>465.39611707500001</v>
      </c>
      <c r="CE29" s="59">
        <v>279.39999999999998</v>
      </c>
      <c r="CF29" s="59">
        <v>279.39999999999998</v>
      </c>
      <c r="CG29" s="59">
        <v>19</v>
      </c>
      <c r="CH29" s="48">
        <f t="shared" si="218"/>
        <v>34385531.491333321</v>
      </c>
      <c r="CI29" s="59">
        <f t="shared" ref="CI29:CI34" si="239">4*25.4</f>
        <v>101.6</v>
      </c>
      <c r="CJ29" s="59">
        <f t="shared" ref="CJ29:CJ34" si="240">24.5*25.4</f>
        <v>622.29999999999995</v>
      </c>
      <c r="CK29" s="59">
        <f t="shared" ref="CK29:CK34" si="241">0.5*25.4</f>
        <v>12.7</v>
      </c>
      <c r="CL29" s="48">
        <f t="shared" si="219"/>
        <v>54348493.487199984</v>
      </c>
      <c r="CM29" s="48" t="s">
        <v>169</v>
      </c>
      <c r="CN29" s="72">
        <f t="shared" ref="CN29:CN34" si="242">CH29+IF(LOWER(CM29)="yes",CL29,IF(LOWER(CM29)="no",0,#N/A))</f>
        <v>34385531.491333321</v>
      </c>
      <c r="CO29" s="73">
        <f t="shared" si="133"/>
        <v>7049033955723.3311</v>
      </c>
      <c r="CP29" s="59">
        <v>0</v>
      </c>
      <c r="CQ29" s="59">
        <v>0</v>
      </c>
      <c r="CR29" s="59">
        <v>56</v>
      </c>
      <c r="CS29" s="59">
        <v>0</v>
      </c>
      <c r="CV29" s="233">
        <v>19</v>
      </c>
      <c r="CW29" s="59">
        <v>434</v>
      </c>
      <c r="CX29" s="59">
        <v>347</v>
      </c>
      <c r="CY29" s="59">
        <v>348</v>
      </c>
      <c r="CZ29" s="59">
        <f t="shared" si="201"/>
        <v>19</v>
      </c>
      <c r="DA29" s="59">
        <v>453</v>
      </c>
      <c r="DB29" s="59">
        <v>333</v>
      </c>
      <c r="DC29" s="59">
        <v>47</v>
      </c>
      <c r="DD29" s="59">
        <f t="shared" si="202"/>
        <v>19</v>
      </c>
      <c r="DE29" s="59">
        <v>413</v>
      </c>
      <c r="DF29" s="59">
        <v>366</v>
      </c>
      <c r="DG29" s="59">
        <v>96</v>
      </c>
      <c r="DH29" s="59">
        <f t="shared" si="203"/>
        <v>19</v>
      </c>
      <c r="DI29" s="47">
        <f t="shared" si="227"/>
        <v>1.2489208633093525</v>
      </c>
      <c r="DJ29" s="47">
        <f t="shared" si="228"/>
        <v>2.3842105263157896</v>
      </c>
      <c r="DK29" s="47">
        <f t="shared" si="229"/>
        <v>1.7878787878787878</v>
      </c>
      <c r="DL29" s="48">
        <f t="shared" si="140"/>
        <v>128763278.38827839</v>
      </c>
      <c r="DM29" s="48">
        <f t="shared" si="141"/>
        <v>128763278.38827839</v>
      </c>
      <c r="DN29" s="48">
        <f t="shared" si="142"/>
        <v>128763278.38827839</v>
      </c>
      <c r="DO29" s="49">
        <f t="shared" si="230"/>
        <v>1865.850473912906</v>
      </c>
      <c r="DP29" s="49">
        <f t="shared" si="231"/>
        <v>2768.5231514060342</v>
      </c>
      <c r="DQ29" s="234">
        <f t="shared" si="232"/>
        <v>1718.5727708212705</v>
      </c>
      <c r="DR29" s="58">
        <f t="shared" si="25"/>
        <v>9517.8318199837577</v>
      </c>
      <c r="DS29" s="58"/>
      <c r="DT29" s="58"/>
      <c r="DU29" s="257"/>
      <c r="DV29" s="257"/>
      <c r="DW29" s="257"/>
      <c r="DX29" s="257"/>
      <c r="DY29" s="257"/>
      <c r="DZ29" s="259"/>
      <c r="EA29" s="259"/>
      <c r="EB29" s="191" t="s">
        <v>169</v>
      </c>
      <c r="EC29" s="177"/>
      <c r="ED29" s="46" t="s">
        <v>239</v>
      </c>
      <c r="EE29" s="46" t="s">
        <v>241</v>
      </c>
      <c r="EF29" s="48">
        <v>81200000</v>
      </c>
      <c r="EG29" s="46" t="s">
        <v>197</v>
      </c>
      <c r="EH29" s="46">
        <v>3675</v>
      </c>
      <c r="EI29" s="177">
        <f t="shared" ref="EI29:EI34" si="243">IF(ISBLANK(EG29),0,IF(EG29="Pinned",3,IF(EG29="Fixed",4,#N/A))*$C$2*EF29/10^6/EH29)</f>
        <v>13588.571428571429</v>
      </c>
      <c r="EO29" s="177"/>
      <c r="EU29" s="177"/>
      <c r="FA29" s="177"/>
      <c r="FI29" s="177"/>
      <c r="FJ29" s="177">
        <f t="shared" si="109"/>
        <v>13588.571428571429</v>
      </c>
      <c r="FK29" s="46" t="s">
        <v>169</v>
      </c>
      <c r="FL29" s="177"/>
      <c r="FM29" s="46" t="s">
        <v>243</v>
      </c>
      <c r="FN29" s="46" t="s">
        <v>241</v>
      </c>
      <c r="FO29" s="48">
        <v>13700000</v>
      </c>
      <c r="FP29" s="46" t="s">
        <v>197</v>
      </c>
      <c r="FQ29" s="46">
        <v>3675</v>
      </c>
      <c r="FR29" s="177">
        <f t="shared" si="220"/>
        <v>2292.6530612244896</v>
      </c>
      <c r="FX29" s="177"/>
      <c r="GD29" s="177"/>
      <c r="GJ29" s="177"/>
      <c r="GK29" s="177">
        <f t="shared" si="34"/>
        <v>2292.6530612244896</v>
      </c>
      <c r="GL29" s="21">
        <f t="shared" si="145"/>
        <v>45</v>
      </c>
      <c r="GM29" s="21">
        <f t="shared" si="36"/>
        <v>3.6795626576955416E-5</v>
      </c>
      <c r="GN29" s="250">
        <f t="shared" si="146"/>
        <v>2.1808794730283066E-4</v>
      </c>
      <c r="GO29" s="177">
        <f t="shared" si="147"/>
        <v>3923.3599277434905</v>
      </c>
      <c r="GQ29" s="67"/>
      <c r="GR29" s="83"/>
      <c r="GS29" s="83"/>
      <c r="GT29" s="84"/>
      <c r="GU29" s="84"/>
      <c r="GV29" s="84"/>
      <c r="GW29" s="85"/>
      <c r="GX29" s="86"/>
      <c r="GY29" s="87"/>
      <c r="GZ29" s="87"/>
      <c r="HA29" s="87"/>
      <c r="HB29" s="88"/>
      <c r="HC29" s="88"/>
      <c r="HD29" s="84"/>
      <c r="HE29" s="84"/>
      <c r="HF29" s="264"/>
      <c r="HG29" s="89"/>
      <c r="HH29" s="67"/>
      <c r="HI29" s="87">
        <f t="shared" si="39"/>
        <v>7049.033955723331</v>
      </c>
      <c r="HJ29" s="87">
        <f t="shared" si="40"/>
        <v>11919.16576</v>
      </c>
      <c r="HK29" s="84">
        <f t="shared" si="41"/>
        <v>5173</v>
      </c>
      <c r="HL29" s="90">
        <f t="shared" si="42"/>
        <v>1524</v>
      </c>
      <c r="HM29" s="90">
        <f t="shared" si="43"/>
        <v>1224</v>
      </c>
      <c r="HN29" s="87">
        <f t="shared" si="111"/>
        <v>1448.8992557371996</v>
      </c>
      <c r="HO29" s="84">
        <f t="shared" si="44"/>
        <v>190</v>
      </c>
      <c r="HP29" s="90">
        <f t="shared" si="45"/>
        <v>3923.3599277434905</v>
      </c>
      <c r="HQ29" s="86">
        <f t="shared" si="192"/>
        <v>9517.8318199837577</v>
      </c>
      <c r="HR29" s="87">
        <f t="shared" si="120"/>
        <v>2802.2784564383524</v>
      </c>
      <c r="HS29" s="228">
        <f t="shared" si="47"/>
        <v>4.1721915603665876</v>
      </c>
      <c r="HT29" s="83">
        <f t="shared" si="48"/>
        <v>46666.97781414746</v>
      </c>
      <c r="HU29" s="88">
        <f t="shared" si="49"/>
        <v>0</v>
      </c>
      <c r="HV29" s="88">
        <f t="shared" si="50"/>
        <v>5.0000000000000001E-4</v>
      </c>
      <c r="HW29" s="108">
        <f t="shared" si="51"/>
        <v>0</v>
      </c>
      <c r="HX29" s="108">
        <f t="shared" si="52"/>
        <v>2</v>
      </c>
      <c r="HY29" s="264">
        <f t="shared" si="182"/>
        <v>2.1052631578947368E-2</v>
      </c>
      <c r="HZ29" s="89">
        <f t="shared" si="183"/>
        <v>35.089642226046308</v>
      </c>
      <c r="IA29" s="67"/>
      <c r="IB29" s="92">
        <f t="shared" si="54"/>
        <v>9.2594198155426487E-3</v>
      </c>
      <c r="IC29" s="86">
        <f t="shared" si="55"/>
        <v>4865.0959877377982</v>
      </c>
      <c r="ID29" s="91"/>
      <c r="IE29" s="93">
        <f t="shared" si="56"/>
        <v>0.59140329932984592</v>
      </c>
      <c r="IF29" s="93">
        <f t="shared" si="57"/>
        <v>0.28008877938086207</v>
      </c>
      <c r="IG29" s="93">
        <f t="shared" si="221"/>
        <v>9.5922008387437696</v>
      </c>
      <c r="IH29" s="268">
        <f t="shared" si="59"/>
        <v>0.8064301172334728</v>
      </c>
      <c r="II29" s="181">
        <f t="shared" si="60"/>
        <v>1.9563502639974462</v>
      </c>
      <c r="IJ29" s="93">
        <f t="shared" si="222"/>
        <v>0.57599654015076751</v>
      </c>
      <c r="IK29" s="266">
        <f t="shared" si="184"/>
        <v>8.9403508771929843E-5</v>
      </c>
      <c r="IL29" s="112">
        <f t="shared" si="223"/>
        <v>0</v>
      </c>
      <c r="IM29" s="112">
        <f t="shared" si="64"/>
        <v>2.4218138070747165E-2</v>
      </c>
      <c r="IN29" s="67"/>
      <c r="IO29" s="94">
        <f t="shared" si="152"/>
        <v>8.6890657110237008E-5</v>
      </c>
      <c r="IP29" s="94">
        <f t="shared" si="186"/>
        <v>0</v>
      </c>
      <c r="IQ29" s="94">
        <f t="shared" si="187"/>
        <v>4.7876749065489964E-2</v>
      </c>
      <c r="IR29" s="94">
        <f t="shared" si="193"/>
        <v>0.16478000000002402</v>
      </c>
      <c r="IS29" s="94"/>
      <c r="IT29" s="94">
        <f t="shared" si="188"/>
        <v>2.1057268652536137E-2</v>
      </c>
      <c r="IU29" s="94">
        <f t="shared" si="194"/>
        <v>0.35958000000021884</v>
      </c>
      <c r="IV29" s="94">
        <f t="shared" si="189"/>
        <v>5.0367898584005803E-2</v>
      </c>
      <c r="IW29" s="67"/>
      <c r="IX29" s="65">
        <f t="shared" si="224"/>
        <v>4.4557732721001528</v>
      </c>
      <c r="IY29" s="86">
        <f t="shared" si="112"/>
        <v>7049.033955723331</v>
      </c>
      <c r="IZ29" s="89">
        <f t="shared" si="113"/>
        <v>1.4488992557371996</v>
      </c>
      <c r="JA29" s="86">
        <f t="shared" si="121"/>
        <v>33140.035500859121</v>
      </c>
      <c r="JB29" s="86">
        <f t="shared" si="195"/>
        <v>697.83863069617553</v>
      </c>
      <c r="JC29" s="86">
        <f t="shared" si="196"/>
        <v>5460.8150498323621</v>
      </c>
      <c r="JD29" s="86">
        <f t="shared" si="115"/>
        <v>4.1721915603665884</v>
      </c>
      <c r="JE29" s="86">
        <f t="shared" si="116"/>
        <v>0</v>
      </c>
      <c r="JF29" s="86">
        <f t="shared" si="117"/>
        <v>4.1721915603665884</v>
      </c>
      <c r="JG29" s="58">
        <f t="shared" si="118"/>
        <v>1669.1939471776241</v>
      </c>
      <c r="JH29" s="90">
        <f t="shared" si="74"/>
        <v>1156</v>
      </c>
      <c r="JI29" s="95">
        <f t="shared" si="225"/>
        <v>1.4439394006726851</v>
      </c>
    </row>
    <row r="30" spans="1:269" s="46" customFormat="1" x14ac:dyDescent="0.25">
      <c r="C30" s="46" t="s">
        <v>22</v>
      </c>
      <c r="D30" s="59" t="s">
        <v>84</v>
      </c>
      <c r="E30" s="222">
        <v>1572</v>
      </c>
      <c r="F30" s="100">
        <f t="shared" si="211"/>
        <v>1572</v>
      </c>
      <c r="G30" s="101">
        <f>F30</f>
        <v>1572</v>
      </c>
      <c r="H30" s="59">
        <v>5173</v>
      </c>
      <c r="I30" s="59">
        <v>1224</v>
      </c>
      <c r="J30" s="68">
        <f t="shared" si="77"/>
        <v>1524</v>
      </c>
      <c r="K30" s="59">
        <v>1224</v>
      </c>
      <c r="L30" s="254">
        <v>45</v>
      </c>
      <c r="M30" s="59" t="s">
        <v>90</v>
      </c>
      <c r="N30" s="59" t="s">
        <v>94</v>
      </c>
      <c r="O30" s="69">
        <f t="shared" si="233"/>
        <v>308.19565086300003</v>
      </c>
      <c r="P30" s="69">
        <f t="shared" si="234"/>
        <v>465.39611707500001</v>
      </c>
      <c r="Q30" s="59">
        <v>162</v>
      </c>
      <c r="R30" s="59">
        <v>19</v>
      </c>
      <c r="S30" s="59"/>
      <c r="T30" s="69">
        <f t="shared" si="235"/>
        <v>3078</v>
      </c>
      <c r="U30" s="69">
        <f t="shared" si="78"/>
        <v>948.62621335631411</v>
      </c>
      <c r="V30" s="80">
        <v>1.1000000000000001</v>
      </c>
      <c r="W30" s="80">
        <v>1.4</v>
      </c>
      <c r="X30" s="62">
        <f t="shared" si="197"/>
        <v>1460.8843685687239</v>
      </c>
      <c r="Y30" s="59" t="s">
        <v>91</v>
      </c>
      <c r="Z30" s="59" t="s">
        <v>93</v>
      </c>
      <c r="AA30" s="68">
        <v>245</v>
      </c>
      <c r="AB30" s="68">
        <v>400</v>
      </c>
      <c r="AC30" s="59">
        <v>250</v>
      </c>
      <c r="AD30" s="59">
        <v>250</v>
      </c>
      <c r="AE30" s="59">
        <v>6</v>
      </c>
      <c r="AF30" s="21">
        <f t="shared" si="226"/>
        <v>58142272</v>
      </c>
      <c r="AG30" s="64">
        <f t="shared" si="128"/>
        <v>11919165760000</v>
      </c>
      <c r="AH30" s="59" t="s">
        <v>95</v>
      </c>
      <c r="AI30" s="59" t="s">
        <v>166</v>
      </c>
      <c r="AJ30" s="69">
        <f t="shared" si="236"/>
        <v>308.19565086300003</v>
      </c>
      <c r="AK30" s="69">
        <f t="shared" si="157"/>
        <v>465.39611707500001</v>
      </c>
      <c r="AL30" s="59">
        <v>208</v>
      </c>
      <c r="AM30" s="59">
        <v>208</v>
      </c>
      <c r="AN30" s="59">
        <v>19</v>
      </c>
      <c r="AO30" s="59">
        <v>19</v>
      </c>
      <c r="AP30" s="59">
        <f t="shared" si="158"/>
        <v>7543</v>
      </c>
      <c r="AQ30" s="59">
        <f t="shared" si="159"/>
        <v>3952</v>
      </c>
      <c r="AR30" s="46">
        <f t="shared" si="160"/>
        <v>14140248.083333334</v>
      </c>
      <c r="AS30" s="49">
        <f t="shared" si="161"/>
        <v>135963.92387820513</v>
      </c>
      <c r="AT30" s="49">
        <f t="shared" si="82"/>
        <v>222561.25</v>
      </c>
      <c r="AU30" s="65">
        <f t="shared" si="83"/>
        <v>68.592409300632866</v>
      </c>
      <c r="AV30" s="206">
        <f t="shared" si="7"/>
        <v>0.67621052814471261</v>
      </c>
      <c r="AW30" s="206">
        <f t="shared" si="199"/>
        <v>0.10231732352546041</v>
      </c>
      <c r="AX30" s="65">
        <f t="shared" si="84"/>
        <v>61.574217566829212</v>
      </c>
      <c r="AY30" s="59">
        <v>190</v>
      </c>
      <c r="AZ30" s="59">
        <v>190</v>
      </c>
      <c r="BA30" s="70">
        <f t="shared" si="237"/>
        <v>0.91346153846153844</v>
      </c>
      <c r="BB30" s="66">
        <v>0</v>
      </c>
      <c r="BC30" s="109">
        <f t="shared" si="10"/>
        <v>5.0000000000000001E-4</v>
      </c>
      <c r="BD30" s="68">
        <v>0</v>
      </c>
      <c r="BE30" s="71">
        <v>2</v>
      </c>
      <c r="BF30" s="65">
        <f t="shared" si="11"/>
        <v>30.354921052631578</v>
      </c>
      <c r="BG30" s="191">
        <f t="shared" si="162"/>
        <v>245</v>
      </c>
      <c r="BH30" s="46">
        <f t="shared" si="163"/>
        <v>250</v>
      </c>
      <c r="BI30" s="46">
        <f t="shared" si="164"/>
        <v>6</v>
      </c>
      <c r="BJ30" s="46">
        <f t="shared" si="165"/>
        <v>208</v>
      </c>
      <c r="BK30" s="46">
        <f t="shared" si="166"/>
        <v>208</v>
      </c>
      <c r="BL30" s="46">
        <f t="shared" si="167"/>
        <v>190</v>
      </c>
      <c r="BM30" s="49">
        <f t="shared" si="168"/>
        <v>21</v>
      </c>
      <c r="BN30" s="49">
        <f t="shared" si="169"/>
        <v>57.835974963685018</v>
      </c>
      <c r="BO30" s="49">
        <f t="shared" si="170"/>
        <v>60.11287924703079</v>
      </c>
      <c r="BP30" s="208">
        <f t="shared" si="171"/>
        <v>1.198370675445143E-2</v>
      </c>
      <c r="BQ30" s="58">
        <f t="shared" si="172"/>
        <v>2787.005734687436</v>
      </c>
      <c r="BR30" s="58">
        <f t="shared" si="173"/>
        <v>33.398659447468695</v>
      </c>
      <c r="BS30" s="49">
        <f t="shared" si="174"/>
        <v>10.5</v>
      </c>
      <c r="BT30" s="61">
        <f t="shared" si="175"/>
        <v>1.6986666666666667E-2</v>
      </c>
      <c r="BU30" s="208">
        <f t="shared" si="176"/>
        <v>8.940350877192983E-5</v>
      </c>
      <c r="BV30" s="58">
        <f t="shared" si="190"/>
        <v>46666.97781414746</v>
      </c>
      <c r="BW30" s="203">
        <f t="shared" si="191"/>
        <v>4.1721915603665876</v>
      </c>
      <c r="BX30" s="58">
        <f t="shared" si="177"/>
        <v>4.1721915603665876</v>
      </c>
      <c r="BY30" s="58">
        <f t="shared" si="178"/>
        <v>46666.97781414746</v>
      </c>
      <c r="CA30" s="59" t="s">
        <v>95</v>
      </c>
      <c r="CB30" s="59" t="s">
        <v>173</v>
      </c>
      <c r="CC30" s="69">
        <f t="shared" si="238"/>
        <v>308.19565086300003</v>
      </c>
      <c r="CD30" s="69">
        <f t="shared" si="238"/>
        <v>465.39611707500001</v>
      </c>
      <c r="CE30" s="59">
        <v>279.39999999999998</v>
      </c>
      <c r="CF30" s="59">
        <v>279.39999999999998</v>
      </c>
      <c r="CG30" s="59">
        <v>19</v>
      </c>
      <c r="CH30" s="48">
        <f t="shared" si="218"/>
        <v>34385531.491333321</v>
      </c>
      <c r="CI30" s="59">
        <f t="shared" si="239"/>
        <v>101.6</v>
      </c>
      <c r="CJ30" s="59">
        <f t="shared" si="240"/>
        <v>622.29999999999995</v>
      </c>
      <c r="CK30" s="59">
        <f t="shared" si="241"/>
        <v>12.7</v>
      </c>
      <c r="CL30" s="48">
        <f t="shared" si="219"/>
        <v>54348493.487199984</v>
      </c>
      <c r="CM30" s="48" t="s">
        <v>169</v>
      </c>
      <c r="CN30" s="72">
        <f t="shared" si="242"/>
        <v>34385531.491333321</v>
      </c>
      <c r="CO30" s="73">
        <f t="shared" si="133"/>
        <v>7049033955723.3311</v>
      </c>
      <c r="CP30" s="59">
        <v>0</v>
      </c>
      <c r="CQ30" s="59">
        <v>0</v>
      </c>
      <c r="CR30" s="59">
        <v>56</v>
      </c>
      <c r="CS30" s="59">
        <v>15</v>
      </c>
      <c r="CV30" s="233">
        <v>19</v>
      </c>
      <c r="CW30" s="59">
        <v>436</v>
      </c>
      <c r="CX30" s="59">
        <v>289</v>
      </c>
      <c r="CY30" s="59">
        <v>290</v>
      </c>
      <c r="CZ30" s="59">
        <f t="shared" si="201"/>
        <v>19</v>
      </c>
      <c r="DA30" s="59">
        <v>372</v>
      </c>
      <c r="DB30" s="59">
        <v>339</v>
      </c>
      <c r="DC30" s="59">
        <v>49</v>
      </c>
      <c r="DD30" s="59">
        <f t="shared" si="202"/>
        <v>19</v>
      </c>
      <c r="DE30" s="59">
        <v>333</v>
      </c>
      <c r="DF30" s="59">
        <v>379</v>
      </c>
      <c r="DG30" s="59">
        <v>97</v>
      </c>
      <c r="DH30" s="59">
        <f t="shared" si="203"/>
        <v>19</v>
      </c>
      <c r="DI30" s="47">
        <f t="shared" si="227"/>
        <v>1.5060449050086355</v>
      </c>
      <c r="DJ30" s="47">
        <f t="shared" si="228"/>
        <v>1.9175257731958764</v>
      </c>
      <c r="DK30" s="47">
        <f t="shared" si="229"/>
        <v>1.3991596638655461</v>
      </c>
      <c r="DL30" s="48">
        <f t="shared" si="140"/>
        <v>128763278.38827839</v>
      </c>
      <c r="DM30" s="48">
        <f t="shared" si="141"/>
        <v>128763278.38827839</v>
      </c>
      <c r="DN30" s="48">
        <f t="shared" si="142"/>
        <v>128763278.38827839</v>
      </c>
      <c r="DO30" s="49">
        <f t="shared" si="230"/>
        <v>1928.3265395690714</v>
      </c>
      <c r="DP30" s="49">
        <f t="shared" si="231"/>
        <v>2148.492485713833</v>
      </c>
      <c r="DQ30" s="234">
        <f t="shared" si="232"/>
        <v>1254.2406785525675</v>
      </c>
      <c r="DR30" s="58">
        <f t="shared" si="25"/>
        <v>7986.8657028534117</v>
      </c>
      <c r="DS30" s="58"/>
      <c r="DT30" s="58"/>
      <c r="DU30" s="257"/>
      <c r="DV30" s="257"/>
      <c r="DW30" s="257"/>
      <c r="DX30" s="257"/>
      <c r="DY30" s="257"/>
      <c r="DZ30" s="259"/>
      <c r="EA30" s="259"/>
      <c r="EB30" s="191" t="s">
        <v>169</v>
      </c>
      <c r="EC30" s="177"/>
      <c r="ED30" s="46" t="s">
        <v>239</v>
      </c>
      <c r="EE30" s="46" t="s">
        <v>241</v>
      </c>
      <c r="EF30" s="48">
        <v>81200000</v>
      </c>
      <c r="EG30" s="46" t="s">
        <v>197</v>
      </c>
      <c r="EH30" s="46">
        <v>3675</v>
      </c>
      <c r="EI30" s="177">
        <f t="shared" si="243"/>
        <v>13588.571428571429</v>
      </c>
      <c r="EO30" s="177"/>
      <c r="EU30" s="177"/>
      <c r="FA30" s="177"/>
      <c r="FI30" s="177"/>
      <c r="FJ30" s="177">
        <f t="shared" si="109"/>
        <v>13588.571428571429</v>
      </c>
      <c r="FK30" s="46" t="s">
        <v>169</v>
      </c>
      <c r="FL30" s="177"/>
      <c r="FM30" s="46" t="s">
        <v>243</v>
      </c>
      <c r="FN30" s="46" t="s">
        <v>241</v>
      </c>
      <c r="FO30" s="48">
        <v>13700000</v>
      </c>
      <c r="FP30" s="46" t="s">
        <v>197</v>
      </c>
      <c r="FQ30" s="46">
        <v>3675</v>
      </c>
      <c r="FR30" s="177">
        <f t="shared" si="220"/>
        <v>2292.6530612244896</v>
      </c>
      <c r="FX30" s="177"/>
      <c r="GD30" s="177"/>
      <c r="GJ30" s="177"/>
      <c r="GK30" s="177">
        <f t="shared" si="34"/>
        <v>2292.6530612244896</v>
      </c>
      <c r="GL30" s="21">
        <f t="shared" si="145"/>
        <v>45</v>
      </c>
      <c r="GM30" s="21">
        <f t="shared" si="36"/>
        <v>3.6795626576955416E-5</v>
      </c>
      <c r="GN30" s="250">
        <f t="shared" si="146"/>
        <v>2.1808794730283066E-4</v>
      </c>
      <c r="GO30" s="177">
        <f t="shared" si="147"/>
        <v>3923.3599277434905</v>
      </c>
      <c r="GQ30" s="67"/>
      <c r="GR30" s="83"/>
      <c r="GS30" s="83"/>
      <c r="GT30" s="84"/>
      <c r="GU30" s="84"/>
      <c r="GV30" s="84"/>
      <c r="GW30" s="85"/>
      <c r="GX30" s="86"/>
      <c r="GY30" s="87"/>
      <c r="GZ30" s="87"/>
      <c r="HA30" s="87"/>
      <c r="HB30" s="88"/>
      <c r="HC30" s="88"/>
      <c r="HD30" s="84"/>
      <c r="HE30" s="84"/>
      <c r="HF30" s="264"/>
      <c r="HG30" s="89"/>
      <c r="HH30" s="67"/>
      <c r="HI30" s="87">
        <f t="shared" si="39"/>
        <v>7049.033955723331</v>
      </c>
      <c r="HJ30" s="87">
        <f t="shared" si="40"/>
        <v>11919.16576</v>
      </c>
      <c r="HK30" s="84">
        <f t="shared" si="41"/>
        <v>5173</v>
      </c>
      <c r="HL30" s="90">
        <f t="shared" si="42"/>
        <v>1524</v>
      </c>
      <c r="HM30" s="90">
        <f t="shared" si="43"/>
        <v>1224</v>
      </c>
      <c r="HN30" s="87">
        <f t="shared" si="111"/>
        <v>1438.664497061244</v>
      </c>
      <c r="HO30" s="84">
        <f t="shared" si="44"/>
        <v>190</v>
      </c>
      <c r="HP30" s="90">
        <f t="shared" si="45"/>
        <v>3923.3599277434905</v>
      </c>
      <c r="HQ30" s="86">
        <f t="shared" si="192"/>
        <v>7986.8657028534117</v>
      </c>
      <c r="HR30" s="87">
        <f t="shared" si="120"/>
        <v>2655.8611269553376</v>
      </c>
      <c r="HS30" s="228">
        <f t="shared" si="47"/>
        <v>4.1721915603665876</v>
      </c>
      <c r="HT30" s="83">
        <f t="shared" si="48"/>
        <v>46666.97781414746</v>
      </c>
      <c r="HU30" s="88">
        <f t="shared" si="49"/>
        <v>0</v>
      </c>
      <c r="HV30" s="88">
        <f t="shared" si="50"/>
        <v>5.0000000000000001E-4</v>
      </c>
      <c r="HW30" s="108">
        <f t="shared" si="51"/>
        <v>0</v>
      </c>
      <c r="HX30" s="108">
        <f t="shared" si="52"/>
        <v>2</v>
      </c>
      <c r="HY30" s="264">
        <f t="shared" si="182"/>
        <v>2.1052631578947368E-2</v>
      </c>
      <c r="HZ30" s="89">
        <f t="shared" si="183"/>
        <v>34.874173622341978</v>
      </c>
      <c r="IA30" s="67"/>
      <c r="IB30" s="92">
        <f t="shared" si="54"/>
        <v>9.3427249010652972E-3</v>
      </c>
      <c r="IC30" s="86">
        <f t="shared" si="55"/>
        <v>4899.7066168814017</v>
      </c>
      <c r="ID30" s="91"/>
      <c r="IE30" s="93">
        <f t="shared" si="56"/>
        <v>0.59140329932984592</v>
      </c>
      <c r="IF30" s="93">
        <f t="shared" si="57"/>
        <v>0.27811028359969919</v>
      </c>
      <c r="IG30" s="93">
        <f t="shared" si="221"/>
        <v>9.5244432908210275</v>
      </c>
      <c r="IH30" s="268">
        <f t="shared" si="59"/>
        <v>0.80073364275036063</v>
      </c>
      <c r="II30" s="181">
        <f t="shared" si="60"/>
        <v>1.630070191414225</v>
      </c>
      <c r="IJ30" s="93">
        <f t="shared" si="222"/>
        <v>0.54204492934431203</v>
      </c>
      <c r="IK30" s="266">
        <f t="shared" si="184"/>
        <v>8.9403508771929843E-5</v>
      </c>
      <c r="IL30" s="112">
        <f t="shared" si="223"/>
        <v>0</v>
      </c>
      <c r="IM30" s="112">
        <f t="shared" si="64"/>
        <v>2.4240657702737058E-2</v>
      </c>
      <c r="IN30" s="67"/>
      <c r="IO30" s="94">
        <f t="shared" si="152"/>
        <v>8.6276877440465567E-5</v>
      </c>
      <c r="IP30" s="94">
        <f t="shared" si="186"/>
        <v>0</v>
      </c>
      <c r="IQ30" s="94">
        <f t="shared" si="187"/>
        <v>4.5569089628564416E-2</v>
      </c>
      <c r="IR30" s="94">
        <f t="shared" si="193"/>
        <v>0.16018000000001942</v>
      </c>
      <c r="IS30" s="94"/>
      <c r="IT30" s="94">
        <f t="shared" si="188"/>
        <v>2.0222624748604093E-2</v>
      </c>
      <c r="IU30" s="94">
        <f t="shared" si="194"/>
        <v>0.35178000000021103</v>
      </c>
      <c r="IV30" s="94">
        <f t="shared" si="189"/>
        <v>4.8060374376420002E-2</v>
      </c>
      <c r="IW30" s="67"/>
      <c r="IX30" s="65">
        <f t="shared" si="224"/>
        <v>4.5614868294309119</v>
      </c>
      <c r="IY30" s="86">
        <f t="shared" si="112"/>
        <v>7049.033955723331</v>
      </c>
      <c r="IZ30" s="89">
        <f t="shared" si="113"/>
        <v>1.4386644970612439</v>
      </c>
      <c r="JA30" s="86">
        <f t="shared" si="121"/>
        <v>33613.233723915779</v>
      </c>
      <c r="JB30" s="86">
        <f t="shared" si="195"/>
        <v>679.74781218587293</v>
      </c>
      <c r="JC30" s="86">
        <f t="shared" si="196"/>
        <v>5384.1677778974818</v>
      </c>
      <c r="JD30" s="86">
        <f t="shared" si="115"/>
        <v>4.1721915603665884</v>
      </c>
      <c r="JE30" s="86">
        <f t="shared" si="116"/>
        <v>0</v>
      </c>
      <c r="JF30" s="86">
        <f t="shared" si="117"/>
        <v>4.1721915603665884</v>
      </c>
      <c r="JG30" s="58">
        <f t="shared" si="118"/>
        <v>1615.4645967734984</v>
      </c>
      <c r="JH30" s="90">
        <f t="shared" si="74"/>
        <v>1572</v>
      </c>
      <c r="JI30" s="95">
        <f t="shared" si="225"/>
        <v>1.0276492345887394</v>
      </c>
    </row>
    <row r="31" spans="1:269" s="46" customFormat="1" x14ac:dyDescent="0.25">
      <c r="C31" s="46" t="s">
        <v>23</v>
      </c>
      <c r="D31" s="59" t="s">
        <v>84</v>
      </c>
      <c r="E31" s="222">
        <v>1541</v>
      </c>
      <c r="F31" s="100">
        <f t="shared" si="211"/>
        <v>1541</v>
      </c>
      <c r="G31" s="101">
        <f>F31</f>
        <v>1541</v>
      </c>
      <c r="H31" s="59">
        <v>5173</v>
      </c>
      <c r="I31" s="59">
        <v>1224</v>
      </c>
      <c r="J31" s="68">
        <f t="shared" si="77"/>
        <v>1524</v>
      </c>
      <c r="K31" s="59">
        <v>1224</v>
      </c>
      <c r="L31" s="254">
        <v>45</v>
      </c>
      <c r="M31" s="59" t="s">
        <v>90</v>
      </c>
      <c r="N31" s="59" t="s">
        <v>94</v>
      </c>
      <c r="O31" s="69">
        <f t="shared" si="233"/>
        <v>308.19565086300003</v>
      </c>
      <c r="P31" s="69">
        <f t="shared" si="234"/>
        <v>465.39611707500001</v>
      </c>
      <c r="Q31" s="59">
        <v>162</v>
      </c>
      <c r="R31" s="59">
        <v>19</v>
      </c>
      <c r="S31" s="59"/>
      <c r="T31" s="69">
        <f t="shared" si="235"/>
        <v>3078</v>
      </c>
      <c r="U31" s="69">
        <f t="shared" si="78"/>
        <v>948.62621335631411</v>
      </c>
      <c r="V31" s="80">
        <v>1.1000000000000001</v>
      </c>
      <c r="W31" s="80">
        <v>1.4</v>
      </c>
      <c r="X31" s="62">
        <f t="shared" si="197"/>
        <v>1460.8843685687239</v>
      </c>
      <c r="Y31" s="59" t="s">
        <v>91</v>
      </c>
      <c r="Z31" s="59" t="s">
        <v>93</v>
      </c>
      <c r="AA31" s="68">
        <v>245</v>
      </c>
      <c r="AB31" s="68">
        <v>400</v>
      </c>
      <c r="AC31" s="59">
        <v>250</v>
      </c>
      <c r="AD31" s="59">
        <v>250</v>
      </c>
      <c r="AE31" s="59">
        <v>6</v>
      </c>
      <c r="AF31" s="21">
        <f t="shared" si="226"/>
        <v>58142272</v>
      </c>
      <c r="AG31" s="64">
        <f t="shared" si="128"/>
        <v>11919165760000</v>
      </c>
      <c r="AH31" s="59" t="s">
        <v>95</v>
      </c>
      <c r="AI31" s="59" t="s">
        <v>166</v>
      </c>
      <c r="AJ31" s="69">
        <f t="shared" si="236"/>
        <v>308.19565086300003</v>
      </c>
      <c r="AK31" s="69">
        <f t="shared" si="157"/>
        <v>465.39611707500001</v>
      </c>
      <c r="AL31" s="59">
        <v>208</v>
      </c>
      <c r="AM31" s="59">
        <v>208</v>
      </c>
      <c r="AN31" s="59">
        <v>19</v>
      </c>
      <c r="AO31" s="59">
        <v>19</v>
      </c>
      <c r="AP31" s="59">
        <f t="shared" si="158"/>
        <v>7543</v>
      </c>
      <c r="AQ31" s="59">
        <f t="shared" si="159"/>
        <v>3952</v>
      </c>
      <c r="AR31" s="46">
        <f t="shared" si="160"/>
        <v>14140248.083333334</v>
      </c>
      <c r="AS31" s="49">
        <f t="shared" si="161"/>
        <v>135963.92387820513</v>
      </c>
      <c r="AT31" s="49">
        <f t="shared" si="82"/>
        <v>222561.25</v>
      </c>
      <c r="AU31" s="65">
        <f t="shared" si="83"/>
        <v>68.592409300632866</v>
      </c>
      <c r="AV31" s="206">
        <f t="shared" si="7"/>
        <v>0.66287558770419985</v>
      </c>
      <c r="AW31" s="206">
        <f t="shared" si="199"/>
        <v>8.5182470599676305E-2</v>
      </c>
      <c r="AX31" s="65">
        <f t="shared" si="84"/>
        <v>62.74953841202074</v>
      </c>
      <c r="AY31" s="59">
        <v>190</v>
      </c>
      <c r="AZ31" s="59">
        <v>190</v>
      </c>
      <c r="BA31" s="70">
        <f t="shared" si="237"/>
        <v>0.91346153846153844</v>
      </c>
      <c r="BB31" s="66">
        <v>0</v>
      </c>
      <c r="BC31" s="109">
        <f t="shared" si="10"/>
        <v>5.0000000000000001E-4</v>
      </c>
      <c r="BD31" s="68">
        <v>0</v>
      </c>
      <c r="BE31" s="71">
        <v>2</v>
      </c>
      <c r="BF31" s="65">
        <f t="shared" si="11"/>
        <v>30.354921052631578</v>
      </c>
      <c r="BG31" s="191">
        <f t="shared" si="162"/>
        <v>245</v>
      </c>
      <c r="BH31" s="46">
        <f t="shared" si="163"/>
        <v>250</v>
      </c>
      <c r="BI31" s="46">
        <f t="shared" si="164"/>
        <v>6</v>
      </c>
      <c r="BJ31" s="46">
        <f t="shared" si="165"/>
        <v>208</v>
      </c>
      <c r="BK31" s="46">
        <f t="shared" si="166"/>
        <v>208</v>
      </c>
      <c r="BL31" s="46">
        <f t="shared" si="167"/>
        <v>190</v>
      </c>
      <c r="BM31" s="49">
        <f t="shared" si="168"/>
        <v>21</v>
      </c>
      <c r="BN31" s="49">
        <f t="shared" si="169"/>
        <v>57.835974963685018</v>
      </c>
      <c r="BO31" s="49">
        <f t="shared" si="170"/>
        <v>60.11287924703079</v>
      </c>
      <c r="BP31" s="208">
        <f t="shared" si="171"/>
        <v>1.198370675445143E-2</v>
      </c>
      <c r="BQ31" s="58">
        <f t="shared" si="172"/>
        <v>2787.005734687436</v>
      </c>
      <c r="BR31" s="58">
        <f t="shared" si="173"/>
        <v>33.398659447468695</v>
      </c>
      <c r="BS31" s="49">
        <f t="shared" si="174"/>
        <v>10.5</v>
      </c>
      <c r="BT31" s="61">
        <f t="shared" si="175"/>
        <v>1.6986666666666667E-2</v>
      </c>
      <c r="BU31" s="208">
        <f t="shared" si="176"/>
        <v>8.940350877192983E-5</v>
      </c>
      <c r="BV31" s="58">
        <f t="shared" si="190"/>
        <v>46666.97781414746</v>
      </c>
      <c r="BW31" s="203">
        <f t="shared" si="191"/>
        <v>4.1721915603665876</v>
      </c>
      <c r="BX31" s="58">
        <f t="shared" si="177"/>
        <v>4.1721915603665876</v>
      </c>
      <c r="BY31" s="58">
        <f t="shared" si="178"/>
        <v>46666.97781414746</v>
      </c>
      <c r="CA31" s="59" t="s">
        <v>95</v>
      </c>
      <c r="CB31" s="59" t="s">
        <v>173</v>
      </c>
      <c r="CC31" s="69">
        <f t="shared" si="238"/>
        <v>308.19565086300003</v>
      </c>
      <c r="CD31" s="69">
        <f t="shared" si="238"/>
        <v>465.39611707500001</v>
      </c>
      <c r="CE31" s="59">
        <v>279.39999999999998</v>
      </c>
      <c r="CF31" s="59">
        <v>279.39999999999998</v>
      </c>
      <c r="CG31" s="59">
        <v>19</v>
      </c>
      <c r="CH31" s="48">
        <f t="shared" si="218"/>
        <v>34385531.491333321</v>
      </c>
      <c r="CI31" s="59">
        <f t="shared" si="239"/>
        <v>101.6</v>
      </c>
      <c r="CJ31" s="59">
        <f t="shared" si="240"/>
        <v>622.29999999999995</v>
      </c>
      <c r="CK31" s="59">
        <f t="shared" si="241"/>
        <v>12.7</v>
      </c>
      <c r="CL31" s="48">
        <f t="shared" si="219"/>
        <v>54348493.487199984</v>
      </c>
      <c r="CM31" s="48" t="s">
        <v>169</v>
      </c>
      <c r="CN31" s="72">
        <f t="shared" si="242"/>
        <v>34385531.491333321</v>
      </c>
      <c r="CO31" s="73">
        <f t="shared" si="133"/>
        <v>7049033955723.3311</v>
      </c>
      <c r="CP31" s="59">
        <v>0</v>
      </c>
      <c r="CQ31" s="59">
        <v>0</v>
      </c>
      <c r="CR31" s="59">
        <v>56</v>
      </c>
      <c r="CS31" s="59">
        <v>15</v>
      </c>
      <c r="CV31" s="233">
        <v>19</v>
      </c>
      <c r="CW31" s="59">
        <v>436</v>
      </c>
      <c r="CX31" s="59">
        <v>289</v>
      </c>
      <c r="CY31" s="59">
        <v>290</v>
      </c>
      <c r="CZ31" s="59">
        <f>$CV31</f>
        <v>19</v>
      </c>
      <c r="DA31" s="59">
        <v>372</v>
      </c>
      <c r="DB31" s="59">
        <v>339</v>
      </c>
      <c r="DC31" s="59">
        <v>49</v>
      </c>
      <c r="DD31" s="59">
        <f>$CV31</f>
        <v>19</v>
      </c>
      <c r="DE31" s="59">
        <v>333</v>
      </c>
      <c r="DF31" s="59">
        <v>379</v>
      </c>
      <c r="DG31" s="59">
        <v>97</v>
      </c>
      <c r="DH31" s="59">
        <f>$CV31</f>
        <v>19</v>
      </c>
      <c r="DI31" s="47">
        <f t="shared" si="227"/>
        <v>1.5060449050086355</v>
      </c>
      <c r="DJ31" s="47">
        <f t="shared" si="228"/>
        <v>1.9175257731958764</v>
      </c>
      <c r="DK31" s="47">
        <f t="shared" si="229"/>
        <v>1.3991596638655461</v>
      </c>
      <c r="DL31" s="48">
        <f t="shared" si="140"/>
        <v>128763278.38827839</v>
      </c>
      <c r="DM31" s="48">
        <f t="shared" si="141"/>
        <v>128763278.38827839</v>
      </c>
      <c r="DN31" s="48">
        <f t="shared" si="142"/>
        <v>128763278.38827839</v>
      </c>
      <c r="DO31" s="49">
        <f t="shared" si="230"/>
        <v>1928.3265395690714</v>
      </c>
      <c r="DP31" s="49">
        <f t="shared" si="231"/>
        <v>2148.492485713833</v>
      </c>
      <c r="DQ31" s="234">
        <f t="shared" si="232"/>
        <v>1254.2406785525675</v>
      </c>
      <c r="DR31" s="58">
        <f t="shared" si="25"/>
        <v>7986.8657028534117</v>
      </c>
      <c r="DS31" s="58"/>
      <c r="DT31" s="58"/>
      <c r="DU31" s="257"/>
      <c r="DV31" s="257"/>
      <c r="DW31" s="257"/>
      <c r="DX31" s="257"/>
      <c r="DY31" s="257"/>
      <c r="DZ31" s="259"/>
      <c r="EA31" s="259"/>
      <c r="EB31" s="191" t="s">
        <v>169</v>
      </c>
      <c r="EC31" s="177"/>
      <c r="ED31" s="46" t="s">
        <v>239</v>
      </c>
      <c r="EE31" s="46" t="s">
        <v>241</v>
      </c>
      <c r="EF31" s="48">
        <v>81200000</v>
      </c>
      <c r="EG31" s="46" t="s">
        <v>197</v>
      </c>
      <c r="EH31" s="46">
        <v>3675</v>
      </c>
      <c r="EI31" s="177">
        <f t="shared" si="243"/>
        <v>13588.571428571429</v>
      </c>
      <c r="EO31" s="177"/>
      <c r="EU31" s="177"/>
      <c r="FA31" s="177"/>
      <c r="FI31" s="177"/>
      <c r="FJ31" s="177">
        <f t="shared" si="109"/>
        <v>13588.571428571429</v>
      </c>
      <c r="FK31" s="46" t="s">
        <v>169</v>
      </c>
      <c r="FL31" s="177"/>
      <c r="FM31" s="46" t="s">
        <v>243</v>
      </c>
      <c r="FN31" s="46" t="s">
        <v>241</v>
      </c>
      <c r="FO31" s="48">
        <v>13700000</v>
      </c>
      <c r="FP31" s="46" t="s">
        <v>197</v>
      </c>
      <c r="FQ31" s="46">
        <v>3675</v>
      </c>
      <c r="FR31" s="177">
        <f t="shared" si="220"/>
        <v>2292.6530612244896</v>
      </c>
      <c r="FX31" s="177"/>
      <c r="GD31" s="177"/>
      <c r="GJ31" s="177"/>
      <c r="GK31" s="177">
        <f t="shared" si="34"/>
        <v>2292.6530612244896</v>
      </c>
      <c r="GL31" s="21">
        <f t="shared" si="145"/>
        <v>45</v>
      </c>
      <c r="GM31" s="21">
        <f t="shared" si="36"/>
        <v>3.6795626576955416E-5</v>
      </c>
      <c r="GN31" s="250">
        <f t="shared" si="146"/>
        <v>2.1808794730283066E-4</v>
      </c>
      <c r="GO31" s="177">
        <f t="shared" si="147"/>
        <v>3923.3599277434905</v>
      </c>
      <c r="GQ31" s="67"/>
      <c r="GR31" s="83"/>
      <c r="GS31" s="83"/>
      <c r="GT31" s="84"/>
      <c r="GU31" s="84"/>
      <c r="GV31" s="84"/>
      <c r="GW31" s="85"/>
      <c r="GX31" s="86"/>
      <c r="GY31" s="87"/>
      <c r="GZ31" s="87"/>
      <c r="HA31" s="87"/>
      <c r="HB31" s="88"/>
      <c r="HC31" s="88"/>
      <c r="HD31" s="84"/>
      <c r="HE31" s="84"/>
      <c r="HF31" s="264"/>
      <c r="HG31" s="89"/>
      <c r="HH31" s="67"/>
      <c r="HI31" s="87">
        <f t="shared" si="39"/>
        <v>7049.033955723331</v>
      </c>
      <c r="HJ31" s="87">
        <f t="shared" si="40"/>
        <v>11919.16576</v>
      </c>
      <c r="HK31" s="84">
        <f t="shared" si="41"/>
        <v>5173</v>
      </c>
      <c r="HL31" s="90">
        <f t="shared" si="42"/>
        <v>1524</v>
      </c>
      <c r="HM31" s="90">
        <f t="shared" si="43"/>
        <v>1224</v>
      </c>
      <c r="HN31" s="87">
        <f t="shared" si="111"/>
        <v>1438.664497061244</v>
      </c>
      <c r="HO31" s="84">
        <f t="shared" si="44"/>
        <v>190</v>
      </c>
      <c r="HP31" s="90">
        <f t="shared" si="45"/>
        <v>3923.3599277434905</v>
      </c>
      <c r="HQ31" s="86">
        <f t="shared" si="192"/>
        <v>7986.8657028534117</v>
      </c>
      <c r="HR31" s="87">
        <f t="shared" si="120"/>
        <v>2655.8611269553376</v>
      </c>
      <c r="HS31" s="228">
        <f t="shared" si="47"/>
        <v>4.1721915603665876</v>
      </c>
      <c r="HT31" s="83">
        <f t="shared" si="48"/>
        <v>46666.97781414746</v>
      </c>
      <c r="HU31" s="88">
        <f t="shared" si="49"/>
        <v>0</v>
      </c>
      <c r="HV31" s="88">
        <f t="shared" si="50"/>
        <v>5.0000000000000001E-4</v>
      </c>
      <c r="HW31" s="108">
        <f t="shared" si="51"/>
        <v>0</v>
      </c>
      <c r="HX31" s="108">
        <f t="shared" si="52"/>
        <v>2</v>
      </c>
      <c r="HY31" s="264">
        <f t="shared" si="182"/>
        <v>2.1052631578947368E-2</v>
      </c>
      <c r="HZ31" s="89">
        <f t="shared" si="183"/>
        <v>34.874173622341978</v>
      </c>
      <c r="IA31" s="67"/>
      <c r="IB31" s="92">
        <f t="shared" si="54"/>
        <v>9.3427249010652972E-3</v>
      </c>
      <c r="IC31" s="86">
        <f t="shared" si="55"/>
        <v>4899.7066168814017</v>
      </c>
      <c r="ID31" s="91"/>
      <c r="IE31" s="93">
        <f t="shared" si="56"/>
        <v>0.59140329932984592</v>
      </c>
      <c r="IF31" s="93">
        <f t="shared" si="57"/>
        <v>0.27811028359969919</v>
      </c>
      <c r="IG31" s="93">
        <f t="shared" si="221"/>
        <v>9.5244432908210275</v>
      </c>
      <c r="IH31" s="268">
        <f t="shared" si="59"/>
        <v>0.80073364275036063</v>
      </c>
      <c r="II31" s="181">
        <f t="shared" si="60"/>
        <v>1.630070191414225</v>
      </c>
      <c r="IJ31" s="93">
        <f t="shared" si="222"/>
        <v>0.54204492934431203</v>
      </c>
      <c r="IK31" s="266">
        <f t="shared" si="184"/>
        <v>8.9403508771929843E-5</v>
      </c>
      <c r="IL31" s="112">
        <f t="shared" si="223"/>
        <v>0</v>
      </c>
      <c r="IM31" s="112">
        <f t="shared" si="64"/>
        <v>2.4240657702737058E-2</v>
      </c>
      <c r="IN31" s="67"/>
      <c r="IO31" s="94">
        <f t="shared" si="152"/>
        <v>8.6276877440465567E-5</v>
      </c>
      <c r="IP31" s="94">
        <f t="shared" si="186"/>
        <v>0</v>
      </c>
      <c r="IQ31" s="94">
        <f t="shared" si="187"/>
        <v>4.5569089628564416E-2</v>
      </c>
      <c r="IR31" s="94">
        <f t="shared" si="193"/>
        <v>0.16018000000001942</v>
      </c>
      <c r="IS31" s="94"/>
      <c r="IT31" s="94">
        <f t="shared" si="188"/>
        <v>2.0222624748604093E-2</v>
      </c>
      <c r="IU31" s="94">
        <f t="shared" si="194"/>
        <v>0.35178000000021103</v>
      </c>
      <c r="IV31" s="94">
        <f t="shared" si="189"/>
        <v>4.8060374376420002E-2</v>
      </c>
      <c r="IW31" s="67"/>
      <c r="IX31" s="65">
        <f t="shared" si="224"/>
        <v>4.5614868294309119</v>
      </c>
      <c r="IY31" s="86">
        <f t="shared" si="112"/>
        <v>7049.033955723331</v>
      </c>
      <c r="IZ31" s="89">
        <f t="shared" si="113"/>
        <v>1.4386644970612439</v>
      </c>
      <c r="JA31" s="86">
        <f t="shared" si="121"/>
        <v>33613.233723915779</v>
      </c>
      <c r="JB31" s="86">
        <f t="shared" si="195"/>
        <v>679.74781218587293</v>
      </c>
      <c r="JC31" s="86">
        <f t="shared" si="196"/>
        <v>5384.1677778974818</v>
      </c>
      <c r="JD31" s="86">
        <f t="shared" si="115"/>
        <v>4.1721915603665884</v>
      </c>
      <c r="JE31" s="86">
        <f t="shared" si="116"/>
        <v>0</v>
      </c>
      <c r="JF31" s="86">
        <f t="shared" si="117"/>
        <v>4.1721915603665884</v>
      </c>
      <c r="JG31" s="58">
        <f t="shared" si="118"/>
        <v>1615.4645967734984</v>
      </c>
      <c r="JH31" s="90">
        <f t="shared" si="74"/>
        <v>1541</v>
      </c>
      <c r="JI31" s="95">
        <f t="shared" si="225"/>
        <v>1.0483222561800769</v>
      </c>
    </row>
    <row r="32" spans="1:269" s="46" customFormat="1" x14ac:dyDescent="0.25">
      <c r="C32" s="46" t="s">
        <v>24</v>
      </c>
      <c r="D32" s="59" t="s">
        <v>84</v>
      </c>
      <c r="E32" s="222">
        <v>989</v>
      </c>
      <c r="F32" s="100">
        <f t="shared" si="211"/>
        <v>989</v>
      </c>
      <c r="G32" s="101">
        <f>F32</f>
        <v>989</v>
      </c>
      <c r="H32" s="59">
        <v>5173</v>
      </c>
      <c r="I32" s="59">
        <v>1224</v>
      </c>
      <c r="J32" s="68">
        <f t="shared" si="77"/>
        <v>1524</v>
      </c>
      <c r="K32" s="59">
        <v>1224</v>
      </c>
      <c r="L32" s="254">
        <v>45</v>
      </c>
      <c r="M32" s="59" t="s">
        <v>90</v>
      </c>
      <c r="N32" s="59" t="s">
        <v>94</v>
      </c>
      <c r="O32" s="69">
        <f t="shared" si="233"/>
        <v>308.19565086300003</v>
      </c>
      <c r="P32" s="69">
        <f t="shared" si="234"/>
        <v>465.39611707500001</v>
      </c>
      <c r="Q32" s="59">
        <v>19</v>
      </c>
      <c r="R32" s="59">
        <v>162</v>
      </c>
      <c r="S32" s="59"/>
      <c r="T32" s="69">
        <f t="shared" si="235"/>
        <v>3078</v>
      </c>
      <c r="U32" s="69">
        <f t="shared" si="78"/>
        <v>948.62621335631411</v>
      </c>
      <c r="V32" s="80">
        <v>1.1000000000000001</v>
      </c>
      <c r="W32" s="80">
        <v>1.4</v>
      </c>
      <c r="X32" s="62">
        <f t="shared" si="197"/>
        <v>1460.8843685687239</v>
      </c>
      <c r="Y32" s="59" t="s">
        <v>91</v>
      </c>
      <c r="Z32" s="59" t="s">
        <v>93</v>
      </c>
      <c r="AA32" s="68">
        <v>245</v>
      </c>
      <c r="AB32" s="68">
        <v>400</v>
      </c>
      <c r="AC32" s="59">
        <v>250</v>
      </c>
      <c r="AD32" s="59">
        <v>250</v>
      </c>
      <c r="AE32" s="59">
        <v>6</v>
      </c>
      <c r="AF32" s="21">
        <f t="shared" si="226"/>
        <v>58142272</v>
      </c>
      <c r="AG32" s="64">
        <f t="shared" si="128"/>
        <v>11919165760000</v>
      </c>
      <c r="AH32" s="59" t="s">
        <v>95</v>
      </c>
      <c r="AI32" s="59" t="s">
        <v>166</v>
      </c>
      <c r="AJ32" s="69">
        <f t="shared" si="236"/>
        <v>308.19565086300003</v>
      </c>
      <c r="AK32" s="69">
        <f t="shared" si="157"/>
        <v>465.39611707500001</v>
      </c>
      <c r="AL32" s="59">
        <v>208</v>
      </c>
      <c r="AM32" s="59">
        <v>208</v>
      </c>
      <c r="AN32" s="59">
        <v>19</v>
      </c>
      <c r="AO32" s="59">
        <v>19</v>
      </c>
      <c r="AP32" s="59">
        <f t="shared" si="158"/>
        <v>7543</v>
      </c>
      <c r="AQ32" s="59">
        <f t="shared" si="159"/>
        <v>3952</v>
      </c>
      <c r="AR32" s="46">
        <f t="shared" si="160"/>
        <v>14140248.083333334</v>
      </c>
      <c r="AS32" s="49">
        <f t="shared" si="161"/>
        <v>135963.92387820513</v>
      </c>
      <c r="AT32" s="49">
        <f t="shared" si="82"/>
        <v>222561.25</v>
      </c>
      <c r="AU32" s="65">
        <f t="shared" si="83"/>
        <v>68.592409300632866</v>
      </c>
      <c r="AV32" s="206">
        <f t="shared" si="7"/>
        <v>0.42542761598926254</v>
      </c>
      <c r="AW32" s="206">
        <f t="shared" si="199"/>
        <v>4.2810098205184013E-2</v>
      </c>
      <c r="AX32" s="65">
        <f t="shared" si="84"/>
        <v>65.655961522342594</v>
      </c>
      <c r="AY32" s="59">
        <v>190</v>
      </c>
      <c r="AZ32" s="59">
        <v>190</v>
      </c>
      <c r="BA32" s="70">
        <f t="shared" si="237"/>
        <v>0.91346153846153844</v>
      </c>
      <c r="BB32" s="66">
        <v>0</v>
      </c>
      <c r="BC32" s="109">
        <f t="shared" si="10"/>
        <v>5.0000000000000001E-4</v>
      </c>
      <c r="BD32" s="68">
        <v>0</v>
      </c>
      <c r="BE32" s="71">
        <v>2</v>
      </c>
      <c r="BF32" s="65">
        <f t="shared" si="11"/>
        <v>30.354921052631578</v>
      </c>
      <c r="BG32" s="191">
        <f t="shared" si="162"/>
        <v>245</v>
      </c>
      <c r="BH32" s="46">
        <f t="shared" si="163"/>
        <v>250</v>
      </c>
      <c r="BI32" s="46">
        <f t="shared" si="164"/>
        <v>6</v>
      </c>
      <c r="BJ32" s="46">
        <f t="shared" si="165"/>
        <v>208</v>
      </c>
      <c r="BK32" s="46">
        <f t="shared" si="166"/>
        <v>208</v>
      </c>
      <c r="BL32" s="46">
        <f t="shared" si="167"/>
        <v>190</v>
      </c>
      <c r="BM32" s="49">
        <f t="shared" si="168"/>
        <v>21</v>
      </c>
      <c r="BN32" s="49">
        <f t="shared" si="169"/>
        <v>57.835974963685018</v>
      </c>
      <c r="BO32" s="49">
        <f t="shared" si="170"/>
        <v>60.11287924703079</v>
      </c>
      <c r="BP32" s="208">
        <f t="shared" si="171"/>
        <v>1.198370675445143E-2</v>
      </c>
      <c r="BQ32" s="58">
        <f t="shared" si="172"/>
        <v>2787.005734687436</v>
      </c>
      <c r="BR32" s="58">
        <f t="shared" si="173"/>
        <v>33.398659447468695</v>
      </c>
      <c r="BS32" s="49">
        <f t="shared" si="174"/>
        <v>10.5</v>
      </c>
      <c r="BT32" s="61">
        <f t="shared" si="175"/>
        <v>1.6986666666666667E-2</v>
      </c>
      <c r="BU32" s="208">
        <f t="shared" si="176"/>
        <v>8.940350877192983E-5</v>
      </c>
      <c r="BV32" s="58">
        <f t="shared" si="190"/>
        <v>46666.97781414746</v>
      </c>
      <c r="BW32" s="203">
        <f t="shared" si="191"/>
        <v>4.1721915603665876</v>
      </c>
      <c r="BX32" s="58">
        <f t="shared" si="177"/>
        <v>4.1721915603665876</v>
      </c>
      <c r="BY32" s="58">
        <f t="shared" si="178"/>
        <v>46666.97781414746</v>
      </c>
      <c r="CA32" s="59" t="s">
        <v>95</v>
      </c>
      <c r="CB32" s="59" t="s">
        <v>173</v>
      </c>
      <c r="CC32" s="69">
        <f t="shared" si="238"/>
        <v>308.19565086300003</v>
      </c>
      <c r="CD32" s="69">
        <f t="shared" si="238"/>
        <v>465.39611707500001</v>
      </c>
      <c r="CE32" s="59">
        <v>279.39999999999998</v>
      </c>
      <c r="CF32" s="59">
        <v>279.39999999999998</v>
      </c>
      <c r="CG32" s="59">
        <v>19</v>
      </c>
      <c r="CH32" s="48">
        <f t="shared" si="218"/>
        <v>34385531.491333321</v>
      </c>
      <c r="CI32" s="59">
        <f t="shared" si="239"/>
        <v>101.6</v>
      </c>
      <c r="CJ32" s="59">
        <f t="shared" si="240"/>
        <v>622.29999999999995</v>
      </c>
      <c r="CK32" s="59">
        <f t="shared" si="241"/>
        <v>12.7</v>
      </c>
      <c r="CL32" s="48">
        <f t="shared" si="219"/>
        <v>54348493.487199984</v>
      </c>
      <c r="CM32" s="48" t="s">
        <v>169</v>
      </c>
      <c r="CN32" s="72">
        <f t="shared" si="242"/>
        <v>34385531.491333321</v>
      </c>
      <c r="CO32" s="73">
        <f t="shared" si="133"/>
        <v>7049033955723.3311</v>
      </c>
      <c r="CP32" s="59">
        <v>0</v>
      </c>
      <c r="CQ32" s="59">
        <v>0</v>
      </c>
      <c r="CR32" s="59">
        <v>56</v>
      </c>
      <c r="CS32" s="59">
        <v>15</v>
      </c>
      <c r="CV32" s="233">
        <v>19</v>
      </c>
      <c r="CW32" s="59">
        <v>436</v>
      </c>
      <c r="CX32" s="59">
        <v>289</v>
      </c>
      <c r="CY32" s="59">
        <v>290</v>
      </c>
      <c r="CZ32" s="59">
        <f>$CV32</f>
        <v>19</v>
      </c>
      <c r="DA32" s="59">
        <v>372</v>
      </c>
      <c r="DB32" s="59">
        <v>339</v>
      </c>
      <c r="DC32" s="59">
        <v>49</v>
      </c>
      <c r="DD32" s="59">
        <f>$CV32</f>
        <v>19</v>
      </c>
      <c r="DE32" s="59">
        <v>333</v>
      </c>
      <c r="DF32" s="59">
        <v>379</v>
      </c>
      <c r="DG32" s="59">
        <v>97</v>
      </c>
      <c r="DH32" s="59">
        <f>$CV32</f>
        <v>19</v>
      </c>
      <c r="DI32" s="47">
        <f t="shared" si="227"/>
        <v>1.5060449050086355</v>
      </c>
      <c r="DJ32" s="47">
        <f t="shared" si="228"/>
        <v>1.9175257731958764</v>
      </c>
      <c r="DK32" s="47">
        <f t="shared" si="229"/>
        <v>1.3991596638655461</v>
      </c>
      <c r="DL32" s="48">
        <f t="shared" si="140"/>
        <v>128763278.38827839</v>
      </c>
      <c r="DM32" s="48">
        <f t="shared" si="141"/>
        <v>128763278.38827839</v>
      </c>
      <c r="DN32" s="48">
        <f t="shared" si="142"/>
        <v>128763278.38827839</v>
      </c>
      <c r="DO32" s="49">
        <f t="shared" si="230"/>
        <v>1928.3265395690714</v>
      </c>
      <c r="DP32" s="49">
        <f t="shared" si="231"/>
        <v>2148.492485713833</v>
      </c>
      <c r="DQ32" s="234">
        <f t="shared" si="232"/>
        <v>1254.2406785525675</v>
      </c>
      <c r="DR32" s="58">
        <f t="shared" si="25"/>
        <v>7986.8657028534117</v>
      </c>
      <c r="DS32" s="58"/>
      <c r="DT32" s="58"/>
      <c r="DU32" s="257"/>
      <c r="DV32" s="257"/>
      <c r="DW32" s="257"/>
      <c r="DX32" s="257"/>
      <c r="DY32" s="257"/>
      <c r="DZ32" s="259"/>
      <c r="EA32" s="259"/>
      <c r="EB32" s="191" t="s">
        <v>169</v>
      </c>
      <c r="EC32" s="177"/>
      <c r="ED32" s="46" t="s">
        <v>239</v>
      </c>
      <c r="EE32" s="46" t="s">
        <v>241</v>
      </c>
      <c r="EF32" s="48">
        <v>81200000</v>
      </c>
      <c r="EG32" s="46" t="s">
        <v>197</v>
      </c>
      <c r="EH32" s="46">
        <v>3675</v>
      </c>
      <c r="EI32" s="177">
        <f t="shared" si="243"/>
        <v>13588.571428571429</v>
      </c>
      <c r="EO32" s="177"/>
      <c r="EU32" s="177"/>
      <c r="FA32" s="177"/>
      <c r="FI32" s="177"/>
      <c r="FJ32" s="177">
        <f t="shared" si="109"/>
        <v>13588.571428571429</v>
      </c>
      <c r="FK32" s="46" t="s">
        <v>169</v>
      </c>
      <c r="FL32" s="177"/>
      <c r="FM32" s="46" t="s">
        <v>243</v>
      </c>
      <c r="FN32" s="46" t="s">
        <v>241</v>
      </c>
      <c r="FO32" s="48">
        <v>13700000</v>
      </c>
      <c r="FP32" s="46" t="s">
        <v>197</v>
      </c>
      <c r="FQ32" s="46">
        <v>3675</v>
      </c>
      <c r="FR32" s="177">
        <f t="shared" si="220"/>
        <v>2292.6530612244896</v>
      </c>
      <c r="FX32" s="177"/>
      <c r="GD32" s="177"/>
      <c r="GJ32" s="177"/>
      <c r="GK32" s="177">
        <f t="shared" si="34"/>
        <v>2292.6530612244896</v>
      </c>
      <c r="GL32" s="21">
        <f t="shared" si="145"/>
        <v>45</v>
      </c>
      <c r="GM32" s="21">
        <f t="shared" si="36"/>
        <v>3.6795626576955416E-5</v>
      </c>
      <c r="GN32" s="250">
        <f t="shared" si="146"/>
        <v>2.1808794730283066E-4</v>
      </c>
      <c r="GO32" s="177">
        <f t="shared" si="147"/>
        <v>3923.3599277434905</v>
      </c>
      <c r="GQ32" s="67"/>
      <c r="GR32" s="83"/>
      <c r="GS32" s="83"/>
      <c r="GT32" s="84"/>
      <c r="GU32" s="84"/>
      <c r="GV32" s="84"/>
      <c r="GW32" s="85"/>
      <c r="GX32" s="86"/>
      <c r="GY32" s="87"/>
      <c r="GZ32" s="87"/>
      <c r="HA32" s="87"/>
      <c r="HB32" s="88"/>
      <c r="HC32" s="88"/>
      <c r="HD32" s="84"/>
      <c r="HE32" s="84"/>
      <c r="HF32" s="264"/>
      <c r="HG32" s="89"/>
      <c r="HH32" s="67"/>
      <c r="HI32" s="87">
        <f t="shared" si="39"/>
        <v>7049.033955723331</v>
      </c>
      <c r="HJ32" s="87">
        <f t="shared" si="40"/>
        <v>11919.16576</v>
      </c>
      <c r="HK32" s="84">
        <f t="shared" si="41"/>
        <v>5173</v>
      </c>
      <c r="HL32" s="90">
        <f t="shared" si="42"/>
        <v>1524</v>
      </c>
      <c r="HM32" s="90">
        <f t="shared" si="43"/>
        <v>1224</v>
      </c>
      <c r="HN32" s="87">
        <f t="shared" si="111"/>
        <v>1438.664497061244</v>
      </c>
      <c r="HO32" s="84">
        <f t="shared" si="44"/>
        <v>190</v>
      </c>
      <c r="HP32" s="90">
        <f t="shared" si="45"/>
        <v>3923.3599277434905</v>
      </c>
      <c r="HQ32" s="86">
        <f t="shared" si="192"/>
        <v>7986.8657028534117</v>
      </c>
      <c r="HR32" s="87">
        <f t="shared" si="120"/>
        <v>2655.8611269553376</v>
      </c>
      <c r="HS32" s="228">
        <f t="shared" si="47"/>
        <v>4.1721915603665876</v>
      </c>
      <c r="HT32" s="83">
        <f t="shared" si="48"/>
        <v>46666.97781414746</v>
      </c>
      <c r="HU32" s="88">
        <f t="shared" si="49"/>
        <v>0</v>
      </c>
      <c r="HV32" s="88">
        <f t="shared" si="50"/>
        <v>5.0000000000000001E-4</v>
      </c>
      <c r="HW32" s="108">
        <f t="shared" si="51"/>
        <v>0</v>
      </c>
      <c r="HX32" s="108">
        <f t="shared" si="52"/>
        <v>2</v>
      </c>
      <c r="HY32" s="264">
        <f t="shared" si="182"/>
        <v>2.1052631578947368E-2</v>
      </c>
      <c r="HZ32" s="89">
        <f t="shared" si="183"/>
        <v>34.874173622341978</v>
      </c>
      <c r="IA32" s="67"/>
      <c r="IB32" s="92">
        <f t="shared" si="54"/>
        <v>9.3427249010652972E-3</v>
      </c>
      <c r="IC32" s="86">
        <f t="shared" si="55"/>
        <v>4899.7066168814017</v>
      </c>
      <c r="ID32" s="91"/>
      <c r="IE32" s="93">
        <f t="shared" si="56"/>
        <v>0.59140329932984592</v>
      </c>
      <c r="IF32" s="93">
        <f t="shared" si="57"/>
        <v>0.27811028359969919</v>
      </c>
      <c r="IG32" s="93">
        <f t="shared" si="221"/>
        <v>9.5244432908210275</v>
      </c>
      <c r="IH32" s="268">
        <f t="shared" si="59"/>
        <v>0.80073364275036063</v>
      </c>
      <c r="II32" s="181">
        <f t="shared" si="60"/>
        <v>1.630070191414225</v>
      </c>
      <c r="IJ32" s="93">
        <f t="shared" si="222"/>
        <v>0.54204492934431203</v>
      </c>
      <c r="IK32" s="266">
        <f t="shared" si="184"/>
        <v>8.9403508771929843E-5</v>
      </c>
      <c r="IL32" s="112">
        <f t="shared" si="223"/>
        <v>0</v>
      </c>
      <c r="IM32" s="112">
        <f t="shared" si="64"/>
        <v>2.4240657702737058E-2</v>
      </c>
      <c r="IN32" s="67"/>
      <c r="IO32" s="94">
        <f t="shared" si="152"/>
        <v>8.6276877440465567E-5</v>
      </c>
      <c r="IP32" s="94">
        <f t="shared" si="186"/>
        <v>0</v>
      </c>
      <c r="IQ32" s="94">
        <f t="shared" si="187"/>
        <v>4.5569089628564416E-2</v>
      </c>
      <c r="IR32" s="94">
        <f t="shared" si="193"/>
        <v>0.16018000000001942</v>
      </c>
      <c r="IS32" s="94"/>
      <c r="IT32" s="94">
        <f t="shared" si="188"/>
        <v>2.0222624748604093E-2</v>
      </c>
      <c r="IU32" s="94">
        <f t="shared" si="194"/>
        <v>0.35178000000021103</v>
      </c>
      <c r="IV32" s="94">
        <f t="shared" si="189"/>
        <v>4.8060374376420002E-2</v>
      </c>
      <c r="IW32" s="67"/>
      <c r="IX32" s="65">
        <f t="shared" si="224"/>
        <v>4.5614868294309119</v>
      </c>
      <c r="IY32" s="86">
        <f t="shared" si="112"/>
        <v>7049.033955723331</v>
      </c>
      <c r="IZ32" s="89">
        <f t="shared" si="113"/>
        <v>1.4386644970612439</v>
      </c>
      <c r="JA32" s="86">
        <f t="shared" si="121"/>
        <v>33613.233723915779</v>
      </c>
      <c r="JB32" s="86">
        <f t="shared" si="195"/>
        <v>679.74781218587293</v>
      </c>
      <c r="JC32" s="86">
        <f t="shared" si="196"/>
        <v>5384.1677778974818</v>
      </c>
      <c r="JD32" s="86">
        <f t="shared" si="115"/>
        <v>4.1721915603665884</v>
      </c>
      <c r="JE32" s="86">
        <f t="shared" si="116"/>
        <v>0</v>
      </c>
      <c r="JF32" s="86">
        <f t="shared" si="117"/>
        <v>4.1721915603665884</v>
      </c>
      <c r="JG32" s="58">
        <f t="shared" si="118"/>
        <v>1615.4645967734984</v>
      </c>
      <c r="JH32" s="90">
        <f t="shared" si="74"/>
        <v>989</v>
      </c>
      <c r="JI32" s="95">
        <f t="shared" si="225"/>
        <v>1.6334323526526779</v>
      </c>
    </row>
    <row r="33" spans="1:269" s="46" customFormat="1" x14ac:dyDescent="0.25">
      <c r="C33" s="46" t="s">
        <v>172</v>
      </c>
      <c r="D33" s="59" t="s">
        <v>84</v>
      </c>
      <c r="E33" s="222">
        <v>1585</v>
      </c>
      <c r="F33" s="100">
        <f t="shared" si="211"/>
        <v>1585</v>
      </c>
      <c r="G33" s="101">
        <f>F33</f>
        <v>1585</v>
      </c>
      <c r="H33" s="59">
        <v>5173</v>
      </c>
      <c r="I33" s="59">
        <v>1224</v>
      </c>
      <c r="J33" s="68">
        <f t="shared" si="77"/>
        <v>1524</v>
      </c>
      <c r="K33" s="59">
        <v>1224</v>
      </c>
      <c r="L33" s="254">
        <v>45</v>
      </c>
      <c r="M33" s="59" t="s">
        <v>90</v>
      </c>
      <c r="N33" s="59" t="s">
        <v>94</v>
      </c>
      <c r="O33" s="69">
        <f t="shared" si="233"/>
        <v>308.19565086300003</v>
      </c>
      <c r="P33" s="69">
        <f t="shared" si="234"/>
        <v>465.39611707500001</v>
      </c>
      <c r="Q33" s="59">
        <v>162</v>
      </c>
      <c r="R33" s="59">
        <v>19</v>
      </c>
      <c r="S33" s="59"/>
      <c r="T33" s="69">
        <f t="shared" si="235"/>
        <v>3078</v>
      </c>
      <c r="U33" s="69">
        <f t="shared" si="78"/>
        <v>948.62621335631411</v>
      </c>
      <c r="V33" s="80">
        <v>1.1000000000000001</v>
      </c>
      <c r="W33" s="80">
        <v>1.4</v>
      </c>
      <c r="X33" s="62">
        <f t="shared" si="197"/>
        <v>1460.8843685687239</v>
      </c>
      <c r="Y33" s="59" t="s">
        <v>91</v>
      </c>
      <c r="Z33" s="59" t="s">
        <v>93</v>
      </c>
      <c r="AA33" s="68">
        <v>245</v>
      </c>
      <c r="AB33" s="68">
        <v>400</v>
      </c>
      <c r="AC33" s="59">
        <v>250</v>
      </c>
      <c r="AD33" s="59">
        <v>250</v>
      </c>
      <c r="AE33" s="59">
        <v>6</v>
      </c>
      <c r="AF33" s="21">
        <f t="shared" si="226"/>
        <v>58142272</v>
      </c>
      <c r="AG33" s="64">
        <f t="shared" si="128"/>
        <v>11919165760000</v>
      </c>
      <c r="AH33" s="59" t="s">
        <v>95</v>
      </c>
      <c r="AI33" s="59" t="s">
        <v>166</v>
      </c>
      <c r="AJ33" s="69">
        <f t="shared" si="236"/>
        <v>308.19565086300003</v>
      </c>
      <c r="AK33" s="69">
        <f t="shared" si="157"/>
        <v>465.39611707500001</v>
      </c>
      <c r="AL33" s="59">
        <v>208</v>
      </c>
      <c r="AM33" s="59">
        <v>208</v>
      </c>
      <c r="AN33" s="59">
        <v>19</v>
      </c>
      <c r="AO33" s="59">
        <v>19</v>
      </c>
      <c r="AP33" s="59">
        <f t="shared" si="158"/>
        <v>7543</v>
      </c>
      <c r="AQ33" s="59">
        <f t="shared" si="159"/>
        <v>3952</v>
      </c>
      <c r="AR33" s="46">
        <f t="shared" si="160"/>
        <v>14140248.083333334</v>
      </c>
      <c r="AS33" s="49">
        <f t="shared" si="161"/>
        <v>135963.92387820513</v>
      </c>
      <c r="AT33" s="49">
        <f t="shared" si="82"/>
        <v>222561.25</v>
      </c>
      <c r="AU33" s="65">
        <f t="shared" si="83"/>
        <v>68.592409300632866</v>
      </c>
      <c r="AV33" s="206">
        <f t="shared" si="7"/>
        <v>0.68180259994234693</v>
      </c>
      <c r="AW33" s="206">
        <f t="shared" si="199"/>
        <v>0.10996990198484387</v>
      </c>
      <c r="AX33" s="65">
        <f t="shared" si="84"/>
        <v>61.049308772937977</v>
      </c>
      <c r="AY33" s="59">
        <v>190</v>
      </c>
      <c r="AZ33" s="59">
        <v>190</v>
      </c>
      <c r="BA33" s="70">
        <f t="shared" si="237"/>
        <v>0.91346153846153844</v>
      </c>
      <c r="BB33" s="66">
        <v>0</v>
      </c>
      <c r="BC33" s="109">
        <f t="shared" si="10"/>
        <v>5.0000000000000001E-4</v>
      </c>
      <c r="BD33" s="68">
        <v>0</v>
      </c>
      <c r="BE33" s="71">
        <v>2</v>
      </c>
      <c r="BF33" s="65">
        <f t="shared" si="11"/>
        <v>30.354921052631578</v>
      </c>
      <c r="BG33" s="191">
        <f t="shared" si="162"/>
        <v>245</v>
      </c>
      <c r="BH33" s="46">
        <f t="shared" si="163"/>
        <v>250</v>
      </c>
      <c r="BI33" s="46">
        <f t="shared" si="164"/>
        <v>6</v>
      </c>
      <c r="BJ33" s="46">
        <f t="shared" si="165"/>
        <v>208</v>
      </c>
      <c r="BK33" s="46">
        <f t="shared" si="166"/>
        <v>208</v>
      </c>
      <c r="BL33" s="46">
        <f t="shared" si="167"/>
        <v>190</v>
      </c>
      <c r="BM33" s="49">
        <f t="shared" si="168"/>
        <v>21</v>
      </c>
      <c r="BN33" s="49">
        <f t="shared" si="169"/>
        <v>57.835974963685018</v>
      </c>
      <c r="BO33" s="49">
        <f t="shared" si="170"/>
        <v>60.11287924703079</v>
      </c>
      <c r="BP33" s="208">
        <f t="shared" si="171"/>
        <v>1.198370675445143E-2</v>
      </c>
      <c r="BQ33" s="58">
        <f t="shared" si="172"/>
        <v>2787.005734687436</v>
      </c>
      <c r="BR33" s="58">
        <f t="shared" si="173"/>
        <v>33.398659447468695</v>
      </c>
      <c r="BS33" s="49">
        <f t="shared" si="174"/>
        <v>10.5</v>
      </c>
      <c r="BT33" s="61">
        <f t="shared" si="175"/>
        <v>1.6986666666666667E-2</v>
      </c>
      <c r="BU33" s="208">
        <f t="shared" si="176"/>
        <v>8.940350877192983E-5</v>
      </c>
      <c r="BV33" s="58">
        <f t="shared" si="190"/>
        <v>46666.97781414746</v>
      </c>
      <c r="BW33" s="203">
        <f t="shared" si="191"/>
        <v>4.1721915603665876</v>
      </c>
      <c r="BX33" s="58">
        <f t="shared" si="177"/>
        <v>4.1721915603665876</v>
      </c>
      <c r="BY33" s="58">
        <f t="shared" si="178"/>
        <v>46666.97781414746</v>
      </c>
      <c r="CA33" s="59" t="s">
        <v>95</v>
      </c>
      <c r="CB33" s="59" t="s">
        <v>173</v>
      </c>
      <c r="CC33" s="69">
        <f t="shared" si="238"/>
        <v>308.19565086300003</v>
      </c>
      <c r="CD33" s="69">
        <f t="shared" si="238"/>
        <v>465.39611707500001</v>
      </c>
      <c r="CE33" s="59">
        <v>279.39999999999998</v>
      </c>
      <c r="CF33" s="59">
        <v>279.39999999999998</v>
      </c>
      <c r="CG33" s="59">
        <v>19</v>
      </c>
      <c r="CH33" s="48">
        <f t="shared" si="218"/>
        <v>34385531.491333321</v>
      </c>
      <c r="CI33" s="59">
        <f t="shared" si="239"/>
        <v>101.6</v>
      </c>
      <c r="CJ33" s="59">
        <f t="shared" si="240"/>
        <v>622.29999999999995</v>
      </c>
      <c r="CK33" s="59">
        <f t="shared" si="241"/>
        <v>12.7</v>
      </c>
      <c r="CL33" s="48">
        <f t="shared" si="219"/>
        <v>54348493.487199984</v>
      </c>
      <c r="CM33" s="48" t="s">
        <v>169</v>
      </c>
      <c r="CN33" s="72">
        <f t="shared" si="242"/>
        <v>34385531.491333321</v>
      </c>
      <c r="CO33" s="73">
        <f t="shared" si="133"/>
        <v>7049033955723.3311</v>
      </c>
      <c r="CP33" s="59">
        <v>0</v>
      </c>
      <c r="CQ33" s="59">
        <v>0</v>
      </c>
      <c r="CR33" s="59">
        <v>56</v>
      </c>
      <c r="CS33" s="59">
        <v>0</v>
      </c>
      <c r="CV33" s="233">
        <v>19</v>
      </c>
      <c r="CW33" s="59">
        <v>434</v>
      </c>
      <c r="CX33" s="59">
        <v>347</v>
      </c>
      <c r="CY33" s="59">
        <v>348</v>
      </c>
      <c r="CZ33" s="59">
        <f>$CV33</f>
        <v>19</v>
      </c>
      <c r="DA33" s="59">
        <v>453</v>
      </c>
      <c r="DB33" s="59">
        <v>333</v>
      </c>
      <c r="DC33" s="59">
        <v>47</v>
      </c>
      <c r="DD33" s="59">
        <f>$CV33</f>
        <v>19</v>
      </c>
      <c r="DE33" s="59">
        <v>413</v>
      </c>
      <c r="DF33" s="59">
        <v>366</v>
      </c>
      <c r="DG33" s="59">
        <v>96</v>
      </c>
      <c r="DH33" s="59">
        <f>$CV33</f>
        <v>19</v>
      </c>
      <c r="DI33" s="47">
        <f t="shared" si="227"/>
        <v>1.2489208633093525</v>
      </c>
      <c r="DJ33" s="47">
        <f t="shared" si="228"/>
        <v>2.3842105263157896</v>
      </c>
      <c r="DK33" s="47">
        <f t="shared" si="229"/>
        <v>1.7878787878787878</v>
      </c>
      <c r="DL33" s="48">
        <f t="shared" si="140"/>
        <v>128763278.38827839</v>
      </c>
      <c r="DM33" s="48">
        <f t="shared" si="141"/>
        <v>128763278.38827839</v>
      </c>
      <c r="DN33" s="48">
        <f t="shared" si="142"/>
        <v>128763278.38827839</v>
      </c>
      <c r="DO33" s="49">
        <f t="shared" si="230"/>
        <v>1865.850473912906</v>
      </c>
      <c r="DP33" s="49">
        <f t="shared" si="231"/>
        <v>2768.5231514060342</v>
      </c>
      <c r="DQ33" s="234">
        <f t="shared" si="232"/>
        <v>1718.5727708212705</v>
      </c>
      <c r="DR33" s="58">
        <f t="shared" si="25"/>
        <v>9517.8318199837577</v>
      </c>
      <c r="DS33" s="58"/>
      <c r="DT33" s="58"/>
      <c r="DU33" s="257"/>
      <c r="DV33" s="257"/>
      <c r="DW33" s="257"/>
      <c r="DX33" s="257"/>
      <c r="DY33" s="257"/>
      <c r="DZ33" s="259"/>
      <c r="EA33" s="259"/>
      <c r="EB33" s="191" t="s">
        <v>169</v>
      </c>
      <c r="EC33" s="177"/>
      <c r="ED33" s="46" t="s">
        <v>239</v>
      </c>
      <c r="EE33" s="46" t="s">
        <v>241</v>
      </c>
      <c r="EF33" s="48">
        <v>81200000</v>
      </c>
      <c r="EG33" s="46" t="s">
        <v>197</v>
      </c>
      <c r="EH33" s="46">
        <v>3675</v>
      </c>
      <c r="EI33" s="177">
        <f t="shared" si="243"/>
        <v>13588.571428571429</v>
      </c>
      <c r="EO33" s="177"/>
      <c r="EU33" s="177"/>
      <c r="FA33" s="177"/>
      <c r="FI33" s="177"/>
      <c r="FJ33" s="177">
        <f t="shared" si="109"/>
        <v>13588.571428571429</v>
      </c>
      <c r="FK33" s="46" t="s">
        <v>169</v>
      </c>
      <c r="FL33" s="177"/>
      <c r="FM33" s="46" t="s">
        <v>243</v>
      </c>
      <c r="FN33" s="46" t="s">
        <v>241</v>
      </c>
      <c r="FO33" s="48">
        <v>13700000</v>
      </c>
      <c r="FP33" s="46" t="s">
        <v>197</v>
      </c>
      <c r="FQ33" s="46">
        <v>3675</v>
      </c>
      <c r="FR33" s="177">
        <f t="shared" si="220"/>
        <v>2292.6530612244896</v>
      </c>
      <c r="FX33" s="177"/>
      <c r="GD33" s="177"/>
      <c r="GJ33" s="177"/>
      <c r="GK33" s="177">
        <f t="shared" si="34"/>
        <v>2292.6530612244896</v>
      </c>
      <c r="GL33" s="21">
        <f t="shared" si="145"/>
        <v>45</v>
      </c>
      <c r="GM33" s="21">
        <f t="shared" si="36"/>
        <v>3.6795626576955416E-5</v>
      </c>
      <c r="GN33" s="250">
        <f t="shared" si="146"/>
        <v>2.1808794730283066E-4</v>
      </c>
      <c r="GO33" s="177">
        <f t="shared" si="147"/>
        <v>3923.3599277434905</v>
      </c>
      <c r="GQ33" s="67"/>
      <c r="GR33" s="83"/>
      <c r="GS33" s="83"/>
      <c r="GT33" s="84"/>
      <c r="GU33" s="84"/>
      <c r="GV33" s="84"/>
      <c r="GW33" s="85"/>
      <c r="GX33" s="86"/>
      <c r="GY33" s="87"/>
      <c r="GZ33" s="87"/>
      <c r="HA33" s="87"/>
      <c r="HB33" s="88"/>
      <c r="HC33" s="88"/>
      <c r="HD33" s="84"/>
      <c r="HE33" s="84"/>
      <c r="HF33" s="264"/>
      <c r="HG33" s="89"/>
      <c r="HH33" s="67"/>
      <c r="HI33" s="87">
        <f t="shared" si="39"/>
        <v>7049.033955723331</v>
      </c>
      <c r="HJ33" s="87">
        <f t="shared" si="40"/>
        <v>11919.16576</v>
      </c>
      <c r="HK33" s="84">
        <f t="shared" si="41"/>
        <v>5173</v>
      </c>
      <c r="HL33" s="90">
        <f t="shared" si="42"/>
        <v>1524</v>
      </c>
      <c r="HM33" s="90">
        <f t="shared" si="43"/>
        <v>1224</v>
      </c>
      <c r="HN33" s="87">
        <f t="shared" si="111"/>
        <v>1448.8992557371996</v>
      </c>
      <c r="HO33" s="84">
        <f t="shared" si="44"/>
        <v>190</v>
      </c>
      <c r="HP33" s="90">
        <f t="shared" si="45"/>
        <v>3923.3599277434905</v>
      </c>
      <c r="HQ33" s="86">
        <f t="shared" si="192"/>
        <v>9517.8318199837577</v>
      </c>
      <c r="HR33" s="87">
        <f t="shared" si="120"/>
        <v>2802.2784564383524</v>
      </c>
      <c r="HS33" s="228">
        <f t="shared" si="47"/>
        <v>4.1721915603665876</v>
      </c>
      <c r="HT33" s="83">
        <f t="shared" si="48"/>
        <v>46666.97781414746</v>
      </c>
      <c r="HU33" s="88">
        <f t="shared" si="49"/>
        <v>0</v>
      </c>
      <c r="HV33" s="88">
        <f t="shared" si="50"/>
        <v>5.0000000000000001E-4</v>
      </c>
      <c r="HW33" s="108">
        <f t="shared" si="51"/>
        <v>0</v>
      </c>
      <c r="HX33" s="108">
        <f t="shared" si="52"/>
        <v>2</v>
      </c>
      <c r="HY33" s="264">
        <f t="shared" si="182"/>
        <v>2.1052631578947368E-2</v>
      </c>
      <c r="HZ33" s="89">
        <f t="shared" si="183"/>
        <v>35.089642226046308</v>
      </c>
      <c r="IA33" s="67"/>
      <c r="IB33" s="92">
        <f t="shared" si="54"/>
        <v>9.2594198155426487E-3</v>
      </c>
      <c r="IC33" s="86">
        <f t="shared" si="55"/>
        <v>4865.0959877377982</v>
      </c>
      <c r="ID33" s="91"/>
      <c r="IE33" s="93">
        <f t="shared" si="56"/>
        <v>0.59140329932984592</v>
      </c>
      <c r="IF33" s="93">
        <f t="shared" si="57"/>
        <v>0.28008877938086207</v>
      </c>
      <c r="IG33" s="93">
        <f t="shared" si="221"/>
        <v>9.5922008387437696</v>
      </c>
      <c r="IH33" s="268">
        <f t="shared" si="59"/>
        <v>0.8064301172334728</v>
      </c>
      <c r="II33" s="181">
        <f t="shared" si="60"/>
        <v>1.9563502639974462</v>
      </c>
      <c r="IJ33" s="93">
        <f t="shared" si="222"/>
        <v>0.57599654015076751</v>
      </c>
      <c r="IK33" s="266">
        <f t="shared" si="184"/>
        <v>8.9403508771929843E-5</v>
      </c>
      <c r="IL33" s="112">
        <f t="shared" si="223"/>
        <v>0</v>
      </c>
      <c r="IM33" s="112">
        <f t="shared" si="64"/>
        <v>2.4218138070747165E-2</v>
      </c>
      <c r="IN33" s="67"/>
      <c r="IO33" s="94">
        <f t="shared" si="152"/>
        <v>8.6890657110237008E-5</v>
      </c>
      <c r="IP33" s="94">
        <f t="shared" si="186"/>
        <v>0</v>
      </c>
      <c r="IQ33" s="94">
        <f t="shared" si="187"/>
        <v>4.7876749065489964E-2</v>
      </c>
      <c r="IR33" s="94">
        <f t="shared" si="193"/>
        <v>0.16478000000002402</v>
      </c>
      <c r="IS33" s="94"/>
      <c r="IT33" s="94">
        <f t="shared" si="188"/>
        <v>2.1057268652536137E-2</v>
      </c>
      <c r="IU33" s="94">
        <f t="shared" si="194"/>
        <v>0.35958000000021884</v>
      </c>
      <c r="IV33" s="94">
        <f t="shared" si="189"/>
        <v>5.0367898584005803E-2</v>
      </c>
      <c r="IW33" s="67"/>
      <c r="IX33" s="65">
        <f t="shared" si="224"/>
        <v>4.4557732721001528</v>
      </c>
      <c r="IY33" s="86">
        <f t="shared" si="112"/>
        <v>7049.033955723331</v>
      </c>
      <c r="IZ33" s="89">
        <f t="shared" si="113"/>
        <v>1.4488992557371996</v>
      </c>
      <c r="JA33" s="86">
        <f t="shared" si="121"/>
        <v>33140.035500859121</v>
      </c>
      <c r="JB33" s="86">
        <f t="shared" si="195"/>
        <v>697.83863069617553</v>
      </c>
      <c r="JC33" s="86">
        <f t="shared" si="196"/>
        <v>5460.8150498323621</v>
      </c>
      <c r="JD33" s="86">
        <f t="shared" si="115"/>
        <v>4.1721915603665884</v>
      </c>
      <c r="JE33" s="86">
        <f t="shared" si="116"/>
        <v>0</v>
      </c>
      <c r="JF33" s="86">
        <f t="shared" si="117"/>
        <v>4.1721915603665884</v>
      </c>
      <c r="JG33" s="58">
        <f t="shared" si="118"/>
        <v>1669.1939471776241</v>
      </c>
      <c r="JH33" s="90">
        <f t="shared" si="74"/>
        <v>1585</v>
      </c>
      <c r="JI33" s="95">
        <f t="shared" si="225"/>
        <v>1.053119209575788</v>
      </c>
    </row>
    <row r="34" spans="1:269" s="46" customFormat="1" ht="15.75" thickBot="1" x14ac:dyDescent="0.3">
      <c r="A34" s="6"/>
      <c r="B34" s="6"/>
      <c r="C34" s="6" t="s">
        <v>86</v>
      </c>
      <c r="D34" s="31" t="s">
        <v>84</v>
      </c>
      <c r="E34" s="223">
        <v>1278</v>
      </c>
      <c r="F34" s="106">
        <f t="shared" si="211"/>
        <v>1278</v>
      </c>
      <c r="G34" s="107" t="s">
        <v>58</v>
      </c>
      <c r="H34" s="31">
        <v>5173</v>
      </c>
      <c r="I34" s="31">
        <v>1224</v>
      </c>
      <c r="J34" s="25">
        <f t="shared" si="77"/>
        <v>1524</v>
      </c>
      <c r="K34" s="31">
        <v>1224</v>
      </c>
      <c r="L34" s="255">
        <v>45</v>
      </c>
      <c r="M34" s="31" t="s">
        <v>90</v>
      </c>
      <c r="N34" s="31" t="s">
        <v>94</v>
      </c>
      <c r="O34" s="51">
        <f t="shared" si="233"/>
        <v>308.19565086300003</v>
      </c>
      <c r="P34" s="51">
        <f t="shared" si="234"/>
        <v>465.39611707500001</v>
      </c>
      <c r="Q34" s="31">
        <v>162</v>
      </c>
      <c r="R34" s="31">
        <v>19</v>
      </c>
      <c r="S34" s="31"/>
      <c r="T34" s="51">
        <f t="shared" si="235"/>
        <v>3078</v>
      </c>
      <c r="U34" s="51">
        <f t="shared" si="78"/>
        <v>948.62621335631411</v>
      </c>
      <c r="V34" s="26">
        <v>1.1000000000000001</v>
      </c>
      <c r="W34" s="26">
        <v>1.4</v>
      </c>
      <c r="X34" s="22">
        <f t="shared" si="197"/>
        <v>1460.8843685687239</v>
      </c>
      <c r="Y34" s="31" t="s">
        <v>91</v>
      </c>
      <c r="Z34" s="31" t="s">
        <v>93</v>
      </c>
      <c r="AA34" s="25">
        <v>245</v>
      </c>
      <c r="AB34" s="25">
        <v>400</v>
      </c>
      <c r="AC34" s="31">
        <v>250</v>
      </c>
      <c r="AD34" s="31">
        <v>250</v>
      </c>
      <c r="AE34" s="31">
        <v>6</v>
      </c>
      <c r="AF34" s="10">
        <f t="shared" si="226"/>
        <v>58142272</v>
      </c>
      <c r="AG34" s="52">
        <f t="shared" si="128"/>
        <v>11919165760000</v>
      </c>
      <c r="AH34" s="31" t="s">
        <v>95</v>
      </c>
      <c r="AI34" s="31" t="s">
        <v>166</v>
      </c>
      <c r="AJ34" s="51">
        <f t="shared" si="236"/>
        <v>308.19565086300003</v>
      </c>
      <c r="AK34" s="51">
        <f t="shared" si="157"/>
        <v>465.39611707500001</v>
      </c>
      <c r="AL34" s="31">
        <v>208</v>
      </c>
      <c r="AM34" s="31">
        <v>208</v>
      </c>
      <c r="AN34" s="31">
        <v>19</v>
      </c>
      <c r="AO34" s="31">
        <v>19</v>
      </c>
      <c r="AP34" s="31">
        <f t="shared" si="158"/>
        <v>7543</v>
      </c>
      <c r="AQ34" s="31">
        <f t="shared" si="159"/>
        <v>3952</v>
      </c>
      <c r="AR34" s="6">
        <f t="shared" si="160"/>
        <v>14140248.083333334</v>
      </c>
      <c r="AS34" s="7">
        <f t="shared" si="161"/>
        <v>135963.92387820513</v>
      </c>
      <c r="AT34" s="7">
        <f t="shared" si="82"/>
        <v>222561.25</v>
      </c>
      <c r="AU34" s="17">
        <f t="shared" si="83"/>
        <v>68.592409300632866</v>
      </c>
      <c r="AV34" s="207">
        <f t="shared" si="7"/>
        <v>0.5497436736443656</v>
      </c>
      <c r="AW34" s="207">
        <f t="shared" si="199"/>
        <v>2.9401861946131004E-3</v>
      </c>
      <c r="AX34" s="17">
        <f t="shared" si="84"/>
        <v>68.390734845751894</v>
      </c>
      <c r="AY34" s="31">
        <v>190</v>
      </c>
      <c r="AZ34" s="31">
        <v>190</v>
      </c>
      <c r="BA34" s="55">
        <f t="shared" si="237"/>
        <v>0.91346153846153844</v>
      </c>
      <c r="BB34" s="35">
        <v>0</v>
      </c>
      <c r="BC34" s="110">
        <f t="shared" si="10"/>
        <v>5.0000000000000001E-4</v>
      </c>
      <c r="BD34" s="25">
        <v>0</v>
      </c>
      <c r="BE34" s="57">
        <v>2</v>
      </c>
      <c r="BF34" s="17">
        <f t="shared" si="11"/>
        <v>30.354921052631578</v>
      </c>
      <c r="BG34" s="43">
        <f t="shared" si="162"/>
        <v>245</v>
      </c>
      <c r="BH34" s="44">
        <f t="shared" si="163"/>
        <v>250</v>
      </c>
      <c r="BI34" s="44">
        <f t="shared" si="164"/>
        <v>6</v>
      </c>
      <c r="BJ34" s="44">
        <f t="shared" si="165"/>
        <v>208</v>
      </c>
      <c r="BK34" s="44">
        <f t="shared" si="166"/>
        <v>208</v>
      </c>
      <c r="BL34" s="44">
        <f t="shared" si="167"/>
        <v>190</v>
      </c>
      <c r="BM34" s="200">
        <f t="shared" si="168"/>
        <v>21</v>
      </c>
      <c r="BN34" s="200">
        <f t="shared" si="169"/>
        <v>57.835974963685018</v>
      </c>
      <c r="BO34" s="200">
        <f t="shared" si="170"/>
        <v>60.11287924703079</v>
      </c>
      <c r="BP34" s="210">
        <f t="shared" si="171"/>
        <v>1.198370675445143E-2</v>
      </c>
      <c r="BQ34" s="201">
        <f t="shared" si="172"/>
        <v>2787.005734687436</v>
      </c>
      <c r="BR34" s="201">
        <f t="shared" si="173"/>
        <v>33.398659447468695</v>
      </c>
      <c r="BS34" s="200">
        <f t="shared" si="174"/>
        <v>10.5</v>
      </c>
      <c r="BT34" s="211">
        <f t="shared" si="175"/>
        <v>1.6986666666666667E-2</v>
      </c>
      <c r="BU34" s="210">
        <f t="shared" si="176"/>
        <v>8.940350877192983E-5</v>
      </c>
      <c r="BV34" s="201">
        <f t="shared" si="190"/>
        <v>46666.97781414746</v>
      </c>
      <c r="BW34" s="205">
        <f t="shared" si="191"/>
        <v>4.1721915603665876</v>
      </c>
      <c r="BX34" s="19">
        <f t="shared" si="177"/>
        <v>4.1721915603665876</v>
      </c>
      <c r="BY34" s="19">
        <f t="shared" si="178"/>
        <v>46666.97781414746</v>
      </c>
      <c r="BZ34" s="6"/>
      <c r="CA34" s="31" t="s">
        <v>95</v>
      </c>
      <c r="CB34" s="31" t="s">
        <v>173</v>
      </c>
      <c r="CC34" s="51">
        <f t="shared" si="238"/>
        <v>308.19565086300003</v>
      </c>
      <c r="CD34" s="51">
        <f t="shared" si="238"/>
        <v>465.39611707500001</v>
      </c>
      <c r="CE34" s="31">
        <v>279.39999999999998</v>
      </c>
      <c r="CF34" s="31">
        <v>279.39999999999998</v>
      </c>
      <c r="CG34" s="31">
        <v>19</v>
      </c>
      <c r="CH34" s="33">
        <f t="shared" si="218"/>
        <v>34385531.491333321</v>
      </c>
      <c r="CI34" s="31">
        <f t="shared" si="239"/>
        <v>101.6</v>
      </c>
      <c r="CJ34" s="31">
        <f t="shared" si="240"/>
        <v>622.29999999999995</v>
      </c>
      <c r="CK34" s="31">
        <f t="shared" si="241"/>
        <v>12.7</v>
      </c>
      <c r="CL34" s="33">
        <f t="shared" si="219"/>
        <v>54348493.487199984</v>
      </c>
      <c r="CM34" s="33" t="s">
        <v>169</v>
      </c>
      <c r="CN34" s="34">
        <f t="shared" si="242"/>
        <v>34385531.491333321</v>
      </c>
      <c r="CO34" s="74">
        <f t="shared" si="133"/>
        <v>7049033955723.3311</v>
      </c>
      <c r="CP34" s="31">
        <v>0</v>
      </c>
      <c r="CQ34" s="31">
        <v>0</v>
      </c>
      <c r="CR34" s="31">
        <v>56</v>
      </c>
      <c r="CS34" s="31">
        <v>0</v>
      </c>
      <c r="CT34" s="6"/>
      <c r="CU34" s="6"/>
      <c r="CV34" s="239">
        <v>19</v>
      </c>
      <c r="CW34" s="240">
        <v>434</v>
      </c>
      <c r="CX34" s="240">
        <v>347</v>
      </c>
      <c r="CY34" s="240">
        <v>348</v>
      </c>
      <c r="CZ34" s="240">
        <f>$CV34</f>
        <v>19</v>
      </c>
      <c r="DA34" s="240">
        <v>453</v>
      </c>
      <c r="DB34" s="240">
        <v>333</v>
      </c>
      <c r="DC34" s="240">
        <v>47</v>
      </c>
      <c r="DD34" s="240">
        <f>$CV34</f>
        <v>19</v>
      </c>
      <c r="DE34" s="240">
        <v>413</v>
      </c>
      <c r="DF34" s="240">
        <v>366</v>
      </c>
      <c r="DG34" s="240">
        <v>96</v>
      </c>
      <c r="DH34" s="240">
        <f>$CV34</f>
        <v>19</v>
      </c>
      <c r="DI34" s="241">
        <f t="shared" si="227"/>
        <v>1.2489208633093525</v>
      </c>
      <c r="DJ34" s="241">
        <f t="shared" si="228"/>
        <v>2.3842105263157896</v>
      </c>
      <c r="DK34" s="241">
        <f t="shared" si="229"/>
        <v>1.7878787878787878</v>
      </c>
      <c r="DL34" s="242">
        <f t="shared" si="140"/>
        <v>128763278.38827839</v>
      </c>
      <c r="DM34" s="242">
        <f t="shared" si="141"/>
        <v>128763278.38827839</v>
      </c>
      <c r="DN34" s="242">
        <f t="shared" si="142"/>
        <v>128763278.38827839</v>
      </c>
      <c r="DO34" s="200">
        <f t="shared" si="230"/>
        <v>1865.850473912906</v>
      </c>
      <c r="DP34" s="200">
        <f t="shared" si="231"/>
        <v>2768.5231514060342</v>
      </c>
      <c r="DQ34" s="45">
        <f t="shared" si="232"/>
        <v>1718.5727708212705</v>
      </c>
      <c r="DR34" s="19">
        <f t="shared" si="25"/>
        <v>9517.8318199837577</v>
      </c>
      <c r="DS34" s="58"/>
      <c r="DT34" s="58"/>
      <c r="DU34" s="257"/>
      <c r="DV34" s="257"/>
      <c r="DW34" s="257"/>
      <c r="DX34" s="257"/>
      <c r="DY34" s="257"/>
      <c r="DZ34" s="259"/>
      <c r="EA34" s="259"/>
      <c r="EB34" s="43" t="s">
        <v>169</v>
      </c>
      <c r="EC34" s="256"/>
      <c r="ED34" s="44" t="s">
        <v>239</v>
      </c>
      <c r="EE34" s="44" t="s">
        <v>241</v>
      </c>
      <c r="EF34" s="242">
        <v>81200000</v>
      </c>
      <c r="EG34" s="44" t="s">
        <v>197</v>
      </c>
      <c r="EH34" s="44">
        <v>3675</v>
      </c>
      <c r="EI34" s="256">
        <f t="shared" si="243"/>
        <v>13588.571428571429</v>
      </c>
      <c r="EJ34" s="44"/>
      <c r="EK34" s="44"/>
      <c r="EL34" s="44"/>
      <c r="EM34" s="44"/>
      <c r="EN34" s="44"/>
      <c r="EO34" s="256"/>
      <c r="EP34" s="44"/>
      <c r="EQ34" s="44"/>
      <c r="ER34" s="44"/>
      <c r="ES34" s="44"/>
      <c r="ET34" s="44"/>
      <c r="EU34" s="256"/>
      <c r="EV34" s="44"/>
      <c r="EW34" s="44"/>
      <c r="EX34" s="44"/>
      <c r="EY34" s="44"/>
      <c r="EZ34" s="44"/>
      <c r="FA34" s="256"/>
      <c r="FB34" s="44"/>
      <c r="FC34" s="44"/>
      <c r="FD34" s="44"/>
      <c r="FE34" s="44"/>
      <c r="FF34" s="44"/>
      <c r="FG34" s="44"/>
      <c r="FH34" s="44"/>
      <c r="FI34" s="256"/>
      <c r="FJ34" s="256">
        <f t="shared" si="109"/>
        <v>13588.571428571429</v>
      </c>
      <c r="FK34" s="44" t="s">
        <v>169</v>
      </c>
      <c r="FL34" s="178"/>
      <c r="FM34" s="44" t="s">
        <v>243</v>
      </c>
      <c r="FN34" s="44" t="s">
        <v>241</v>
      </c>
      <c r="FO34" s="242">
        <v>13700000</v>
      </c>
      <c r="FP34" s="44" t="s">
        <v>197</v>
      </c>
      <c r="FQ34" s="44">
        <v>3675</v>
      </c>
      <c r="FR34" s="256">
        <f t="shared" si="220"/>
        <v>2292.6530612244896</v>
      </c>
      <c r="FS34" s="44"/>
      <c r="FT34" s="44"/>
      <c r="FU34" s="44"/>
      <c r="FV34" s="44"/>
      <c r="FW34" s="44"/>
      <c r="FX34" s="256"/>
      <c r="FY34" s="44"/>
      <c r="FZ34" s="44"/>
      <c r="GA34" s="44"/>
      <c r="GB34" s="44"/>
      <c r="GC34" s="44"/>
      <c r="GD34" s="256"/>
      <c r="GE34" s="44"/>
      <c r="GF34" s="44"/>
      <c r="GG34" s="44"/>
      <c r="GH34" s="44"/>
      <c r="GI34" s="44"/>
      <c r="GJ34" s="256"/>
      <c r="GK34" s="178">
        <f t="shared" si="34"/>
        <v>2292.6530612244896</v>
      </c>
      <c r="GL34" s="252">
        <f t="shared" si="145"/>
        <v>45</v>
      </c>
      <c r="GM34" s="252">
        <f t="shared" si="36"/>
        <v>3.6795626576955416E-5</v>
      </c>
      <c r="GN34" s="253">
        <f t="shared" si="146"/>
        <v>2.1808794730283066E-4</v>
      </c>
      <c r="GO34" s="178">
        <f t="shared" si="147"/>
        <v>3923.3599277434905</v>
      </c>
      <c r="GP34" s="6"/>
      <c r="GQ34" s="8"/>
      <c r="GR34" s="102"/>
      <c r="GS34" s="102"/>
      <c r="GT34" s="9"/>
      <c r="GU34" s="9"/>
      <c r="GV34" s="9"/>
      <c r="GW34" s="103"/>
      <c r="GX34" s="18"/>
      <c r="GY34" s="104"/>
      <c r="GZ34" s="104"/>
      <c r="HA34" s="104"/>
      <c r="HB34" s="12"/>
      <c r="HC34" s="12"/>
      <c r="HD34" s="9"/>
      <c r="HE34" s="9"/>
      <c r="HF34" s="265"/>
      <c r="HG34" s="14"/>
      <c r="HH34" s="8"/>
      <c r="HI34" s="104">
        <f t="shared" si="39"/>
        <v>7049.033955723331</v>
      </c>
      <c r="HJ34" s="104">
        <f t="shared" si="40"/>
        <v>11919.16576</v>
      </c>
      <c r="HK34" s="9">
        <f t="shared" si="41"/>
        <v>5173</v>
      </c>
      <c r="HL34" s="11">
        <f t="shared" si="42"/>
        <v>1524</v>
      </c>
      <c r="HM34" s="11">
        <f t="shared" si="43"/>
        <v>1224</v>
      </c>
      <c r="HN34" s="104">
        <f t="shared" si="111"/>
        <v>1448.8992557371996</v>
      </c>
      <c r="HO34" s="9">
        <f t="shared" si="44"/>
        <v>190</v>
      </c>
      <c r="HP34" s="11">
        <f t="shared" si="45"/>
        <v>3923.3599277434905</v>
      </c>
      <c r="HQ34" s="18">
        <f t="shared" si="192"/>
        <v>9517.8318199837577</v>
      </c>
      <c r="HR34" s="104">
        <f t="shared" si="120"/>
        <v>2802.2784564383524</v>
      </c>
      <c r="HS34" s="229">
        <f t="shared" si="47"/>
        <v>4.1721915603665876</v>
      </c>
      <c r="HT34" s="102">
        <f t="shared" si="48"/>
        <v>46666.97781414746</v>
      </c>
      <c r="HU34" s="12">
        <f t="shared" si="49"/>
        <v>0</v>
      </c>
      <c r="HV34" s="12">
        <f t="shared" si="50"/>
        <v>5.0000000000000001E-4</v>
      </c>
      <c r="HW34" s="111">
        <f t="shared" si="51"/>
        <v>0</v>
      </c>
      <c r="HX34" s="111">
        <f t="shared" si="52"/>
        <v>2</v>
      </c>
      <c r="HY34" s="265">
        <f t="shared" si="182"/>
        <v>2.1052631578947368E-2</v>
      </c>
      <c r="HZ34" s="14">
        <f t="shared" si="183"/>
        <v>35.089642226046308</v>
      </c>
      <c r="IA34" s="8"/>
      <c r="IB34" s="15">
        <f t="shared" si="54"/>
        <v>9.2594198155426487E-3</v>
      </c>
      <c r="IC34" s="18">
        <f t="shared" si="55"/>
        <v>4865.0959877377982</v>
      </c>
      <c r="ID34" s="13"/>
      <c r="IE34" s="105">
        <f t="shared" si="56"/>
        <v>0.59140329932984592</v>
      </c>
      <c r="IF34" s="105">
        <f t="shared" si="57"/>
        <v>0.28008877938086207</v>
      </c>
      <c r="IG34" s="105">
        <f t="shared" si="221"/>
        <v>9.5922008387437696</v>
      </c>
      <c r="IH34" s="269">
        <f t="shared" si="59"/>
        <v>0.8064301172334728</v>
      </c>
      <c r="II34" s="182">
        <f t="shared" si="60"/>
        <v>1.9563502639974462</v>
      </c>
      <c r="IJ34" s="105">
        <f t="shared" si="222"/>
        <v>0.57599654015076751</v>
      </c>
      <c r="IK34" s="267">
        <f t="shared" si="184"/>
        <v>8.9403508771929843E-5</v>
      </c>
      <c r="IL34" s="113">
        <f t="shared" si="223"/>
        <v>0</v>
      </c>
      <c r="IM34" s="113">
        <f t="shared" si="64"/>
        <v>2.4218138070747165E-2</v>
      </c>
      <c r="IN34" s="8"/>
      <c r="IO34" s="16">
        <f t="shared" si="152"/>
        <v>8.6890657110237008E-5</v>
      </c>
      <c r="IP34" s="16">
        <f t="shared" si="186"/>
        <v>0</v>
      </c>
      <c r="IQ34" s="16">
        <f t="shared" si="187"/>
        <v>4.7876749065489964E-2</v>
      </c>
      <c r="IR34" s="16">
        <f t="shared" si="193"/>
        <v>0.16478000000002402</v>
      </c>
      <c r="IS34" s="16"/>
      <c r="IT34" s="16">
        <f t="shared" si="188"/>
        <v>2.1057268652536137E-2</v>
      </c>
      <c r="IU34" s="16">
        <f t="shared" si="194"/>
        <v>0.35958000000021884</v>
      </c>
      <c r="IV34" s="16">
        <f t="shared" si="189"/>
        <v>5.0367898584005803E-2</v>
      </c>
      <c r="IW34" s="8"/>
      <c r="IX34" s="17">
        <f t="shared" si="224"/>
        <v>4.4557732721001528</v>
      </c>
      <c r="IY34" s="18">
        <f t="shared" si="112"/>
        <v>7049.033955723331</v>
      </c>
      <c r="IZ34" s="14">
        <f t="shared" si="113"/>
        <v>1.4488992557371996</v>
      </c>
      <c r="JA34" s="18">
        <f t="shared" si="121"/>
        <v>33140.035500859121</v>
      </c>
      <c r="JB34" s="18">
        <f t="shared" si="195"/>
        <v>697.83863069617553</v>
      </c>
      <c r="JC34" s="18">
        <f t="shared" si="196"/>
        <v>5460.8150498323621</v>
      </c>
      <c r="JD34" s="18">
        <f t="shared" si="115"/>
        <v>4.1721915603665884</v>
      </c>
      <c r="JE34" s="18">
        <f t="shared" si="116"/>
        <v>0</v>
      </c>
      <c r="JF34" s="18">
        <f t="shared" si="117"/>
        <v>4.1721915603665884</v>
      </c>
      <c r="JG34" s="19">
        <f t="shared" si="118"/>
        <v>1669.1939471776241</v>
      </c>
      <c r="JH34" s="11" t="str">
        <f t="shared" si="74"/>
        <v>-</v>
      </c>
      <c r="JI34" s="20" t="e">
        <f t="shared" si="225"/>
        <v>#VALUE!</v>
      </c>
    </row>
    <row r="35" spans="1:269" x14ac:dyDescent="0.25">
      <c r="DZ35" s="173"/>
      <c r="EA35" s="173"/>
    </row>
    <row r="36" spans="1:269" x14ac:dyDescent="0.25">
      <c r="DZ36" s="173"/>
      <c r="EA36" s="173"/>
    </row>
    <row r="37" spans="1:269" x14ac:dyDescent="0.25">
      <c r="DZ37" s="173"/>
      <c r="EA37" s="173"/>
    </row>
    <row r="38" spans="1:269" x14ac:dyDescent="0.25">
      <c r="DZ38" s="173"/>
      <c r="EA38" s="173"/>
    </row>
    <row r="39" spans="1:269" x14ac:dyDescent="0.25">
      <c r="DZ39" s="173"/>
      <c r="EA39" s="173"/>
    </row>
    <row r="40" spans="1:269" x14ac:dyDescent="0.25">
      <c r="DZ40" s="173"/>
      <c r="EA40" s="173"/>
    </row>
  </sheetData>
  <pageMargins left="0.70866141732283472" right="0.70866141732283472" top="0.74803149606299213" bottom="0.74803149606299213" header="0.31496062992125984" footer="0.31496062992125984"/>
  <pageSetup paperSize="8" scale="41" fitToWidth="3" fitToHeight="0" orientation="landscape" r:id="rId1"/>
  <colBreaks count="6" manualBreakCount="6">
    <brk id="50" max="1048575" man="1"/>
    <brk id="93" max="1048575" man="1"/>
    <brk id="131" max="1048575" man="1"/>
    <brk id="166" max="1048575" man="1"/>
    <brk id="197" max="1048575" man="1"/>
    <brk id="247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N64"/>
  <sheetViews>
    <sheetView zoomScale="85" zoomScaleNormal="85" workbookViewId="0">
      <selection activeCell="A11" sqref="A1:XFD11"/>
    </sheetView>
  </sheetViews>
  <sheetFormatPr defaultColWidth="9.140625" defaultRowHeight="15" x14ac:dyDescent="0.25"/>
  <cols>
    <col min="1" max="2" width="9.140625" style="1"/>
    <col min="3" max="3" width="10.7109375" style="1" bestFit="1" customWidth="1"/>
    <col min="4" max="4" width="12.7109375" style="1" bestFit="1" customWidth="1"/>
    <col min="5" max="6" width="12.7109375" style="1" customWidth="1"/>
    <col min="7" max="31" width="9.140625" style="1"/>
    <col min="32" max="69" width="9.140625" style="1" customWidth="1"/>
    <col min="70" max="70" width="12" style="1" bestFit="1" customWidth="1"/>
    <col min="71" max="16384" width="9.140625" style="1"/>
  </cols>
  <sheetData>
    <row r="1" spans="1:92" x14ac:dyDescent="0.25">
      <c r="A1" s="326"/>
      <c r="B1" s="23" t="s">
        <v>283</v>
      </c>
      <c r="C1" s="326"/>
      <c r="D1" s="326"/>
      <c r="E1" s="326"/>
      <c r="F1" s="326"/>
    </row>
    <row r="2" spans="1:92" x14ac:dyDescent="0.25">
      <c r="A2" s="326"/>
      <c r="B2" s="325" t="s">
        <v>123</v>
      </c>
      <c r="C2" s="326" t="s">
        <v>279</v>
      </c>
      <c r="D2" s="326"/>
      <c r="E2" s="326"/>
      <c r="F2" s="326"/>
    </row>
    <row r="3" spans="1:92" x14ac:dyDescent="0.25">
      <c r="A3" s="326"/>
      <c r="B3" s="325" t="s">
        <v>30</v>
      </c>
      <c r="C3" s="326" t="s">
        <v>280</v>
      </c>
      <c r="D3" s="326"/>
      <c r="E3" s="326"/>
      <c r="F3" s="326"/>
    </row>
    <row r="4" spans="1:92" x14ac:dyDescent="0.25">
      <c r="A4" s="326"/>
      <c r="B4" s="325" t="s">
        <v>259</v>
      </c>
      <c r="C4" s="326" t="s">
        <v>281</v>
      </c>
      <c r="D4" s="326"/>
      <c r="E4" s="326"/>
      <c r="F4" s="326"/>
    </row>
    <row r="5" spans="1:92" x14ac:dyDescent="0.25">
      <c r="A5" s="326"/>
      <c r="B5" s="325" t="s">
        <v>101</v>
      </c>
      <c r="C5" s="326" t="s">
        <v>282</v>
      </c>
      <c r="D5" s="326"/>
      <c r="E5" s="326"/>
      <c r="F5" s="326"/>
    </row>
    <row r="6" spans="1:92" x14ac:dyDescent="0.25">
      <c r="A6" s="326"/>
      <c r="B6" s="326"/>
      <c r="D6" s="326"/>
      <c r="E6" s="326"/>
      <c r="F6" s="326"/>
      <c r="G6" s="320"/>
      <c r="H6" s="320"/>
      <c r="X6" s="326"/>
      <c r="Y6" s="326"/>
      <c r="Z6" s="326"/>
      <c r="AF6" s="1" t="s">
        <v>517</v>
      </c>
      <c r="AK6" s="388" t="s">
        <v>518</v>
      </c>
      <c r="BB6" s="75" t="s">
        <v>547</v>
      </c>
      <c r="BR6" s="75" t="s">
        <v>549</v>
      </c>
      <c r="CD6" s="75" t="s">
        <v>548</v>
      </c>
    </row>
    <row r="7" spans="1:92" ht="15.75" thickBot="1" x14ac:dyDescent="0.3">
      <c r="A7" s="326"/>
      <c r="B7" s="427"/>
      <c r="C7" s="23" t="s">
        <v>277</v>
      </c>
      <c r="D7" s="281"/>
      <c r="E7" s="281"/>
      <c r="F7" s="281"/>
      <c r="G7" s="448"/>
      <c r="H7" s="470"/>
      <c r="I7" s="44"/>
      <c r="J7" s="44"/>
      <c r="K7" s="44"/>
      <c r="L7" s="44"/>
      <c r="M7" s="44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B7" s="388" t="s">
        <v>406</v>
      </c>
      <c r="AK7" s="388" t="s">
        <v>358</v>
      </c>
      <c r="AT7" s="640" t="s">
        <v>98</v>
      </c>
      <c r="AU7" s="640"/>
      <c r="AV7" s="641"/>
      <c r="AW7" s="639" t="s">
        <v>72</v>
      </c>
      <c r="AX7" s="639"/>
      <c r="AY7" s="639"/>
      <c r="BB7" s="46"/>
      <c r="BC7" s="388" t="s">
        <v>505</v>
      </c>
      <c r="BD7" s="552"/>
      <c r="BG7" s="388" t="s">
        <v>506</v>
      </c>
      <c r="BK7" s="1" t="s">
        <v>510</v>
      </c>
      <c r="BN7" s="1" t="s">
        <v>512</v>
      </c>
      <c r="BR7" s="1" t="s">
        <v>515</v>
      </c>
      <c r="BT7" s="1" t="s">
        <v>516</v>
      </c>
      <c r="BV7" s="1" t="s">
        <v>510</v>
      </c>
    </row>
    <row r="8" spans="1:92" s="46" customFormat="1" ht="18" x14ac:dyDescent="0.35">
      <c r="A8" s="326"/>
      <c r="B8" s="428" t="s">
        <v>284</v>
      </c>
      <c r="C8" s="40" t="s">
        <v>434</v>
      </c>
      <c r="D8" s="41" t="s">
        <v>2</v>
      </c>
      <c r="E8" s="41" t="s">
        <v>89</v>
      </c>
      <c r="F8" s="41" t="s">
        <v>475</v>
      </c>
      <c r="G8" s="41" t="s">
        <v>479</v>
      </c>
      <c r="H8" s="41" t="s">
        <v>480</v>
      </c>
      <c r="I8" s="41" t="s">
        <v>481</v>
      </c>
      <c r="J8" s="515" t="s">
        <v>493</v>
      </c>
      <c r="K8" s="515" t="s">
        <v>494</v>
      </c>
      <c r="L8" s="515" t="s">
        <v>563</v>
      </c>
      <c r="M8" s="515" t="s">
        <v>562</v>
      </c>
      <c r="N8" s="41" t="s">
        <v>482</v>
      </c>
      <c r="O8" s="41" t="s">
        <v>484</v>
      </c>
      <c r="P8" s="41" t="s">
        <v>483</v>
      </c>
      <c r="Q8" s="41" t="s">
        <v>485</v>
      </c>
      <c r="R8" s="41" t="s">
        <v>486</v>
      </c>
      <c r="S8" s="41" t="s">
        <v>484</v>
      </c>
      <c r="T8" s="41" t="s">
        <v>487</v>
      </c>
      <c r="U8" s="41" t="s">
        <v>485</v>
      </c>
      <c r="V8" s="41" t="s">
        <v>488</v>
      </c>
      <c r="W8" s="41" t="s">
        <v>489</v>
      </c>
      <c r="X8" s="41" t="s">
        <v>490</v>
      </c>
      <c r="Y8" s="41" t="s">
        <v>491</v>
      </c>
      <c r="Z8" s="42" t="s">
        <v>492</v>
      </c>
      <c r="AB8" s="1" t="s">
        <v>435</v>
      </c>
      <c r="AC8" s="3" t="s">
        <v>436</v>
      </c>
      <c r="AD8" s="1" t="s">
        <v>437</v>
      </c>
      <c r="AE8" s="1" t="s">
        <v>438</v>
      </c>
      <c r="AF8" s="1" t="s">
        <v>439</v>
      </c>
      <c r="AG8" s="46" t="s">
        <v>440</v>
      </c>
      <c r="AH8" s="114" t="s">
        <v>513</v>
      </c>
      <c r="AI8" s="114" t="s">
        <v>560</v>
      </c>
      <c r="AJ8" s="114" t="s">
        <v>561</v>
      </c>
      <c r="AK8" s="1" t="s">
        <v>441</v>
      </c>
      <c r="AL8" s="3" t="s">
        <v>442</v>
      </c>
      <c r="AM8" s="1" t="s">
        <v>443</v>
      </c>
      <c r="AN8" s="1" t="s">
        <v>444</v>
      </c>
      <c r="AO8" s="1" t="s">
        <v>445</v>
      </c>
      <c r="AP8" s="1" t="s">
        <v>446</v>
      </c>
      <c r="AQ8" s="114" t="s">
        <v>513</v>
      </c>
      <c r="AR8" s="340"/>
      <c r="AT8" s="586" t="s">
        <v>219</v>
      </c>
      <c r="AU8" s="586" t="s">
        <v>87</v>
      </c>
      <c r="AV8" s="340" t="s">
        <v>4</v>
      </c>
      <c r="AW8" s="46" t="s">
        <v>219</v>
      </c>
      <c r="AX8" s="586" t="s">
        <v>87</v>
      </c>
      <c r="AY8" s="586" t="s">
        <v>4</v>
      </c>
      <c r="BB8" s="46" t="s">
        <v>501</v>
      </c>
      <c r="BC8" s="642" t="s">
        <v>504</v>
      </c>
      <c r="BD8" s="642"/>
      <c r="BE8" s="46" t="s">
        <v>502</v>
      </c>
      <c r="BF8" s="340" t="s">
        <v>503</v>
      </c>
      <c r="BG8" s="642" t="s">
        <v>504</v>
      </c>
      <c r="BH8" s="642"/>
      <c r="BI8" s="46" t="s">
        <v>502</v>
      </c>
      <c r="BJ8" s="340" t="s">
        <v>503</v>
      </c>
      <c r="BK8" s="642" t="s">
        <v>504</v>
      </c>
      <c r="BL8" s="642"/>
      <c r="BN8" s="46" t="s">
        <v>508</v>
      </c>
      <c r="BO8" s="46" t="s">
        <v>509</v>
      </c>
      <c r="BP8" s="46" t="s">
        <v>511</v>
      </c>
      <c r="BR8" s="46" t="s">
        <v>507</v>
      </c>
      <c r="BS8" s="46" t="s">
        <v>514</v>
      </c>
      <c r="BT8" s="46" t="s">
        <v>507</v>
      </c>
      <c r="BU8" s="46" t="s">
        <v>514</v>
      </c>
      <c r="BV8" s="589" t="s">
        <v>537</v>
      </c>
      <c r="BW8" s="46" t="s">
        <v>507</v>
      </c>
      <c r="BX8" s="46" t="s">
        <v>514</v>
      </c>
      <c r="BZ8" s="46" t="s">
        <v>89</v>
      </c>
      <c r="CA8" s="46" t="s">
        <v>508</v>
      </c>
      <c r="CB8" s="46" t="s">
        <v>509</v>
      </c>
      <c r="CD8" s="586" t="s">
        <v>558</v>
      </c>
      <c r="CE8" s="586" t="s">
        <v>514</v>
      </c>
      <c r="CF8" s="586" t="s">
        <v>559</v>
      </c>
      <c r="CG8" s="586" t="s">
        <v>514</v>
      </c>
      <c r="CH8" s="589"/>
      <c r="CI8" s="586"/>
      <c r="CJ8" s="586"/>
      <c r="CK8" s="586"/>
      <c r="CL8" s="586" t="s">
        <v>89</v>
      </c>
      <c r="CM8" s="586" t="s">
        <v>508</v>
      </c>
      <c r="CN8" s="586" t="s">
        <v>509</v>
      </c>
    </row>
    <row r="9" spans="1:92" s="63" customFormat="1" x14ac:dyDescent="0.25">
      <c r="A9" s="326"/>
      <c r="B9" s="453"/>
      <c r="C9" s="195"/>
      <c r="D9" s="6"/>
      <c r="E9" s="6" t="s">
        <v>11</v>
      </c>
      <c r="F9" s="6" t="s">
        <v>11</v>
      </c>
      <c r="G9" s="6" t="s">
        <v>109</v>
      </c>
      <c r="H9" s="6" t="s">
        <v>203</v>
      </c>
      <c r="I9" s="6" t="s">
        <v>203</v>
      </c>
      <c r="J9" s="6" t="s">
        <v>38</v>
      </c>
      <c r="K9" s="6" t="s">
        <v>38</v>
      </c>
      <c r="L9" s="6" t="s">
        <v>38</v>
      </c>
      <c r="M9" s="6" t="s">
        <v>38</v>
      </c>
      <c r="N9" s="6" t="s">
        <v>49</v>
      </c>
      <c r="O9" s="6" t="s">
        <v>49</v>
      </c>
      <c r="P9" s="6" t="s">
        <v>49</v>
      </c>
      <c r="Q9" s="6" t="s">
        <v>49</v>
      </c>
      <c r="R9" s="6" t="s">
        <v>109</v>
      </c>
      <c r="S9" s="6" t="s">
        <v>49</v>
      </c>
      <c r="T9" s="6" t="s">
        <v>109</v>
      </c>
      <c r="U9" s="6" t="s">
        <v>49</v>
      </c>
      <c r="V9" s="6" t="s">
        <v>39</v>
      </c>
      <c r="W9" s="6" t="s">
        <v>39</v>
      </c>
      <c r="X9" s="6" t="s">
        <v>49</v>
      </c>
      <c r="Y9" s="6" t="s">
        <v>39</v>
      </c>
      <c r="Z9" s="324" t="s">
        <v>39</v>
      </c>
      <c r="AA9" s="46"/>
      <c r="AB9" s="36" t="s">
        <v>58</v>
      </c>
      <c r="AC9" s="36" t="s">
        <v>58</v>
      </c>
      <c r="AD9" s="36" t="s">
        <v>58</v>
      </c>
      <c r="AE9" s="36" t="s">
        <v>58</v>
      </c>
      <c r="AF9" s="36" t="s">
        <v>88</v>
      </c>
      <c r="AG9" s="36" t="s">
        <v>88</v>
      </c>
      <c r="AH9" s="36" t="s">
        <v>88</v>
      </c>
      <c r="AI9" s="36" t="s">
        <v>88</v>
      </c>
      <c r="AJ9" s="36" t="s">
        <v>88</v>
      </c>
      <c r="AK9" s="36" t="s">
        <v>58</v>
      </c>
      <c r="AL9" s="36" t="s">
        <v>58</v>
      </c>
      <c r="AM9" s="36" t="s">
        <v>58</v>
      </c>
      <c r="AN9" s="36" t="s">
        <v>58</v>
      </c>
      <c r="AO9" s="36" t="s">
        <v>88</v>
      </c>
      <c r="AP9" s="36" t="s">
        <v>88</v>
      </c>
      <c r="AQ9" s="36" t="s">
        <v>88</v>
      </c>
      <c r="AR9" s="454"/>
      <c r="AT9" s="586" t="s">
        <v>9</v>
      </c>
      <c r="AU9" s="586" t="s">
        <v>37</v>
      </c>
      <c r="AV9" s="340" t="s">
        <v>125</v>
      </c>
      <c r="AW9" s="46" t="s">
        <v>9</v>
      </c>
      <c r="AX9" s="586" t="s">
        <v>37</v>
      </c>
      <c r="AY9" s="586" t="s">
        <v>125</v>
      </c>
      <c r="AZ9" s="46"/>
      <c r="BB9" s="36" t="s">
        <v>11</v>
      </c>
      <c r="BC9" s="36" t="s">
        <v>534</v>
      </c>
      <c r="BD9" s="36" t="s">
        <v>11</v>
      </c>
      <c r="BE9" s="36" t="s">
        <v>535</v>
      </c>
      <c r="BF9" s="454" t="s">
        <v>535</v>
      </c>
      <c r="BG9" s="36" t="s">
        <v>534</v>
      </c>
      <c r="BH9" s="36" t="s">
        <v>11</v>
      </c>
      <c r="BI9" s="36" t="s">
        <v>535</v>
      </c>
      <c r="BJ9" s="454" t="s">
        <v>535</v>
      </c>
      <c r="BK9" s="36" t="s">
        <v>534</v>
      </c>
      <c r="BL9" s="36" t="s">
        <v>11</v>
      </c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</row>
    <row r="10" spans="1:92" s="63" customFormat="1" x14ac:dyDescent="0.25">
      <c r="A10" s="326"/>
      <c r="B10" s="430">
        <v>10</v>
      </c>
      <c r="C10" s="637" t="s">
        <v>255</v>
      </c>
      <c r="D10" s="46" t="s">
        <v>82</v>
      </c>
      <c r="E10" s="537" t="str">
        <f>VLOOKUP($B10,'Core Demand'!$B$8:$E$36,MATCH(E$8,'Core Demand'!$B$8:$E$8,0),FALSE)</f>
        <v>-</v>
      </c>
      <c r="F10" s="537">
        <f>VLOOKUP($B10,'Core Demand'!$B$8:$E$36,MATCH(F$8,'Core Demand'!$B$8:$E$8,0),FALSE)</f>
        <v>430.91999999999996</v>
      </c>
      <c r="G10" s="485" t="e">
        <f ca="1">VLOOKUP($B10,'Equiv Connection'!$B$10:$H$36,MATCH('Summary (2)'!G$8,'Equiv Connection'!$B$8:$H$8,0),FALSE)</f>
        <v>#NAME?</v>
      </c>
      <c r="H10" s="87">
        <f>VLOOKUP($B10,'Restrainer End'!$B$10:$J$36,MATCH('Summary (2)'!H$8,'Restrainer End'!$B$8:$J$8,0),FALSE)</f>
        <v>1200.51936</v>
      </c>
      <c r="I10" s="87">
        <f>VLOOKUP($B10,'Restrainer End'!$B$10:$J$36,MATCH('Summary (2)'!I$8,'Restrainer End'!$B$8:$J$8,0),FALSE)</f>
        <v>465.98209536000047</v>
      </c>
      <c r="J10" s="108" t="e">
        <f ca="1">VLOOKUP($B10,'Drift&amp;Imperfection'!$B$10:$G$36,MATCH('Summary (2)'!J$8,'Drift&amp;Imperfection'!$B$8:$G$8,0),FALSE)</f>
        <v>#NAME?</v>
      </c>
      <c r="K10" s="87" t="e">
        <f ca="1">VLOOKUP($B10,'Drift&amp;Imperfection'!$B$10:$G$36,MATCH('Summary (2)'!K$8,'Drift&amp;Imperfection'!$B$8:$G$8,0),FALSE)</f>
        <v>#NAME?</v>
      </c>
      <c r="L10" s="264" t="e">
        <f ca="1">VLOOKUP($B10,'Drift&amp;Imperfection'!$B$10:$G$36,MATCH('Summary (2)'!L$8,'Drift&amp;Imperfection'!$B$8:$G$8,0),FALSE)</f>
        <v>#NAME?</v>
      </c>
      <c r="M10" s="264">
        <f>VLOOKUP($B10,'Drift&amp;Imperfection'!$B$10:$G$36,MATCH('Summary (2)'!M$8,'Drift&amp;Imperfection'!$B$8:$G$8,0),FALSE)</f>
        <v>2.2222222222222223E-2</v>
      </c>
      <c r="N10" s="86" t="e">
        <f ca="1">VLOOKUP($B10,Framing!$B$20:$D$46,MATCH('Summary (2)'!N$8,Framing!$B$18:$D$18,0),FALSE)</f>
        <v>#NAME?</v>
      </c>
      <c r="O10" s="86">
        <f>VLOOKUP($B10,Gusset!$B$10:$E$36,MATCH('Summary (2)'!O$8,Gusset!$B$8:$E$8,0),FALSE)</f>
        <v>0</v>
      </c>
      <c r="P10" s="86" t="str">
        <f>VLOOKUP($B10,Framing!$B$20:$D$46,MATCH('Summary (2)'!P$8,Framing!$B$18:$D$18,0),FALSE)</f>
        <v>∞</v>
      </c>
      <c r="Q10" s="86">
        <f>VLOOKUP($B10,Gusset!$B$10:$E$36,MATCH('Summary (2)'!Q$8,Gusset!$B$8:$E$8,0),FALSE)</f>
        <v>0</v>
      </c>
      <c r="R10" s="485" t="e">
        <f ca="1">VLOOKUP($B10,'Equiv Connection'!$B$10:$H$36,MATCH('Summary (2)'!R$8,'Equiv Connection'!$B$8:$H$8,0),FALSE)</f>
        <v>#NAME?</v>
      </c>
      <c r="S10" s="87" t="e">
        <f ca="1">VLOOKUP($B10,'Equiv Connection'!$B$10:$H$36,MATCH('Summary (2)'!S$8,'Equiv Connection'!$B$8:$H$8,0),FALSE)</f>
        <v>#NAME?</v>
      </c>
      <c r="T10" s="485" t="e">
        <f ca="1">VLOOKUP($B10,'Equiv Connection'!$B$10:$H$36,MATCH('Summary (2)'!T$8,'Equiv Connection'!$B$8:$H$8,0),FALSE)</f>
        <v>#NAME?</v>
      </c>
      <c r="U10" s="87" t="e">
        <f ca="1">VLOOKUP($B10,'Equiv Connection'!$B$10:$H$36,MATCH('Summary (2)'!U$8,'Equiv Connection'!$B$8:$H$8,0),FALSE)</f>
        <v>#NAME?</v>
      </c>
      <c r="V10" s="108">
        <f>VLOOKUP($B10,Gusset!$B$10:$E$36,MATCH('Summary (2)'!V$8,Gusset!$B$8:$E$8,0),FALSE)</f>
        <v>0</v>
      </c>
      <c r="W10" s="108">
        <f>VLOOKUP($B10,Gusset!$B$10:$I$36,MATCH('Summary (2)'!W$8,Gusset!$B$8:$I$8,0),FALSE)</f>
        <v>0</v>
      </c>
      <c r="X10" s="87">
        <f>VLOOKUP($B10,'Restrainer End'!$B$10:$J$36,MATCH('Summary (2)'!X$8,'Restrainer End'!$B$8:$J$8,0),FALSE)</f>
        <v>1014.9067466679393</v>
      </c>
      <c r="Y10" s="108">
        <f>VLOOKUP($B10,'Restrainer End'!$B$10:$J$36,MATCH('Summary (2)'!Y$8,'Restrainer End'!$B$8:$J$8,0),FALSE)</f>
        <v>1.2728148996010775</v>
      </c>
      <c r="Z10" s="455">
        <f>VLOOKUP($B10,'Restrainer End'!$B$10:$J$36,MATCH('Summary (2)'!Z$8,'Restrainer End'!$B$8:$J$8,0),FALSE)</f>
        <v>5.5199703330552987</v>
      </c>
      <c r="AA10" s="46"/>
      <c r="AB10" s="156">
        <f t="shared" ref="AB10:AB15" si="0">H10/I10</f>
        <v>2.5763207899061515</v>
      </c>
      <c r="AC10" s="156" t="e">
        <f t="shared" ref="AC10:AC15" ca="1" si="1">R10/G10</f>
        <v>#NAME?</v>
      </c>
      <c r="AD10" s="156" t="e">
        <f t="shared" ref="AD10:AD15" ca="1" si="2">X10*R10/H10</f>
        <v>#NAME?</v>
      </c>
      <c r="AE10" s="156" t="e">
        <f t="shared" ref="AE10:AE15" ca="1" si="3">S10*R10/H10</f>
        <v>#NAME?</v>
      </c>
      <c r="AF10" s="155">
        <f t="shared" ref="AF10:AF47" si="4">MIN(Y10:Z10)/X10</f>
        <v>1.25412004972859E-3</v>
      </c>
      <c r="AG10" s="155" t="e">
        <f t="shared" ref="AG10:AG47" ca="1" si="5">V10/S10</f>
        <v>#NAME?</v>
      </c>
      <c r="AH10" s="155" t="e">
        <f t="shared" ref="AH10:AH27" ca="1" si="6">J10/10^3/R10</f>
        <v>#NAME?</v>
      </c>
      <c r="AI10" s="155" t="e">
        <f ca="1">L10+(3+AD10)/(3+1.5*AD10)*M10</f>
        <v>#NAME?</v>
      </c>
      <c r="AJ10" s="473" t="e">
        <f ca="1">L10+(3+AD10)*(1-2*AC10)/(3+1.5*AD10-2*AD10*AC10)*M10</f>
        <v>#NAME?</v>
      </c>
      <c r="AK10" s="557">
        <f t="shared" ref="AK10:AK15" si="7">H10/I10</f>
        <v>2.5763207899061515</v>
      </c>
      <c r="AL10" s="557" t="e">
        <f t="shared" ref="AL10:AL15" ca="1" si="8">T10/G10</f>
        <v>#NAME?</v>
      </c>
      <c r="AM10" s="557" t="e">
        <f t="shared" ref="AM10:AM15" ca="1" si="9">X10*T10/H10</f>
        <v>#NAME?</v>
      </c>
      <c r="AN10" s="557" t="e">
        <f t="shared" ref="AN10:AN15" ca="1" si="10">U10*T10/H10</f>
        <v>#NAME?</v>
      </c>
      <c r="AO10" s="558">
        <f t="shared" ref="AO10:AO47" si="11">MIN(Y10:Z10)/X10</f>
        <v>1.25412004972859E-3</v>
      </c>
      <c r="AP10" s="558" t="e">
        <f t="shared" ref="AP10:AP47" ca="1" si="12">W10/U10</f>
        <v>#NAME?</v>
      </c>
      <c r="AQ10" s="558" t="e">
        <f t="shared" ref="AQ10:AQ15" ca="1" si="13">K10/10^3/T10</f>
        <v>#NAME?</v>
      </c>
      <c r="AR10" s="473"/>
      <c r="AT10" s="87" t="e">
        <f>VLOOKUP($B10,Gusset!$B$10:$E$36,MATCH('Summary (2)'!AT$8,Gusset!$B$8:$E$8,0),FALSE)</f>
        <v>#N/A</v>
      </c>
      <c r="AU10" s="87" t="e">
        <f>VLOOKUP($B10,Gusset!$B$10:$E$36,MATCH('Summary (2)'!AU$8,Gusset!$B$8:$E$8,0),FALSE)</f>
        <v>#N/A</v>
      </c>
      <c r="AV10" s="591" t="e">
        <f>VLOOKUP($B10,Gusset!$B$10:$E$36,MATCH('Summary (2)'!AV$8,Gusset!$B$8:$E$8,0),FALSE)</f>
        <v>#N/A</v>
      </c>
      <c r="AW10" s="87">
        <f>VLOOKUP($B10,'Restrainer End'!$B$10:$J$36,MATCH('Summary (2)'!AW$8,'Restrainer End'!$B$8:$J$8,0),FALSE)</f>
        <v>4176</v>
      </c>
      <c r="AX10" s="87">
        <f>VLOOKUP($B10,'Restrainer End'!$B$10:$J$36,MATCH('Summary (2)'!AX$8,'Restrainer End'!$B$8:$J$8,0),FALSE)</f>
        <v>5856192</v>
      </c>
      <c r="AY10" s="87">
        <f>VLOOKUP($B10,'Restrainer End'!$B$10:$J$36,MATCH('Summary (2)'!AY$8,'Restrainer End'!$B$8:$J$8,0),FALSE)</f>
        <v>266</v>
      </c>
      <c r="AZ10" s="46"/>
      <c r="BB10" s="62" t="e">
        <f ca="1">Ncr0($H10,$R10)</f>
        <v>#NAME?</v>
      </c>
      <c r="BC10" s="199" t="e">
        <f ca="1">NcreSym($AB10,$AC10,$AE10,$AD10)</f>
        <v>#NAME?</v>
      </c>
      <c r="BD10" s="62" t="e">
        <f ca="1">BB10*BC10</f>
        <v>#NAME?</v>
      </c>
      <c r="BE10" s="81" t="e">
        <f ca="1">ABS(_xll.crSym(BC10,$AE10))</f>
        <v>#NAME?</v>
      </c>
      <c r="BF10" s="553" t="e">
        <f ca="1">ABS(_xll.cgSym(BC10,$AE10))</f>
        <v>#NAME?</v>
      </c>
      <c r="BG10" s="199" t="e">
        <f ca="1">Ncreasym($AB10,$AC10,$AE10,$AD10)</f>
        <v>#NAME?</v>
      </c>
      <c r="BH10" s="62" t="e">
        <f ca="1">BB10*BG10</f>
        <v>#NAME?</v>
      </c>
      <c r="BI10" s="81" t="e">
        <f ca="1">ABS(_xll.crAsym(BG10,$AE10,$AC10))</f>
        <v>#NAME?</v>
      </c>
      <c r="BJ10" s="553" t="e">
        <f ca="1">ABS(_xll.cgAsym(BG10,$AE10,$AC10))</f>
        <v>#NAME?</v>
      </c>
      <c r="BK10" s="199" t="e">
        <f ca="1">Ncreasym($AB10,$AC10,$AE10,0)</f>
        <v>#NAME?</v>
      </c>
      <c r="BL10" s="62" t="e">
        <f ca="1">BB10*BK10</f>
        <v>#NAME?</v>
      </c>
      <c r="BN10" s="137" t="str">
        <f t="shared" ref="BN10:BN27" si="14">IF(ISNUMBER(E10),MIN(BD10,BH10)/E10,E10)</f>
        <v>-</v>
      </c>
      <c r="BO10" s="137" t="e">
        <f t="shared" ref="BO10:BO27" ca="1" si="15">MIN(BD10,BH10)/F10</f>
        <v>#NAME?</v>
      </c>
      <c r="BP10" s="137" t="e">
        <f ca="1">MIN(BD10,BH10)/BL10</f>
        <v>#NAME?</v>
      </c>
      <c r="BR10" s="62" t="e">
        <f ca="1">Ncr(Mp_Norm($AF10,$AD10),0,$AI10,BC10,BE10)*$BB10</f>
        <v>#NAME?</v>
      </c>
      <c r="BS10" s="199" t="e">
        <f ca="1">BR10/$BD10</f>
        <v>#NAME?</v>
      </c>
      <c r="BT10" s="62" t="e">
        <f ca="1">Ncr(Mp_Norm($AF10,$AD10),0,$AJ10,BG10,BI10)*$BB10</f>
        <v>#NAME?</v>
      </c>
      <c r="BU10" s="199" t="e">
        <f ca="1">BT10/BH10</f>
        <v>#NAME?</v>
      </c>
      <c r="BV10" s="62" t="e">
        <f t="shared" ref="BV10:BV47" ca="1" si="16">slenderness(BL10*10^3,AW10,AX10)</f>
        <v>#NAME?</v>
      </c>
      <c r="BW10" s="62" t="e">
        <f t="shared" ref="BW10:BW47" ca="1" si="17">_xll.Ncr_EC3(AW10,BV10,"c",AY10)/10^3</f>
        <v>#VALUE!</v>
      </c>
      <c r="BX10" s="199" t="e">
        <f ca="1">BW10/BL10</f>
        <v>#VALUE!</v>
      </c>
      <c r="BZ10" s="62" t="e">
        <f ca="1">MAX(BW10,MIN(BR10,BT10))</f>
        <v>#NAME?</v>
      </c>
      <c r="CA10" s="137" t="str">
        <f t="shared" ref="CA10:CA27" si="18">IF(ISNUMBER(E10),BZ10/E10,E10)</f>
        <v>-</v>
      </c>
      <c r="CB10" s="137" t="e">
        <f t="shared" ref="CB10:CB27" ca="1" si="19">BZ10/F10</f>
        <v>#NAME?</v>
      </c>
      <c r="CD10" s="62" t="e">
        <f ca="1">Nlim1(Mp_Norm($AF10,$AD10),0,$AH10,BC10,BK10*BX10)*$BB10</f>
        <v>#NAME?</v>
      </c>
      <c r="CE10" s="199" t="e">
        <f t="shared" ref="CE10:CE21" ca="1" si="20">CD10/$BD10</f>
        <v>#NAME?</v>
      </c>
      <c r="CF10" s="62"/>
      <c r="CG10" s="199"/>
      <c r="CH10" s="62"/>
      <c r="CI10" s="62"/>
      <c r="CJ10" s="199"/>
      <c r="CL10" s="62" t="e">
        <f ca="1">MAX(CI10,MIN(CD10,CF10))</f>
        <v>#NAME?</v>
      </c>
      <c r="CM10" s="137" t="str">
        <f>IF(ISNUMBER(E10),CL10/E10,E10)</f>
        <v>-</v>
      </c>
      <c r="CN10" s="137" t="e">
        <f ca="1">CL10/F10</f>
        <v>#NAME?</v>
      </c>
    </row>
    <row r="11" spans="1:92" s="63" customFormat="1" x14ac:dyDescent="0.25">
      <c r="A11" s="326"/>
      <c r="B11" s="430">
        <v>11</v>
      </c>
      <c r="C11" s="637"/>
      <c r="D11" s="46" t="s">
        <v>15</v>
      </c>
      <c r="E11" s="86">
        <f>VLOOKUP($B11,'Core Demand'!$B$8:$E$36,MATCH(E$8,'Core Demand'!$B$8:$E$8,0),FALSE)</f>
        <v>535</v>
      </c>
      <c r="F11" s="86">
        <f>VLOOKUP($B11,'Core Demand'!$B$8:$E$36,MATCH(F$8,'Core Demand'!$B$8:$E$8,0),FALSE)</f>
        <v>432.21600000000001</v>
      </c>
      <c r="G11" s="485" t="e">
        <f ca="1">VLOOKUP($B11,'Equiv Connection'!$B$10:$H$36,MATCH('Summary (2)'!G$8,'Equiv Connection'!$B$8:$H$8,0),FALSE)</f>
        <v>#NAME?</v>
      </c>
      <c r="H11" s="87">
        <f>VLOOKUP($B11,'Restrainer End'!$B$10:$J$36,MATCH('Summary (2)'!H$8,'Restrainer End'!$B$8:$J$8,0),FALSE)</f>
        <v>1200.51936</v>
      </c>
      <c r="I11" s="87">
        <f>VLOOKUP($B11,'Restrainer End'!$B$10:$J$36,MATCH('Summary (2)'!I$8,'Restrainer End'!$B$8:$J$8,0),FALSE)</f>
        <v>580.86699184599911</v>
      </c>
      <c r="J11" s="87" t="e">
        <f ca="1">VLOOKUP($B11,'Drift&amp;Imperfection'!$B$10:$G$36,MATCH('Summary (2)'!J$8,'Drift&amp;Imperfection'!$B$8:$G$8,0),FALSE)</f>
        <v>#NAME?</v>
      </c>
      <c r="K11" s="87" t="e">
        <f ca="1">VLOOKUP($B11,'Drift&amp;Imperfection'!$B$10:$G$36,MATCH('Summary (2)'!K$8,'Drift&amp;Imperfection'!$B$8:$G$8,0),FALSE)</f>
        <v>#NAME?</v>
      </c>
      <c r="L11" s="264" t="e">
        <f ca="1">VLOOKUP($B11,'Drift&amp;Imperfection'!$B$10:$G$36,MATCH('Summary (2)'!L$8,'Drift&amp;Imperfection'!$B$8:$G$8,0),FALSE)</f>
        <v>#NAME?</v>
      </c>
      <c r="M11" s="264">
        <f>VLOOKUP($B11,'Drift&amp;Imperfection'!$B$10:$G$36,MATCH('Summary (2)'!M$8,'Drift&amp;Imperfection'!$B$8:$G$8,0),FALSE)</f>
        <v>1.1111111111111112E-2</v>
      </c>
      <c r="N11" s="86" t="e">
        <f ca="1">VLOOKUP($B11,Framing!$B$20:$D$46,MATCH('Summary (2)'!N$8,Framing!$B$18:$D$18,0),FALSE)</f>
        <v>#NAME?</v>
      </c>
      <c r="O11" s="86">
        <f>VLOOKUP($B11,Gusset!$B$10:$E$36,MATCH('Summary (2)'!O$8,Gusset!$B$8:$E$8,0),FALSE)</f>
        <v>51</v>
      </c>
      <c r="P11" s="86" t="str">
        <f>VLOOKUP($B11,Framing!$B$20:$D$46,MATCH('Summary (2)'!P$8,Framing!$B$18:$D$18,0),FALSE)</f>
        <v>∞</v>
      </c>
      <c r="Q11" s="86">
        <f>VLOOKUP($B11,Gusset!$B$10:$E$36,MATCH('Summary (2)'!Q$8,Gusset!$B$8:$E$8,0),FALSE)</f>
        <v>51</v>
      </c>
      <c r="R11" s="485" t="e">
        <f ca="1">VLOOKUP($B11,'Equiv Connection'!$B$10:$H$36,MATCH('Summary (2)'!R$8,'Equiv Connection'!$B$8:$H$8,0),FALSE)</f>
        <v>#NAME?</v>
      </c>
      <c r="S11" s="87" t="e">
        <f ca="1">VLOOKUP($B11,'Equiv Connection'!$B$10:$H$36,MATCH('Summary (2)'!S$8,'Equiv Connection'!$B$8:$H$8,0),FALSE)</f>
        <v>#NAME?</v>
      </c>
      <c r="T11" s="485" t="e">
        <f ca="1">VLOOKUP($B11,'Equiv Connection'!$B$10:$H$36,MATCH('Summary (2)'!T$8,'Equiv Connection'!$B$8:$H$8,0),FALSE)</f>
        <v>#NAME?</v>
      </c>
      <c r="U11" s="87" t="e">
        <f ca="1">VLOOKUP($B11,'Equiv Connection'!$B$10:$H$36,MATCH('Summary (2)'!U$8,'Equiv Connection'!$B$8:$H$8,0),FALSE)</f>
        <v>#NAME?</v>
      </c>
      <c r="V11" s="108">
        <f>VLOOKUP($B11,Gusset!$B$10:$E$36,MATCH('Summary (2)'!V$8,Gusset!$B$8:$E$8,0),FALSE)</f>
        <v>0</v>
      </c>
      <c r="W11" s="108">
        <f>VLOOKUP($B11,Gusset!$B$10:$I$36,MATCH('Summary (2)'!W$8,Gusset!$B$8:$I$8,0),FALSE)</f>
        <v>0</v>
      </c>
      <c r="X11" s="87">
        <f>VLOOKUP($B11,'Restrainer End'!$B$10:$J$36,MATCH('Summary (2)'!X$8,'Restrainer End'!$B$8:$J$8,0),FALSE)</f>
        <v>4043.4906169356791</v>
      </c>
      <c r="Y11" s="108" t="e">
        <f ca="1">VLOOKUP($B11,'Restrainer End'!$B$10:$J$36,MATCH('Summary (2)'!Y$8,'Restrainer End'!$B$8:$J$8,0),FALSE)</f>
        <v>#NAME?</v>
      </c>
      <c r="Z11" s="455">
        <f>VLOOKUP($B11,'Restrainer End'!$B$10:$J$36,MATCH('Summary (2)'!Z$8,'Restrainer End'!$B$8:$J$8,0),FALSE)</f>
        <v>6.6904849835565399</v>
      </c>
      <c r="AA11" s="46"/>
      <c r="AB11" s="156">
        <f t="shared" si="0"/>
        <v>2.066771527479538</v>
      </c>
      <c r="AC11" s="156" t="e">
        <f t="shared" ca="1" si="1"/>
        <v>#NAME?</v>
      </c>
      <c r="AD11" s="156" t="e">
        <f t="shared" ca="1" si="2"/>
        <v>#NAME?</v>
      </c>
      <c r="AE11" s="156" t="e">
        <f t="shared" ca="1" si="3"/>
        <v>#NAME?</v>
      </c>
      <c r="AF11" s="155" t="e">
        <f t="shared" ca="1" si="4"/>
        <v>#NAME?</v>
      </c>
      <c r="AG11" s="155" t="e">
        <f t="shared" ca="1" si="5"/>
        <v>#NAME?</v>
      </c>
      <c r="AH11" s="155" t="e">
        <f t="shared" ca="1" si="6"/>
        <v>#NAME?</v>
      </c>
      <c r="AI11" s="155" t="e">
        <f t="shared" ref="AI11:AI47" ca="1" si="21">L11+(3+AD11)/(3+1.5*AD11)*M11</f>
        <v>#NAME?</v>
      </c>
      <c r="AJ11" s="473" t="e">
        <f t="shared" ref="AJ11:AJ47" ca="1" si="22">L11+(3+AD11)*(1-2*AC11)/(3+1.5*AD11-2*AD11*AC11)*M11</f>
        <v>#NAME?</v>
      </c>
      <c r="AK11" s="557">
        <f t="shared" si="7"/>
        <v>2.066771527479538</v>
      </c>
      <c r="AL11" s="557" t="e">
        <f t="shared" ca="1" si="8"/>
        <v>#NAME?</v>
      </c>
      <c r="AM11" s="557" t="e">
        <f t="shared" ca="1" si="9"/>
        <v>#NAME?</v>
      </c>
      <c r="AN11" s="557" t="e">
        <f t="shared" ca="1" si="10"/>
        <v>#NAME?</v>
      </c>
      <c r="AO11" s="558" t="e">
        <f t="shared" ca="1" si="11"/>
        <v>#NAME?</v>
      </c>
      <c r="AP11" s="558" t="e">
        <f t="shared" ca="1" si="12"/>
        <v>#NAME?</v>
      </c>
      <c r="AQ11" s="558" t="e">
        <f t="shared" ca="1" si="13"/>
        <v>#NAME?</v>
      </c>
      <c r="AR11" s="473"/>
      <c r="AT11" s="87" t="e">
        <f>VLOOKUP($B11,Gusset!$B$10:$E$36,MATCH('Summary (2)'!AT$8,Gusset!$B$8:$E$8,0),FALSE)</f>
        <v>#N/A</v>
      </c>
      <c r="AU11" s="87" t="e">
        <f>VLOOKUP($B11,Gusset!$B$10:$E$36,MATCH('Summary (2)'!AU$8,Gusset!$B$8:$E$8,0),FALSE)</f>
        <v>#N/A</v>
      </c>
      <c r="AV11" s="591" t="e">
        <f>VLOOKUP($B11,Gusset!$B$10:$E$36,MATCH('Summary (2)'!AV$8,Gusset!$B$8:$E$8,0),FALSE)</f>
        <v>#N/A</v>
      </c>
      <c r="AW11" s="87">
        <f>VLOOKUP($B11,'Restrainer End'!$B$10:$J$36,MATCH('Summary (2)'!AW$8,'Restrainer End'!$B$8:$J$8,0),FALSE)</f>
        <v>4176</v>
      </c>
      <c r="AX11" s="87">
        <f>VLOOKUP($B11,'Restrainer End'!$B$10:$J$36,MATCH('Summary (2)'!AX$8,'Restrainer End'!$B$8:$J$8,0),FALSE)</f>
        <v>5856192</v>
      </c>
      <c r="AY11" s="87">
        <f>VLOOKUP($B11,'Restrainer End'!$B$10:$J$36,MATCH('Summary (2)'!AY$8,'Restrainer End'!$B$8:$J$8,0),FALSE)</f>
        <v>266.8</v>
      </c>
      <c r="AZ11" s="46"/>
      <c r="BB11" s="62" t="e">
        <f ca="1">Ncr0(H11,R11)</f>
        <v>#NAME?</v>
      </c>
      <c r="BC11" s="199" t="e">
        <f t="shared" ref="BC11:BC47" ca="1" si="23">NcreSym(AB11,AC11,AE11,AD11)</f>
        <v>#NAME?</v>
      </c>
      <c r="BD11" s="62" t="e">
        <f t="shared" ref="BD11:BD41" ca="1" si="24">BB11*BC11</f>
        <v>#NAME?</v>
      </c>
      <c r="BE11" s="81" t="e">
        <f t="shared" ref="BE11:BE47" ca="1" si="25">ABS(_xll.crSym(BC11,$AE11))</f>
        <v>#NAME?</v>
      </c>
      <c r="BF11" s="553" t="e">
        <f t="shared" ref="BF11:BF47" ca="1" si="26">ABS(_xll.cgSym(BC11,$AE11))</f>
        <v>#NAME?</v>
      </c>
      <c r="BG11" s="199" t="e">
        <f t="shared" ref="BG11:BG47" ca="1" si="27">Ncreasym($AB11,$AC11,$AE11,$AD11)</f>
        <v>#NAME?</v>
      </c>
      <c r="BH11" s="62" t="e">
        <f t="shared" ref="BH11:BH41" ca="1" si="28">BB11*BG11</f>
        <v>#NAME?</v>
      </c>
      <c r="BI11" s="81" t="e">
        <f t="shared" ref="BI11:BI47" ca="1" si="29">ABS(_xll.crAsym(BG11,$AE11,$AC11))</f>
        <v>#NAME?</v>
      </c>
      <c r="BJ11" s="553" t="e">
        <f t="shared" ref="BJ11:BJ47" ca="1" si="30">ABS(_xll.cgAsym(BG11,$AE11,$AC11))</f>
        <v>#NAME?</v>
      </c>
      <c r="BK11" s="199" t="e">
        <f t="shared" ref="BK11:BK47" ca="1" si="31">Ncreasym($AB11,$AC11,$AE11,0)</f>
        <v>#NAME?</v>
      </c>
      <c r="BL11" s="62" t="e">
        <f t="shared" ref="BL11:BL41" ca="1" si="32">BB11*BK11</f>
        <v>#NAME?</v>
      </c>
      <c r="BN11" s="137" t="e">
        <f t="shared" ca="1" si="14"/>
        <v>#NAME?</v>
      </c>
      <c r="BO11" s="137" t="e">
        <f t="shared" ca="1" si="15"/>
        <v>#NAME?</v>
      </c>
      <c r="BP11" s="137" t="e">
        <f t="shared" ref="BP11:BP41" ca="1" si="33">MIN(BD11,BH11)/BL11</f>
        <v>#NAME?</v>
      </c>
      <c r="BR11" s="62" t="e">
        <f ca="1">Ncr(Mp_Norm($AF11,$AD11),0,$AI11,BC11,BE11)*$BB11</f>
        <v>#NAME?</v>
      </c>
      <c r="BS11" s="199" t="e">
        <f t="shared" ref="BS11:BS47" ca="1" si="34">BR11/$BD11</f>
        <v>#NAME?</v>
      </c>
      <c r="BT11" s="62" t="e">
        <f ca="1">Ncr(Mp_Norm($AF11,$AD11),0,$AJ11,BG11,BI11)*$BB11</f>
        <v>#NAME?</v>
      </c>
      <c r="BU11" s="199" t="e">
        <f t="shared" ref="BU11:BU41" ca="1" si="35">BT11/BH11</f>
        <v>#NAME?</v>
      </c>
      <c r="BV11" s="62" t="e">
        <f t="shared" ca="1" si="16"/>
        <v>#NAME?</v>
      </c>
      <c r="BW11" s="62" t="e">
        <f t="shared" ca="1" si="17"/>
        <v>#VALUE!</v>
      </c>
      <c r="BX11" s="199" t="e">
        <f t="shared" ref="BX11:BX47" ca="1" si="36">BW11/BL11</f>
        <v>#VALUE!</v>
      </c>
      <c r="BZ11" s="62" t="e">
        <f t="shared" ref="BZ11:BZ47" ca="1" si="37">MAX(BW11,MIN(BR11,BT11))</f>
        <v>#NAME?</v>
      </c>
      <c r="CA11" s="137" t="e">
        <f t="shared" ca="1" si="18"/>
        <v>#NAME?</v>
      </c>
      <c r="CB11" s="137" t="e">
        <f t="shared" ca="1" si="19"/>
        <v>#NAME?</v>
      </c>
      <c r="CD11" s="62" t="e">
        <f ca="1">Nlim1(Mp_Norm($AF11,$AD11),0,$AH11,BC11,BK11*BX11)*$BB11</f>
        <v>#NAME?</v>
      </c>
      <c r="CE11" s="199" t="e">
        <f t="shared" ca="1" si="20"/>
        <v>#NAME?</v>
      </c>
      <c r="CF11" s="62"/>
      <c r="CG11" s="199"/>
      <c r="CH11" s="62"/>
      <c r="CI11" s="62"/>
      <c r="CJ11" s="199"/>
    </row>
    <row r="12" spans="1:92" s="63" customFormat="1" x14ac:dyDescent="0.25">
      <c r="A12" s="326"/>
      <c r="B12" s="430">
        <v>12</v>
      </c>
      <c r="C12" s="637"/>
      <c r="D12" s="46" t="s">
        <v>16</v>
      </c>
      <c r="E12" s="86">
        <f>VLOOKUP($B12,'Core Demand'!$B$8:$E$36,MATCH(E$8,'Core Demand'!$B$8:$E$8,0),FALSE)</f>
        <v>507</v>
      </c>
      <c r="F12" s="86">
        <f>VLOOKUP($B12,'Core Demand'!$B$8:$E$36,MATCH(F$8,'Core Demand'!$B$8:$E$8,0),FALSE)</f>
        <v>432.21600000000001</v>
      </c>
      <c r="G12" s="485" t="e">
        <f ca="1">VLOOKUP($B12,'Equiv Connection'!$B$10:$H$36,MATCH('Summary (2)'!G$8,'Equiv Connection'!$B$8:$H$8,0),FALSE)</f>
        <v>#NAME?</v>
      </c>
      <c r="H12" s="87">
        <f>VLOOKUP($B12,'Restrainer End'!$B$10:$J$36,MATCH('Summary (2)'!H$8,'Restrainer End'!$B$8:$J$8,0),FALSE)</f>
        <v>1200.51936</v>
      </c>
      <c r="I12" s="87">
        <f>VLOOKUP($B12,'Restrainer End'!$B$10:$J$36,MATCH('Summary (2)'!I$8,'Restrainer End'!$B$8:$J$8,0),FALSE)</f>
        <v>580.86699184599911</v>
      </c>
      <c r="J12" s="87" t="e">
        <f ca="1">VLOOKUP($B12,'Drift&amp;Imperfection'!$B$10:$G$36,MATCH('Summary (2)'!J$8,'Drift&amp;Imperfection'!$B$8:$G$8,0),FALSE)</f>
        <v>#NAME?</v>
      </c>
      <c r="K12" s="87" t="e">
        <f ca="1">VLOOKUP($B12,'Drift&amp;Imperfection'!$B$10:$G$36,MATCH('Summary (2)'!K$8,'Drift&amp;Imperfection'!$B$8:$G$8,0),FALSE)</f>
        <v>#NAME?</v>
      </c>
      <c r="L12" s="264" t="e">
        <f ca="1">VLOOKUP($B12,'Drift&amp;Imperfection'!$B$10:$G$36,MATCH('Summary (2)'!L$8,'Drift&amp;Imperfection'!$B$8:$G$8,0),FALSE)</f>
        <v>#NAME?</v>
      </c>
      <c r="M12" s="264">
        <f>VLOOKUP($B12,'Drift&amp;Imperfection'!$B$10:$G$36,MATCH('Summary (2)'!M$8,'Drift&amp;Imperfection'!$B$8:$G$8,0),FALSE)</f>
        <v>2.2222222222222223E-2</v>
      </c>
      <c r="N12" s="86" t="e">
        <f ca="1">VLOOKUP($B12,Framing!$B$20:$D$46,MATCH('Summary (2)'!N$8,Framing!$B$18:$D$18,0),FALSE)</f>
        <v>#NAME?</v>
      </c>
      <c r="O12" s="86">
        <f>VLOOKUP($B12,Gusset!$B$10:$E$36,MATCH('Summary (2)'!O$8,Gusset!$B$8:$E$8,0),FALSE)</f>
        <v>51</v>
      </c>
      <c r="P12" s="86" t="str">
        <f>VLOOKUP($B12,Framing!$B$20:$D$46,MATCH('Summary (2)'!P$8,Framing!$B$18:$D$18,0),FALSE)</f>
        <v>∞</v>
      </c>
      <c r="Q12" s="86">
        <f>VLOOKUP($B12,Gusset!$B$10:$E$36,MATCH('Summary (2)'!Q$8,Gusset!$B$8:$E$8,0),FALSE)</f>
        <v>51</v>
      </c>
      <c r="R12" s="485" t="e">
        <f ca="1">VLOOKUP($B12,'Equiv Connection'!$B$10:$H$36,MATCH('Summary (2)'!R$8,'Equiv Connection'!$B$8:$H$8,0),FALSE)</f>
        <v>#NAME?</v>
      </c>
      <c r="S12" s="87" t="e">
        <f ca="1">VLOOKUP($B12,'Equiv Connection'!$B$10:$H$36,MATCH('Summary (2)'!S$8,'Equiv Connection'!$B$8:$H$8,0),FALSE)</f>
        <v>#NAME?</v>
      </c>
      <c r="T12" s="485" t="e">
        <f ca="1">VLOOKUP($B12,'Equiv Connection'!$B$10:$H$36,MATCH('Summary (2)'!T$8,'Equiv Connection'!$B$8:$H$8,0),FALSE)</f>
        <v>#NAME?</v>
      </c>
      <c r="U12" s="87" t="e">
        <f ca="1">VLOOKUP($B12,'Equiv Connection'!$B$10:$H$36,MATCH('Summary (2)'!U$8,'Equiv Connection'!$B$8:$H$8,0),FALSE)</f>
        <v>#NAME?</v>
      </c>
      <c r="V12" s="108">
        <f>VLOOKUP($B12,Gusset!$B$10:$E$36,MATCH('Summary (2)'!V$8,Gusset!$B$8:$E$8,0),FALSE)</f>
        <v>0</v>
      </c>
      <c r="W12" s="108">
        <f>VLOOKUP($B12,Gusset!$B$10:$I$36,MATCH('Summary (2)'!W$8,Gusset!$B$8:$I$8,0),FALSE)</f>
        <v>0</v>
      </c>
      <c r="X12" s="87">
        <f>VLOOKUP($B12,'Restrainer End'!$B$10:$J$36,MATCH('Summary (2)'!X$8,'Restrainer End'!$B$8:$J$8,0),FALSE)</f>
        <v>4043.4906169356796</v>
      </c>
      <c r="Y12" s="108" t="e">
        <f ca="1">VLOOKUP($B12,'Restrainer End'!$B$10:$J$36,MATCH('Summary (2)'!Y$8,'Restrainer End'!$B$8:$J$8,0),FALSE)</f>
        <v>#NAME?</v>
      </c>
      <c r="Z12" s="455">
        <f>VLOOKUP($B12,'Restrainer End'!$B$10:$J$36,MATCH('Summary (2)'!Z$8,'Restrainer End'!$B$8:$J$8,0),FALSE)</f>
        <v>6.6904849835565399</v>
      </c>
      <c r="AA12" s="46"/>
      <c r="AB12" s="156">
        <f t="shared" si="0"/>
        <v>2.066771527479538</v>
      </c>
      <c r="AC12" s="156" t="e">
        <f t="shared" ca="1" si="1"/>
        <v>#NAME?</v>
      </c>
      <c r="AD12" s="156" t="e">
        <f t="shared" ca="1" si="2"/>
        <v>#NAME?</v>
      </c>
      <c r="AE12" s="156" t="e">
        <f t="shared" ca="1" si="3"/>
        <v>#NAME?</v>
      </c>
      <c r="AF12" s="155" t="e">
        <f t="shared" ca="1" si="4"/>
        <v>#NAME?</v>
      </c>
      <c r="AG12" s="155" t="e">
        <f t="shared" ca="1" si="5"/>
        <v>#NAME?</v>
      </c>
      <c r="AH12" s="155" t="e">
        <f t="shared" ca="1" si="6"/>
        <v>#NAME?</v>
      </c>
      <c r="AI12" s="155" t="e">
        <f t="shared" ca="1" si="21"/>
        <v>#NAME?</v>
      </c>
      <c r="AJ12" s="473" t="e">
        <f t="shared" ca="1" si="22"/>
        <v>#NAME?</v>
      </c>
      <c r="AK12" s="557">
        <f t="shared" si="7"/>
        <v>2.066771527479538</v>
      </c>
      <c r="AL12" s="557" t="e">
        <f t="shared" ca="1" si="8"/>
        <v>#NAME?</v>
      </c>
      <c r="AM12" s="557" t="e">
        <f t="shared" ca="1" si="9"/>
        <v>#NAME?</v>
      </c>
      <c r="AN12" s="557" t="e">
        <f t="shared" ca="1" si="10"/>
        <v>#NAME?</v>
      </c>
      <c r="AO12" s="558" t="e">
        <f t="shared" ca="1" si="11"/>
        <v>#NAME?</v>
      </c>
      <c r="AP12" s="558" t="e">
        <f t="shared" ca="1" si="12"/>
        <v>#NAME?</v>
      </c>
      <c r="AQ12" s="558" t="e">
        <f t="shared" ca="1" si="13"/>
        <v>#NAME?</v>
      </c>
      <c r="AR12" s="473"/>
      <c r="AT12" s="87" t="e">
        <f>VLOOKUP($B12,Gusset!$B$10:$E$36,MATCH('Summary (2)'!AT$8,Gusset!$B$8:$E$8,0),FALSE)</f>
        <v>#N/A</v>
      </c>
      <c r="AU12" s="87" t="e">
        <f>VLOOKUP($B12,Gusset!$B$10:$E$36,MATCH('Summary (2)'!AU$8,Gusset!$B$8:$E$8,0),FALSE)</f>
        <v>#N/A</v>
      </c>
      <c r="AV12" s="591" t="e">
        <f>VLOOKUP($B12,Gusset!$B$10:$E$36,MATCH('Summary (2)'!AV$8,Gusset!$B$8:$E$8,0),FALSE)</f>
        <v>#N/A</v>
      </c>
      <c r="AW12" s="87">
        <f>VLOOKUP($B12,'Restrainer End'!$B$10:$J$36,MATCH('Summary (2)'!AW$8,'Restrainer End'!$B$8:$J$8,0),FALSE)</f>
        <v>4176</v>
      </c>
      <c r="AX12" s="87">
        <f>VLOOKUP($B12,'Restrainer End'!$B$10:$J$36,MATCH('Summary (2)'!AX$8,'Restrainer End'!$B$8:$J$8,0),FALSE)</f>
        <v>5856192</v>
      </c>
      <c r="AY12" s="87">
        <f>VLOOKUP($B12,'Restrainer End'!$B$10:$J$36,MATCH('Summary (2)'!AY$8,'Restrainer End'!$B$8:$J$8,0),FALSE)</f>
        <v>266.8</v>
      </c>
      <c r="AZ12" s="46"/>
      <c r="BB12" s="62" t="e">
        <f ca="1">Ncr0(H12,R12)</f>
        <v>#NAME?</v>
      </c>
      <c r="BC12" s="199" t="e">
        <f t="shared" ca="1" si="23"/>
        <v>#NAME?</v>
      </c>
      <c r="BD12" s="62" t="e">
        <f t="shared" ca="1" si="24"/>
        <v>#NAME?</v>
      </c>
      <c r="BE12" s="81" t="e">
        <f t="shared" ca="1" si="25"/>
        <v>#NAME?</v>
      </c>
      <c r="BF12" s="553" t="e">
        <f t="shared" ca="1" si="26"/>
        <v>#NAME?</v>
      </c>
      <c r="BG12" s="199" t="e">
        <f t="shared" ca="1" si="27"/>
        <v>#NAME?</v>
      </c>
      <c r="BH12" s="62" t="e">
        <f t="shared" ca="1" si="28"/>
        <v>#NAME?</v>
      </c>
      <c r="BI12" s="81" t="e">
        <f t="shared" ca="1" si="29"/>
        <v>#NAME?</v>
      </c>
      <c r="BJ12" s="553" t="e">
        <f t="shared" ca="1" si="30"/>
        <v>#NAME?</v>
      </c>
      <c r="BK12" s="199" t="e">
        <f t="shared" ca="1" si="31"/>
        <v>#NAME?</v>
      </c>
      <c r="BL12" s="62" t="e">
        <f t="shared" ca="1" si="32"/>
        <v>#NAME?</v>
      </c>
      <c r="BN12" s="137" t="e">
        <f t="shared" ca="1" si="14"/>
        <v>#NAME?</v>
      </c>
      <c r="BO12" s="137" t="e">
        <f t="shared" ca="1" si="15"/>
        <v>#NAME?</v>
      </c>
      <c r="BP12" s="137" t="e">
        <f t="shared" ca="1" si="33"/>
        <v>#NAME?</v>
      </c>
      <c r="BR12" s="62" t="e">
        <f ca="1">Ncr(Mp_Norm($AF12,$AD12),0,$AI12,BC12,BE12)*$BB12</f>
        <v>#NAME?</v>
      </c>
      <c r="BS12" s="199" t="e">
        <f t="shared" ca="1" si="34"/>
        <v>#NAME?</v>
      </c>
      <c r="BT12" s="62" t="e">
        <f ca="1">Ncr(Mp_Norm($AF12,$AD12),0,$AJ12,BG12,BI12)*$BB12</f>
        <v>#NAME?</v>
      </c>
      <c r="BU12" s="199" t="e">
        <f t="shared" ca="1" si="35"/>
        <v>#NAME?</v>
      </c>
      <c r="BV12" s="62" t="e">
        <f t="shared" ca="1" si="16"/>
        <v>#NAME?</v>
      </c>
      <c r="BW12" s="62" t="e">
        <f t="shared" ca="1" si="17"/>
        <v>#VALUE!</v>
      </c>
      <c r="BX12" s="199" t="e">
        <f t="shared" ca="1" si="36"/>
        <v>#VALUE!</v>
      </c>
      <c r="BZ12" s="62" t="e">
        <f t="shared" ca="1" si="37"/>
        <v>#NAME?</v>
      </c>
      <c r="CA12" s="137" t="e">
        <f t="shared" ca="1" si="18"/>
        <v>#NAME?</v>
      </c>
      <c r="CB12" s="137" t="e">
        <f t="shared" ca="1" si="19"/>
        <v>#NAME?</v>
      </c>
      <c r="CD12" s="62" t="e">
        <f ca="1">Nlim1(Mp_Norm($AF12,$AD12),0,$AH12,BC12,BK12*BX12)*$BB12</f>
        <v>#NAME?</v>
      </c>
      <c r="CE12" s="199" t="e">
        <f t="shared" ca="1" si="20"/>
        <v>#NAME?</v>
      </c>
      <c r="CF12" s="62"/>
      <c r="CG12" s="199"/>
      <c r="CH12" s="62"/>
      <c r="CI12" s="62"/>
      <c r="CJ12" s="199"/>
    </row>
    <row r="13" spans="1:92" s="63" customFormat="1" x14ac:dyDescent="0.25">
      <c r="A13" s="326"/>
      <c r="B13" s="430">
        <v>13</v>
      </c>
      <c r="C13" s="637"/>
      <c r="D13" s="46" t="s">
        <v>17</v>
      </c>
      <c r="E13" s="86">
        <f>VLOOKUP($B13,'Core Demand'!$B$8:$E$36,MATCH(E$8,'Core Demand'!$B$8:$E$8,0),FALSE)</f>
        <v>375</v>
      </c>
      <c r="F13" s="86">
        <f>VLOOKUP($B13,'Core Demand'!$B$8:$E$36,MATCH(F$8,'Core Demand'!$B$8:$E$8,0),FALSE)</f>
        <v>436.91399999999999</v>
      </c>
      <c r="G13" s="485" t="e">
        <f ca="1">VLOOKUP($B13,'Equiv Connection'!$B$10:$H$36,MATCH('Summary (2)'!G$8,'Equiv Connection'!$B$8:$H$8,0),FALSE)</f>
        <v>#NAME?</v>
      </c>
      <c r="H13" s="87">
        <f>VLOOKUP($B13,'Restrainer End'!$B$10:$J$36,MATCH('Summary (2)'!H$8,'Restrainer End'!$B$8:$J$8,0),FALSE)</f>
        <v>1200.51936</v>
      </c>
      <c r="I13" s="87">
        <f>VLOOKUP($B13,'Restrainer End'!$B$10:$J$36,MATCH('Summary (2)'!I$8,'Restrainer End'!$B$8:$J$8,0),FALSE)</f>
        <v>713.93000527766014</v>
      </c>
      <c r="J13" s="87" t="e">
        <f ca="1">VLOOKUP($B13,'Drift&amp;Imperfection'!$B$10:$G$36,MATCH('Summary (2)'!J$8,'Drift&amp;Imperfection'!$B$8:$G$8,0),FALSE)</f>
        <v>#NAME?</v>
      </c>
      <c r="K13" s="87" t="e">
        <f ca="1">VLOOKUP($B13,'Drift&amp;Imperfection'!$B$10:$G$36,MATCH('Summary (2)'!K$8,'Drift&amp;Imperfection'!$B$8:$G$8,0),FALSE)</f>
        <v>#NAME?</v>
      </c>
      <c r="L13" s="264" t="e">
        <f ca="1">VLOOKUP($B13,'Drift&amp;Imperfection'!$B$10:$G$36,MATCH('Summary (2)'!L$8,'Drift&amp;Imperfection'!$B$8:$G$8,0),FALSE)</f>
        <v>#NAME?</v>
      </c>
      <c r="M13" s="264">
        <f>VLOOKUP($B13,'Drift&amp;Imperfection'!$B$10:$G$36,MATCH('Summary (2)'!M$8,'Drift&amp;Imperfection'!$B$8:$G$8,0),FALSE)</f>
        <v>2.2222222222222223E-2</v>
      </c>
      <c r="N13" s="86" t="e">
        <f ca="1">VLOOKUP($B13,Framing!$B$20:$D$46,MATCH('Summary (2)'!N$8,Framing!$B$18:$D$18,0),FALSE)</f>
        <v>#NAME?</v>
      </c>
      <c r="O13" s="86">
        <f>VLOOKUP($B13,Gusset!$B$10:$E$36,MATCH('Summary (2)'!O$8,Gusset!$B$8:$E$8,0),FALSE)</f>
        <v>51</v>
      </c>
      <c r="P13" s="86" t="str">
        <f>VLOOKUP($B13,Framing!$B$20:$D$46,MATCH('Summary (2)'!P$8,Framing!$B$18:$D$18,0),FALSE)</f>
        <v>∞</v>
      </c>
      <c r="Q13" s="86">
        <f>VLOOKUP($B13,Gusset!$B$10:$E$36,MATCH('Summary (2)'!Q$8,Gusset!$B$8:$E$8,0),FALSE)</f>
        <v>51</v>
      </c>
      <c r="R13" s="485" t="e">
        <f ca="1">VLOOKUP($B13,'Equiv Connection'!$B$10:$H$36,MATCH('Summary (2)'!R$8,'Equiv Connection'!$B$8:$H$8,0),FALSE)</f>
        <v>#NAME?</v>
      </c>
      <c r="S13" s="87" t="e">
        <f ca="1">VLOOKUP($B13,'Equiv Connection'!$B$10:$H$36,MATCH('Summary (2)'!S$8,'Equiv Connection'!$B$8:$H$8,0),FALSE)</f>
        <v>#NAME?</v>
      </c>
      <c r="T13" s="485" t="e">
        <f ca="1">VLOOKUP($B13,'Equiv Connection'!$B$10:$H$36,MATCH('Summary (2)'!T$8,'Equiv Connection'!$B$8:$H$8,0),FALSE)</f>
        <v>#NAME?</v>
      </c>
      <c r="U13" s="87" t="e">
        <f ca="1">VLOOKUP($B13,'Equiv Connection'!$B$10:$H$36,MATCH('Summary (2)'!U$8,'Equiv Connection'!$B$8:$H$8,0),FALSE)</f>
        <v>#NAME?</v>
      </c>
      <c r="V13" s="108">
        <f>VLOOKUP($B13,Gusset!$B$10:$E$36,MATCH('Summary (2)'!V$8,Gusset!$B$8:$E$8,0),FALSE)</f>
        <v>0</v>
      </c>
      <c r="W13" s="108">
        <f>VLOOKUP($B13,Gusset!$B$10:$I$36,MATCH('Summary (2)'!W$8,Gusset!$B$8:$I$8,0),FALSE)</f>
        <v>0</v>
      </c>
      <c r="X13" s="87">
        <f>VLOOKUP($B13,'Restrainer End'!$B$10:$J$36,MATCH('Summary (2)'!X$8,'Restrainer End'!$B$8:$J$8,0),FALSE)</f>
        <v>1604.8107658411889</v>
      </c>
      <c r="Y13" s="108" t="e">
        <f ca="1">VLOOKUP($B13,'Restrainer End'!$B$10:$J$36,MATCH('Summary (2)'!Y$8,'Restrainer End'!$B$8:$J$8,0),FALSE)</f>
        <v>#NAME?</v>
      </c>
      <c r="Z13" s="455">
        <f>VLOOKUP($B13,'Restrainer End'!$B$10:$J$36,MATCH('Summary (2)'!Z$8,'Restrainer End'!$B$8:$J$8,0),FALSE)</f>
        <v>6.8488365377438445</v>
      </c>
      <c r="AA13" s="46"/>
      <c r="AB13" s="156">
        <f t="shared" si="0"/>
        <v>1.681564510701713</v>
      </c>
      <c r="AC13" s="156" t="e">
        <f t="shared" ca="1" si="1"/>
        <v>#NAME?</v>
      </c>
      <c r="AD13" s="156" t="e">
        <f t="shared" ca="1" si="2"/>
        <v>#NAME?</v>
      </c>
      <c r="AE13" s="156" t="e">
        <f t="shared" ca="1" si="3"/>
        <v>#NAME?</v>
      </c>
      <c r="AF13" s="155" t="e">
        <f t="shared" ca="1" si="4"/>
        <v>#NAME?</v>
      </c>
      <c r="AG13" s="155" t="e">
        <f t="shared" ca="1" si="5"/>
        <v>#NAME?</v>
      </c>
      <c r="AH13" s="155" t="e">
        <f t="shared" ca="1" si="6"/>
        <v>#NAME?</v>
      </c>
      <c r="AI13" s="155" t="e">
        <f t="shared" ca="1" si="21"/>
        <v>#NAME?</v>
      </c>
      <c r="AJ13" s="473" t="e">
        <f t="shared" ca="1" si="22"/>
        <v>#NAME?</v>
      </c>
      <c r="AK13" s="557">
        <f t="shared" si="7"/>
        <v>1.681564510701713</v>
      </c>
      <c r="AL13" s="557" t="e">
        <f t="shared" ca="1" si="8"/>
        <v>#NAME?</v>
      </c>
      <c r="AM13" s="557" t="e">
        <f t="shared" ca="1" si="9"/>
        <v>#NAME?</v>
      </c>
      <c r="AN13" s="557" t="e">
        <f t="shared" ca="1" si="10"/>
        <v>#NAME?</v>
      </c>
      <c r="AO13" s="558" t="e">
        <f t="shared" ca="1" si="11"/>
        <v>#NAME?</v>
      </c>
      <c r="AP13" s="558" t="e">
        <f t="shared" ca="1" si="12"/>
        <v>#NAME?</v>
      </c>
      <c r="AQ13" s="558" t="e">
        <f t="shared" ca="1" si="13"/>
        <v>#NAME?</v>
      </c>
      <c r="AR13" s="473"/>
      <c r="AT13" s="87" t="e">
        <f>VLOOKUP($B13,Gusset!$B$10:$E$36,MATCH('Summary (2)'!AT$8,Gusset!$B$8:$E$8,0),FALSE)</f>
        <v>#N/A</v>
      </c>
      <c r="AU13" s="87" t="e">
        <f>VLOOKUP($B13,Gusset!$B$10:$E$36,MATCH('Summary (2)'!AU$8,Gusset!$B$8:$E$8,0),FALSE)</f>
        <v>#N/A</v>
      </c>
      <c r="AV13" s="591" t="e">
        <f>VLOOKUP($B13,Gusset!$B$10:$E$36,MATCH('Summary (2)'!AV$8,Gusset!$B$8:$E$8,0),FALSE)</f>
        <v>#N/A</v>
      </c>
      <c r="AW13" s="87">
        <f>VLOOKUP($B13,'Restrainer End'!$B$10:$J$36,MATCH('Summary (2)'!AW$8,'Restrainer End'!$B$8:$J$8,0),FALSE)</f>
        <v>4176</v>
      </c>
      <c r="AX13" s="87">
        <f>VLOOKUP($B13,'Restrainer End'!$B$10:$J$36,MATCH('Summary (2)'!AX$8,'Restrainer End'!$B$8:$J$8,0),FALSE)</f>
        <v>5856192</v>
      </c>
      <c r="AY13" s="87">
        <f>VLOOKUP($B13,'Restrainer End'!$B$10:$J$36,MATCH('Summary (2)'!AY$8,'Restrainer End'!$B$8:$J$8,0),FALSE)</f>
        <v>269.7</v>
      </c>
      <c r="AZ13" s="46"/>
      <c r="BB13" s="62" t="e">
        <f ca="1">Ncr0(H13,R13)</f>
        <v>#NAME?</v>
      </c>
      <c r="BC13" s="199" t="e">
        <f t="shared" ca="1" si="23"/>
        <v>#NAME?</v>
      </c>
      <c r="BD13" s="62" t="e">
        <f t="shared" ca="1" si="24"/>
        <v>#NAME?</v>
      </c>
      <c r="BE13" s="81" t="e">
        <f t="shared" ca="1" si="25"/>
        <v>#NAME?</v>
      </c>
      <c r="BF13" s="553" t="e">
        <f t="shared" ca="1" si="26"/>
        <v>#NAME?</v>
      </c>
      <c r="BG13" s="199" t="e">
        <f t="shared" ca="1" si="27"/>
        <v>#NAME?</v>
      </c>
      <c r="BH13" s="62" t="e">
        <f t="shared" ca="1" si="28"/>
        <v>#NAME?</v>
      </c>
      <c r="BI13" s="81" t="e">
        <f t="shared" ca="1" si="29"/>
        <v>#NAME?</v>
      </c>
      <c r="BJ13" s="553" t="e">
        <f t="shared" ca="1" si="30"/>
        <v>#NAME?</v>
      </c>
      <c r="BK13" s="199" t="e">
        <f t="shared" ca="1" si="31"/>
        <v>#NAME?</v>
      </c>
      <c r="BL13" s="62" t="e">
        <f t="shared" ca="1" si="32"/>
        <v>#NAME?</v>
      </c>
      <c r="BN13" s="137" t="e">
        <f t="shared" ca="1" si="14"/>
        <v>#NAME?</v>
      </c>
      <c r="BO13" s="137" t="e">
        <f t="shared" ca="1" si="15"/>
        <v>#NAME?</v>
      </c>
      <c r="BP13" s="137" t="e">
        <f t="shared" ca="1" si="33"/>
        <v>#NAME?</v>
      </c>
      <c r="BR13" s="62" t="e">
        <f ca="1">Ncr(Mp_Norm($AF13,$AD13),0,$AI13,BC13,BE13)*$BB13</f>
        <v>#NAME?</v>
      </c>
      <c r="BS13" s="199" t="e">
        <f t="shared" ca="1" si="34"/>
        <v>#NAME?</v>
      </c>
      <c r="BT13" s="62" t="e">
        <f ca="1">Ncr(Mp_Norm($AF13,$AD13),0,$AJ13,BG13,BI13)*$BB13</f>
        <v>#NAME?</v>
      </c>
      <c r="BU13" s="199" t="e">
        <f t="shared" ca="1" si="35"/>
        <v>#NAME?</v>
      </c>
      <c r="BV13" s="62" t="e">
        <f t="shared" ca="1" si="16"/>
        <v>#NAME?</v>
      </c>
      <c r="BW13" s="62" t="e">
        <f t="shared" ca="1" si="17"/>
        <v>#VALUE!</v>
      </c>
      <c r="BX13" s="199" t="e">
        <f t="shared" ca="1" si="36"/>
        <v>#VALUE!</v>
      </c>
      <c r="BZ13" s="62" t="e">
        <f t="shared" ca="1" si="37"/>
        <v>#NAME?</v>
      </c>
      <c r="CA13" s="137" t="e">
        <f t="shared" ca="1" si="18"/>
        <v>#NAME?</v>
      </c>
      <c r="CB13" s="137" t="e">
        <f t="shared" ca="1" si="19"/>
        <v>#NAME?</v>
      </c>
      <c r="CD13" s="62" t="e">
        <f ca="1">Nlim1(Mp_Norm($AF13,$AD13),0,$AH13,BC13,BK13*BX13)*$BB13</f>
        <v>#NAME?</v>
      </c>
      <c r="CE13" s="199" t="e">
        <f t="shared" ca="1" si="20"/>
        <v>#NAME?</v>
      </c>
      <c r="CF13" s="62"/>
      <c r="CG13" s="199"/>
      <c r="CH13" s="62"/>
      <c r="CI13" s="62"/>
      <c r="CJ13" s="199"/>
    </row>
    <row r="14" spans="1:92" s="63" customFormat="1" x14ac:dyDescent="0.25">
      <c r="A14" s="326"/>
      <c r="B14" s="430">
        <v>14</v>
      </c>
      <c r="C14" s="637"/>
      <c r="D14" s="46" t="s">
        <v>18</v>
      </c>
      <c r="E14" s="86">
        <f>VLOOKUP($B14,'Core Demand'!$B$8:$E$36,MATCH(E$8,'Core Demand'!$B$8:$E$8,0),FALSE)</f>
        <v>362</v>
      </c>
      <c r="F14" s="86">
        <f>VLOOKUP($B14,'Core Demand'!$B$8:$E$36,MATCH(F$8,'Core Demand'!$B$8:$E$8,0),FALSE)</f>
        <v>432.21600000000001</v>
      </c>
      <c r="G14" s="485" t="e">
        <f ca="1">VLOOKUP($B14,'Equiv Connection'!$B$10:$H$36,MATCH('Summary (2)'!G$8,'Equiv Connection'!$B$8:$H$8,0),FALSE)</f>
        <v>#NAME?</v>
      </c>
      <c r="H14" s="87">
        <f>VLOOKUP($B14,'Restrainer End'!$B$10:$J$36,MATCH('Summary (2)'!H$8,'Restrainer End'!$B$8:$J$8,0),FALSE)</f>
        <v>1200.51936</v>
      </c>
      <c r="I14" s="87">
        <f>VLOOKUP($B14,'Restrainer End'!$B$10:$J$36,MATCH('Summary (2)'!I$8,'Restrainer End'!$B$8:$J$8,0),FALSE)</f>
        <v>580.86699184599911</v>
      </c>
      <c r="J14" s="87" t="e">
        <f ca="1">VLOOKUP($B14,'Drift&amp;Imperfection'!$B$10:$G$36,MATCH('Summary (2)'!J$8,'Drift&amp;Imperfection'!$B$8:$G$8,0),FALSE)</f>
        <v>#NAME?</v>
      </c>
      <c r="K14" s="87" t="e">
        <f ca="1">VLOOKUP($B14,'Drift&amp;Imperfection'!$B$10:$G$36,MATCH('Summary (2)'!K$8,'Drift&amp;Imperfection'!$B$8:$G$8,0),FALSE)</f>
        <v>#NAME?</v>
      </c>
      <c r="L14" s="264" t="e">
        <f ca="1">VLOOKUP($B14,'Drift&amp;Imperfection'!$B$10:$G$36,MATCH('Summary (2)'!L$8,'Drift&amp;Imperfection'!$B$8:$G$8,0),FALSE)</f>
        <v>#NAME?</v>
      </c>
      <c r="M14" s="264">
        <f>VLOOKUP($B14,'Drift&amp;Imperfection'!$B$10:$G$36,MATCH('Summary (2)'!M$8,'Drift&amp;Imperfection'!$B$8:$G$8,0),FALSE)</f>
        <v>2.2222222222222223E-2</v>
      </c>
      <c r="N14" s="86" t="e">
        <f ca="1">VLOOKUP($B14,Framing!$B$20:$D$46,MATCH('Summary (2)'!N$8,Framing!$B$18:$D$18,0),FALSE)</f>
        <v>#NAME?</v>
      </c>
      <c r="O14" s="86">
        <f>VLOOKUP($B14,Gusset!$B$10:$E$36,MATCH('Summary (2)'!O$8,Gusset!$B$8:$E$8,0),FALSE)</f>
        <v>51</v>
      </c>
      <c r="P14" s="86" t="str">
        <f>VLOOKUP($B14,Framing!$B$20:$D$46,MATCH('Summary (2)'!P$8,Framing!$B$18:$D$18,0),FALSE)</f>
        <v>∞</v>
      </c>
      <c r="Q14" s="86">
        <f>VLOOKUP($B14,Gusset!$B$10:$E$36,MATCH('Summary (2)'!Q$8,Gusset!$B$8:$E$8,0),FALSE)</f>
        <v>51</v>
      </c>
      <c r="R14" s="485" t="e">
        <f ca="1">VLOOKUP($B14,'Equiv Connection'!$B$10:$H$36,MATCH('Summary (2)'!R$8,'Equiv Connection'!$B$8:$H$8,0),FALSE)</f>
        <v>#NAME?</v>
      </c>
      <c r="S14" s="87" t="e">
        <f ca="1">VLOOKUP($B14,'Equiv Connection'!$B$10:$H$36,MATCH('Summary (2)'!S$8,'Equiv Connection'!$B$8:$H$8,0),FALSE)</f>
        <v>#NAME?</v>
      </c>
      <c r="T14" s="485" t="e">
        <f ca="1">VLOOKUP($B14,'Equiv Connection'!$B$10:$H$36,MATCH('Summary (2)'!T$8,'Equiv Connection'!$B$8:$H$8,0),FALSE)</f>
        <v>#NAME?</v>
      </c>
      <c r="U14" s="87" t="e">
        <f ca="1">VLOOKUP($B14,'Equiv Connection'!$B$10:$H$36,MATCH('Summary (2)'!U$8,'Equiv Connection'!$B$8:$H$8,0),FALSE)</f>
        <v>#NAME?</v>
      </c>
      <c r="V14" s="108">
        <f>VLOOKUP($B14,Gusset!$B$10:$E$36,MATCH('Summary (2)'!V$8,Gusset!$B$8:$E$8,0),FALSE)</f>
        <v>0</v>
      </c>
      <c r="W14" s="108">
        <f>VLOOKUP($B14,Gusset!$B$10:$I$36,MATCH('Summary (2)'!W$8,Gusset!$B$8:$I$8,0),FALSE)</f>
        <v>0</v>
      </c>
      <c r="X14" s="87">
        <f>VLOOKUP($B14,'Restrainer End'!$B$10:$J$36,MATCH('Summary (2)'!X$8,'Restrainer End'!$B$8:$J$8,0),FALSE)</f>
        <v>505.43632711695994</v>
      </c>
      <c r="Y14" s="108" t="e">
        <f ca="1">VLOOKUP($B14,'Restrainer End'!$B$10:$J$36,MATCH('Summary (2)'!Y$8,'Restrainer End'!$B$8:$J$8,0),FALSE)</f>
        <v>#NAME?</v>
      </c>
      <c r="Z14" s="455">
        <f>VLOOKUP($B14,'Restrainer End'!$B$10:$J$36,MATCH('Summary (2)'!Z$8,'Restrainer End'!$B$8:$J$8,0),FALSE)</f>
        <v>6.6904849835565399</v>
      </c>
      <c r="AA14" s="46"/>
      <c r="AB14" s="156">
        <f t="shared" si="0"/>
        <v>2.066771527479538</v>
      </c>
      <c r="AC14" s="156" t="e">
        <f t="shared" ca="1" si="1"/>
        <v>#NAME?</v>
      </c>
      <c r="AD14" s="156" t="e">
        <f t="shared" ca="1" si="2"/>
        <v>#NAME?</v>
      </c>
      <c r="AE14" s="156" t="e">
        <f t="shared" ca="1" si="3"/>
        <v>#NAME?</v>
      </c>
      <c r="AF14" s="155" t="e">
        <f t="shared" ca="1" si="4"/>
        <v>#NAME?</v>
      </c>
      <c r="AG14" s="155" t="e">
        <f t="shared" ca="1" si="5"/>
        <v>#NAME?</v>
      </c>
      <c r="AH14" s="155" t="e">
        <f t="shared" ca="1" si="6"/>
        <v>#NAME?</v>
      </c>
      <c r="AI14" s="155" t="e">
        <f t="shared" ca="1" si="21"/>
        <v>#NAME?</v>
      </c>
      <c r="AJ14" s="473" t="e">
        <f t="shared" ca="1" si="22"/>
        <v>#NAME?</v>
      </c>
      <c r="AK14" s="557">
        <f t="shared" si="7"/>
        <v>2.066771527479538</v>
      </c>
      <c r="AL14" s="557" t="e">
        <f t="shared" ca="1" si="8"/>
        <v>#NAME?</v>
      </c>
      <c r="AM14" s="557" t="e">
        <f t="shared" ca="1" si="9"/>
        <v>#NAME?</v>
      </c>
      <c r="AN14" s="557" t="e">
        <f t="shared" ca="1" si="10"/>
        <v>#NAME?</v>
      </c>
      <c r="AO14" s="558" t="e">
        <f t="shared" ca="1" si="11"/>
        <v>#NAME?</v>
      </c>
      <c r="AP14" s="558" t="e">
        <f t="shared" ca="1" si="12"/>
        <v>#NAME?</v>
      </c>
      <c r="AQ14" s="558" t="e">
        <f t="shared" ca="1" si="13"/>
        <v>#NAME?</v>
      </c>
      <c r="AR14" s="473"/>
      <c r="AT14" s="87" t="e">
        <f>VLOOKUP($B14,Gusset!$B$10:$E$36,MATCH('Summary (2)'!AT$8,Gusset!$B$8:$E$8,0),FALSE)</f>
        <v>#N/A</v>
      </c>
      <c r="AU14" s="87" t="e">
        <f>VLOOKUP($B14,Gusset!$B$10:$E$36,MATCH('Summary (2)'!AU$8,Gusset!$B$8:$E$8,0),FALSE)</f>
        <v>#N/A</v>
      </c>
      <c r="AV14" s="591" t="e">
        <f>VLOOKUP($B14,Gusset!$B$10:$E$36,MATCH('Summary (2)'!AV$8,Gusset!$B$8:$E$8,0),FALSE)</f>
        <v>#N/A</v>
      </c>
      <c r="AW14" s="87">
        <f>VLOOKUP($B14,'Restrainer End'!$B$10:$J$36,MATCH('Summary (2)'!AW$8,'Restrainer End'!$B$8:$J$8,0),FALSE)</f>
        <v>4176</v>
      </c>
      <c r="AX14" s="87">
        <f>VLOOKUP($B14,'Restrainer End'!$B$10:$J$36,MATCH('Summary (2)'!AX$8,'Restrainer End'!$B$8:$J$8,0),FALSE)</f>
        <v>5856192</v>
      </c>
      <c r="AY14" s="87">
        <f>VLOOKUP($B14,'Restrainer End'!$B$10:$J$36,MATCH('Summary (2)'!AY$8,'Restrainer End'!$B$8:$J$8,0),FALSE)</f>
        <v>266.8</v>
      </c>
      <c r="AZ14" s="46"/>
      <c r="BB14" s="62" t="e">
        <f ca="1">Ncr0(H14,R14)</f>
        <v>#NAME?</v>
      </c>
      <c r="BC14" s="199" t="e">
        <f t="shared" ca="1" si="23"/>
        <v>#NAME?</v>
      </c>
      <c r="BD14" s="62" t="e">
        <f t="shared" ca="1" si="24"/>
        <v>#NAME?</v>
      </c>
      <c r="BE14" s="81" t="e">
        <f t="shared" ca="1" si="25"/>
        <v>#NAME?</v>
      </c>
      <c r="BF14" s="553" t="e">
        <f t="shared" ca="1" si="26"/>
        <v>#NAME?</v>
      </c>
      <c r="BG14" s="199" t="e">
        <f t="shared" ca="1" si="27"/>
        <v>#NAME?</v>
      </c>
      <c r="BH14" s="62" t="e">
        <f t="shared" ca="1" si="28"/>
        <v>#NAME?</v>
      </c>
      <c r="BI14" s="81" t="e">
        <f t="shared" ca="1" si="29"/>
        <v>#NAME?</v>
      </c>
      <c r="BJ14" s="553" t="e">
        <f t="shared" ca="1" si="30"/>
        <v>#NAME?</v>
      </c>
      <c r="BK14" s="199" t="e">
        <f t="shared" ca="1" si="31"/>
        <v>#NAME?</v>
      </c>
      <c r="BL14" s="62" t="e">
        <f t="shared" ca="1" si="32"/>
        <v>#NAME?</v>
      </c>
      <c r="BN14" s="137" t="e">
        <f t="shared" ca="1" si="14"/>
        <v>#NAME?</v>
      </c>
      <c r="BO14" s="137" t="e">
        <f t="shared" ca="1" si="15"/>
        <v>#NAME?</v>
      </c>
      <c r="BP14" s="137" t="e">
        <f t="shared" ca="1" si="33"/>
        <v>#NAME?</v>
      </c>
      <c r="BR14" s="62" t="e">
        <f ca="1">Ncr(Mp_Norm($AF14,$AD14),0,$AI14,BC14,BE14)*$BB14</f>
        <v>#NAME?</v>
      </c>
      <c r="BS14" s="199" t="e">
        <f t="shared" ca="1" si="34"/>
        <v>#NAME?</v>
      </c>
      <c r="BT14" s="62" t="e">
        <f ca="1">Ncr(Mp_Norm($AF14,$AD14),0,$AJ14,BG14,BI14)*$BB14</f>
        <v>#NAME?</v>
      </c>
      <c r="BU14" s="199" t="e">
        <f t="shared" ca="1" si="35"/>
        <v>#NAME?</v>
      </c>
      <c r="BV14" s="62" t="e">
        <f t="shared" ca="1" si="16"/>
        <v>#NAME?</v>
      </c>
      <c r="BW14" s="62" t="e">
        <f t="shared" ca="1" si="17"/>
        <v>#VALUE!</v>
      </c>
      <c r="BX14" s="199" t="e">
        <f t="shared" ca="1" si="36"/>
        <v>#VALUE!</v>
      </c>
      <c r="BZ14" s="62" t="e">
        <f t="shared" ca="1" si="37"/>
        <v>#NAME?</v>
      </c>
      <c r="CA14" s="137" t="e">
        <f t="shared" ca="1" si="18"/>
        <v>#NAME?</v>
      </c>
      <c r="CB14" s="137" t="e">
        <f t="shared" ca="1" si="19"/>
        <v>#NAME?</v>
      </c>
      <c r="CD14" s="62" t="e">
        <f ca="1">Nlim1(Mp_Norm($AF14,$AD14),0,$AH14,BC14,BK14*BX14)*$BB14</f>
        <v>#NAME?</v>
      </c>
      <c r="CE14" s="199" t="e">
        <f t="shared" ca="1" si="20"/>
        <v>#NAME?</v>
      </c>
      <c r="CF14" s="62"/>
      <c r="CG14" s="199"/>
      <c r="CH14" s="62"/>
      <c r="CI14" s="62"/>
      <c r="CJ14" s="199"/>
    </row>
    <row r="15" spans="1:92" s="46" customFormat="1" x14ac:dyDescent="0.25">
      <c r="A15" s="326"/>
      <c r="B15" s="429">
        <v>15</v>
      </c>
      <c r="C15" s="638"/>
      <c r="D15" s="6" t="s">
        <v>19</v>
      </c>
      <c r="E15" s="18">
        <f>VLOOKUP($B15,'Core Demand'!$B$8:$E$36,MATCH(E$8,'Core Demand'!$B$8:$E$8,0),FALSE)</f>
        <v>300</v>
      </c>
      <c r="F15" s="18">
        <f>VLOOKUP($B15,'Core Demand'!$B$8:$E$36,MATCH(F$8,'Core Demand'!$B$8:$E$8,0),FALSE)</f>
        <v>432.21600000000001</v>
      </c>
      <c r="G15" s="486" t="e">
        <f ca="1">VLOOKUP($B15,'Equiv Connection'!$B$10:$H$36,MATCH('Summary (2)'!G$8,'Equiv Connection'!$B$8:$H$8,0),FALSE)</f>
        <v>#NAME?</v>
      </c>
      <c r="H15" s="104">
        <f>VLOOKUP($B15,'Restrainer End'!$B$10:$J$36,MATCH('Summary (2)'!H$8,'Restrainer End'!$B$8:$J$8,0),FALSE)</f>
        <v>1200.51936</v>
      </c>
      <c r="I15" s="104">
        <f>VLOOKUP($B15,'Restrainer End'!$B$10:$J$36,MATCH('Summary (2)'!I$8,'Restrainer End'!$B$8:$J$8,0),FALSE)</f>
        <v>580.86699184599911</v>
      </c>
      <c r="J15" s="104" t="e">
        <f ca="1">VLOOKUP($B15,'Drift&amp;Imperfection'!$B$10:$G$36,MATCH('Summary (2)'!J$8,'Drift&amp;Imperfection'!$B$8:$G$8,0),FALSE)</f>
        <v>#NAME?</v>
      </c>
      <c r="K15" s="104" t="e">
        <f ca="1">VLOOKUP($B15,'Drift&amp;Imperfection'!$B$10:$G$36,MATCH('Summary (2)'!K$8,'Drift&amp;Imperfection'!$B$8:$G$8,0),FALSE)</f>
        <v>#NAME?</v>
      </c>
      <c r="L15" s="265" t="e">
        <f ca="1">VLOOKUP($B15,'Drift&amp;Imperfection'!$B$10:$G$36,MATCH('Summary (2)'!L$8,'Drift&amp;Imperfection'!$B$8:$G$8,0),FALSE)</f>
        <v>#NAME?</v>
      </c>
      <c r="M15" s="265">
        <f>VLOOKUP($B15,'Drift&amp;Imperfection'!$B$10:$G$36,MATCH('Summary (2)'!M$8,'Drift&amp;Imperfection'!$B$8:$G$8,0),FALSE)</f>
        <v>4.4444444444444446E-2</v>
      </c>
      <c r="N15" s="18" t="e">
        <f ca="1">VLOOKUP($B15,Framing!$B$20:$D$46,MATCH('Summary (2)'!N$8,Framing!$B$18:$D$18,0),FALSE)</f>
        <v>#NAME?</v>
      </c>
      <c r="O15" s="18">
        <f>VLOOKUP($B15,Gusset!$B$10:$E$36,MATCH('Summary (2)'!O$8,Gusset!$B$8:$E$8,0),FALSE)</f>
        <v>51</v>
      </c>
      <c r="P15" s="18" t="str">
        <f>VLOOKUP($B15,Framing!$B$20:$D$46,MATCH('Summary (2)'!P$8,Framing!$B$18:$D$18,0),FALSE)</f>
        <v>∞</v>
      </c>
      <c r="Q15" s="18">
        <f>VLOOKUP($B15,Gusset!$B$10:$E$36,MATCH('Summary (2)'!Q$8,Gusset!$B$8:$E$8,0),FALSE)</f>
        <v>51</v>
      </c>
      <c r="R15" s="486" t="e">
        <f ca="1">VLOOKUP($B15,'Equiv Connection'!$B$10:$H$36,MATCH('Summary (2)'!R$8,'Equiv Connection'!$B$8:$H$8,0),FALSE)</f>
        <v>#NAME?</v>
      </c>
      <c r="S15" s="104" t="e">
        <f ca="1">VLOOKUP($B15,'Equiv Connection'!$B$10:$H$36,MATCH('Summary (2)'!S$8,'Equiv Connection'!$B$8:$H$8,0),FALSE)</f>
        <v>#NAME?</v>
      </c>
      <c r="T15" s="486" t="e">
        <f ca="1">VLOOKUP($B15,'Equiv Connection'!$B$10:$H$36,MATCH('Summary (2)'!T$8,'Equiv Connection'!$B$8:$H$8,0),FALSE)</f>
        <v>#NAME?</v>
      </c>
      <c r="U15" s="104" t="e">
        <f ca="1">VLOOKUP($B15,'Equiv Connection'!$B$10:$H$36,MATCH('Summary (2)'!U$8,'Equiv Connection'!$B$8:$H$8,0),FALSE)</f>
        <v>#NAME?</v>
      </c>
      <c r="V15" s="111">
        <f>VLOOKUP($B15,Gusset!$B$10:$E$36,MATCH('Summary (2)'!V$8,Gusset!$B$8:$E$8,0),FALSE)</f>
        <v>0</v>
      </c>
      <c r="W15" s="111">
        <f>VLOOKUP($B15,Gusset!$B$10:$I$36,MATCH('Summary (2)'!W$8,Gusset!$B$8:$I$8,0),FALSE)</f>
        <v>0</v>
      </c>
      <c r="X15" s="104">
        <f>VLOOKUP($B15,'Restrainer End'!$B$10:$J$36,MATCH('Summary (2)'!X$8,'Restrainer End'!$B$8:$J$8,0),FALSE)</f>
        <v>505.43632711695994</v>
      </c>
      <c r="Y15" s="111" t="e">
        <f ca="1">VLOOKUP($B15,'Restrainer End'!$B$10:$J$36,MATCH('Summary (2)'!Y$8,'Restrainer End'!$B$8:$J$8,0),FALSE)</f>
        <v>#NAME?</v>
      </c>
      <c r="Z15" s="456">
        <f>VLOOKUP($B15,'Restrainer End'!$B$10:$J$36,MATCH('Summary (2)'!Z$8,'Restrainer End'!$B$8:$J$8,0),FALSE)</f>
        <v>6.6904849835565399</v>
      </c>
      <c r="AB15" s="133">
        <f t="shared" si="0"/>
        <v>2.066771527479538</v>
      </c>
      <c r="AC15" s="133" t="e">
        <f t="shared" ca="1" si="1"/>
        <v>#NAME?</v>
      </c>
      <c r="AD15" s="133" t="e">
        <f t="shared" ca="1" si="2"/>
        <v>#NAME?</v>
      </c>
      <c r="AE15" s="133" t="e">
        <f t="shared" ca="1" si="3"/>
        <v>#NAME?</v>
      </c>
      <c r="AF15" s="132" t="e">
        <f t="shared" ca="1" si="4"/>
        <v>#NAME?</v>
      </c>
      <c r="AG15" s="132" t="e">
        <f t="shared" ca="1" si="5"/>
        <v>#NAME?</v>
      </c>
      <c r="AH15" s="132" t="e">
        <f t="shared" ca="1" si="6"/>
        <v>#NAME?</v>
      </c>
      <c r="AI15" s="132" t="e">
        <f t="shared" ca="1" si="21"/>
        <v>#NAME?</v>
      </c>
      <c r="AJ15" s="474" t="e">
        <f t="shared" ca="1" si="22"/>
        <v>#NAME?</v>
      </c>
      <c r="AK15" s="559">
        <f t="shared" si="7"/>
        <v>2.066771527479538</v>
      </c>
      <c r="AL15" s="559" t="e">
        <f t="shared" ca="1" si="8"/>
        <v>#NAME?</v>
      </c>
      <c r="AM15" s="559" t="e">
        <f t="shared" ca="1" si="9"/>
        <v>#NAME?</v>
      </c>
      <c r="AN15" s="559" t="e">
        <f t="shared" ca="1" si="10"/>
        <v>#NAME?</v>
      </c>
      <c r="AO15" s="560" t="e">
        <f t="shared" ca="1" si="11"/>
        <v>#NAME?</v>
      </c>
      <c r="AP15" s="560" t="e">
        <f t="shared" ca="1" si="12"/>
        <v>#NAME?</v>
      </c>
      <c r="AQ15" s="560" t="e">
        <f t="shared" ca="1" si="13"/>
        <v>#NAME?</v>
      </c>
      <c r="AR15" s="474"/>
      <c r="AT15" s="104" t="e">
        <f>VLOOKUP($B15,Gusset!$B$10:$E$36,MATCH('Summary (2)'!AT$8,Gusset!$B$8:$E$8,0),FALSE)</f>
        <v>#N/A</v>
      </c>
      <c r="AU15" s="104" t="e">
        <f>VLOOKUP($B15,Gusset!$B$10:$E$36,MATCH('Summary (2)'!AU$8,Gusset!$B$8:$E$8,0),FALSE)</f>
        <v>#N/A</v>
      </c>
      <c r="AV15" s="592" t="e">
        <f>VLOOKUP($B15,Gusset!$B$10:$E$36,MATCH('Summary (2)'!AV$8,Gusset!$B$8:$E$8,0),FALSE)</f>
        <v>#N/A</v>
      </c>
      <c r="AW15" s="104">
        <f>VLOOKUP($B15,'Restrainer End'!$B$10:$J$36,MATCH('Summary (2)'!AW$8,'Restrainer End'!$B$8:$J$8,0),FALSE)</f>
        <v>4176</v>
      </c>
      <c r="AX15" s="104">
        <f>VLOOKUP($B15,'Restrainer End'!$B$10:$J$36,MATCH('Summary (2)'!AX$8,'Restrainer End'!$B$8:$J$8,0),FALSE)</f>
        <v>5856192</v>
      </c>
      <c r="AY15" s="104">
        <f>VLOOKUP($B15,'Restrainer End'!$B$10:$J$36,MATCH('Summary (2)'!AY$8,'Restrainer End'!$B$8:$J$8,0),FALSE)</f>
        <v>266.8</v>
      </c>
      <c r="BB15" s="30" t="e">
        <f ca="1">Ncr0(H15,R15)</f>
        <v>#NAME?</v>
      </c>
      <c r="BC15" s="215" t="e">
        <f t="shared" ca="1" si="23"/>
        <v>#NAME?</v>
      </c>
      <c r="BD15" s="30" t="e">
        <f t="shared" ca="1" si="24"/>
        <v>#NAME?</v>
      </c>
      <c r="BE15" s="53" t="e">
        <f t="shared" ca="1" si="25"/>
        <v>#NAME?</v>
      </c>
      <c r="BF15" s="554" t="e">
        <f t="shared" ca="1" si="26"/>
        <v>#NAME?</v>
      </c>
      <c r="BG15" s="215" t="e">
        <f t="shared" ca="1" si="27"/>
        <v>#NAME?</v>
      </c>
      <c r="BH15" s="30" t="e">
        <f t="shared" ca="1" si="28"/>
        <v>#NAME?</v>
      </c>
      <c r="BI15" s="53" t="e">
        <f t="shared" ca="1" si="29"/>
        <v>#NAME?</v>
      </c>
      <c r="BJ15" s="554" t="e">
        <f t="shared" ca="1" si="30"/>
        <v>#NAME?</v>
      </c>
      <c r="BK15" s="215" t="e">
        <f t="shared" ca="1" si="31"/>
        <v>#NAME?</v>
      </c>
      <c r="BL15" s="30" t="e">
        <f t="shared" ca="1" si="32"/>
        <v>#NAME?</v>
      </c>
      <c r="BM15" s="36"/>
      <c r="BN15" s="283" t="e">
        <f t="shared" ca="1" si="14"/>
        <v>#NAME?</v>
      </c>
      <c r="BO15" s="283" t="e">
        <f t="shared" ca="1" si="15"/>
        <v>#NAME?</v>
      </c>
      <c r="BP15" s="283" t="e">
        <f t="shared" ca="1" si="33"/>
        <v>#NAME?</v>
      </c>
      <c r="BQ15" s="6"/>
      <c r="BR15" s="30" t="e">
        <f ca="1">Ncr(Mp_Norm($AF15,$AD15),0,$AI15,BC15,BE15)*$BB15</f>
        <v>#NAME?</v>
      </c>
      <c r="BS15" s="215" t="e">
        <f t="shared" ca="1" si="34"/>
        <v>#NAME?</v>
      </c>
      <c r="BT15" s="30" t="e">
        <f ca="1">Ncr(Mp_Norm($AF15,$AD15),0,$AJ15,BG15,BI15)*$BB15</f>
        <v>#NAME?</v>
      </c>
      <c r="BU15" s="215" t="e">
        <f t="shared" ca="1" si="35"/>
        <v>#NAME?</v>
      </c>
      <c r="BV15" s="30" t="e">
        <f t="shared" ca="1" si="16"/>
        <v>#NAME?</v>
      </c>
      <c r="BW15" s="7" t="e">
        <f t="shared" ca="1" si="17"/>
        <v>#VALUE!</v>
      </c>
      <c r="BX15" s="207" t="e">
        <f t="shared" ca="1" si="36"/>
        <v>#VALUE!</v>
      </c>
      <c r="BY15" s="6"/>
      <c r="BZ15" s="30" t="e">
        <f t="shared" ca="1" si="37"/>
        <v>#NAME?</v>
      </c>
      <c r="CA15" s="283" t="e">
        <f t="shared" ca="1" si="18"/>
        <v>#NAME?</v>
      </c>
      <c r="CB15" s="283" t="e">
        <f t="shared" ca="1" si="19"/>
        <v>#NAME?</v>
      </c>
      <c r="CC15" s="63"/>
      <c r="CD15" s="30" t="e">
        <f ca="1">Nlim1(Mp_Norm($AF15,$AD15),0,$AH15,BC15,BK15*BX15)*$BB15</f>
        <v>#NAME?</v>
      </c>
      <c r="CE15" s="215" t="e">
        <f t="shared" ca="1" si="20"/>
        <v>#NAME?</v>
      </c>
      <c r="CF15" s="62"/>
      <c r="CG15" s="199"/>
      <c r="CH15" s="62"/>
      <c r="CI15" s="62"/>
      <c r="CJ15" s="199"/>
    </row>
    <row r="16" spans="1:92" s="600" customFormat="1" x14ac:dyDescent="0.25">
      <c r="A16" s="326"/>
      <c r="B16" s="430"/>
      <c r="C16" s="601"/>
      <c r="D16" s="285" t="s">
        <v>82</v>
      </c>
      <c r="E16" s="86"/>
      <c r="F16" s="86">
        <v>431</v>
      </c>
      <c r="G16" s="485">
        <v>2.3919999999999999</v>
      </c>
      <c r="H16" s="187">
        <v>1200</v>
      </c>
      <c r="I16" s="187">
        <v>581</v>
      </c>
      <c r="J16" s="87">
        <v>11.4</v>
      </c>
      <c r="K16" s="87"/>
      <c r="L16" s="264"/>
      <c r="M16" s="264"/>
      <c r="N16" s="86" t="s">
        <v>557</v>
      </c>
      <c r="O16" s="606">
        <v>690</v>
      </c>
      <c r="P16" s="86"/>
      <c r="Q16" s="148"/>
      <c r="R16" s="485">
        <v>0.41599999999999998</v>
      </c>
      <c r="S16" s="87">
        <v>689.99978905753767</v>
      </c>
      <c r="T16" s="485"/>
      <c r="U16" s="87"/>
      <c r="V16" s="108"/>
      <c r="W16" s="108"/>
      <c r="X16" s="87">
        <v>505.43632711695994</v>
      </c>
      <c r="Y16" s="615">
        <v>2.97</v>
      </c>
      <c r="Z16" s="613">
        <v>2.46</v>
      </c>
      <c r="AB16" s="156">
        <f t="shared" ref="AB16:AB20" si="38">H16/I16</f>
        <v>2.0654044750430294</v>
      </c>
      <c r="AC16" s="156">
        <f t="shared" ref="AC16:AC20" si="39">R16/G16</f>
        <v>0.17391304347826086</v>
      </c>
      <c r="AD16" s="156">
        <f t="shared" ref="AD16:AD20" si="40">X16*R16/H16</f>
        <v>0.17521792673387945</v>
      </c>
      <c r="AE16" s="156">
        <f t="shared" ref="AE16:AE20" si="41">S16*R16/H16</f>
        <v>0.23919992687327971</v>
      </c>
      <c r="AF16" s="155">
        <f t="shared" ref="AF16:AF21" si="42">MIN(Y16:Z16)/X16</f>
        <v>4.8670819013583609E-3</v>
      </c>
      <c r="AG16" s="155">
        <f t="shared" ref="AG16:AG21" si="43">V16/S16</f>
        <v>0</v>
      </c>
      <c r="AH16" s="155">
        <f t="shared" si="6"/>
        <v>2.7403846153846157E-2</v>
      </c>
      <c r="AI16" s="155">
        <f t="shared" si="21"/>
        <v>0</v>
      </c>
      <c r="AJ16" s="473">
        <f t="shared" si="22"/>
        <v>0</v>
      </c>
      <c r="AK16" s="557"/>
      <c r="AL16" s="557"/>
      <c r="AM16" s="557"/>
      <c r="AN16" s="557"/>
      <c r="AO16" s="558"/>
      <c r="AP16" s="558"/>
      <c r="AQ16" s="558"/>
      <c r="AR16" s="473"/>
      <c r="AT16" s="87"/>
      <c r="AU16" s="87"/>
      <c r="AV16" s="591"/>
      <c r="AW16" s="87">
        <f>AW10</f>
        <v>4176</v>
      </c>
      <c r="AX16" s="87">
        <f t="shared" ref="AX16:AY16" si="44">AX10</f>
        <v>5856192</v>
      </c>
      <c r="AY16" s="87">
        <f t="shared" si="44"/>
        <v>266</v>
      </c>
      <c r="BB16" s="62" t="e">
        <f ca="1">Ncr0($H16,$R16)</f>
        <v>#NAME?</v>
      </c>
      <c r="BC16" s="199" t="e">
        <f ca="1">NcreSym($AB16,$AC16,$AE16,$AD16)</f>
        <v>#NAME?</v>
      </c>
      <c r="BD16" s="62" t="e">
        <f ca="1">BB16*BC16</f>
        <v>#NAME?</v>
      </c>
      <c r="BE16" s="81" t="e">
        <f ca="1">ABS(_xll.crSym(BC16,$AE16))</f>
        <v>#NAME?</v>
      </c>
      <c r="BF16" s="553" t="e">
        <f ca="1">ABS(_xll.cgSym(BC16,$AE16))</f>
        <v>#NAME?</v>
      </c>
      <c r="BG16" s="199" t="e">
        <f ca="1">Ncreasym($AB16,$AC16,$AE16,$AD16)</f>
        <v>#NAME?</v>
      </c>
      <c r="BH16" s="62" t="e">
        <f ca="1">BB16*BG16</f>
        <v>#NAME?</v>
      </c>
      <c r="BI16" s="81" t="e">
        <f ca="1">ABS(_xll.crAsym(BG16,$AE16,$AC16))</f>
        <v>#NAME?</v>
      </c>
      <c r="BJ16" s="553" t="e">
        <f ca="1">ABS(_xll.cgAsym(BG16,$AE16,$AC16))</f>
        <v>#NAME?</v>
      </c>
      <c r="BK16" s="199" t="e">
        <f ca="1">Ncreasym($AB16,$AC16,$AE16,0)</f>
        <v>#NAME?</v>
      </c>
      <c r="BL16" s="62" t="e">
        <f ca="1">BB16*BK16</f>
        <v>#NAME?</v>
      </c>
      <c r="BM16" s="63"/>
      <c r="BN16" s="137">
        <f t="shared" si="14"/>
        <v>0</v>
      </c>
      <c r="BO16" s="137" t="e">
        <f t="shared" ca="1" si="15"/>
        <v>#NAME?</v>
      </c>
      <c r="BP16" s="137" t="e">
        <f ca="1">MIN(BD16,BH16)/BL16</f>
        <v>#NAME?</v>
      </c>
      <c r="BQ16" s="63"/>
      <c r="BR16" s="62" t="e">
        <f ca="1">Ncr(Mp_Norm($AF16,$AD16),0,$AI16,BC16,BE16)*$BB16</f>
        <v>#NAME?</v>
      </c>
      <c r="BS16" s="199" t="e">
        <f ca="1">BR16/$BD16</f>
        <v>#NAME?</v>
      </c>
      <c r="BT16" s="62" t="e">
        <f ca="1">Ncr(Mp_Norm($AF16,$AD16),0,$AJ16,BG16,BI16)*$BB16</f>
        <v>#NAME?</v>
      </c>
      <c r="BU16" s="199" t="e">
        <f ca="1">BT16/BH16</f>
        <v>#NAME?</v>
      </c>
      <c r="BV16" s="62" t="e">
        <f t="shared" ref="BV16:BV21" ca="1" si="45">slenderness(BL16*10^3,AW16,AX16)</f>
        <v>#NAME?</v>
      </c>
      <c r="BW16" s="62" t="e">
        <f t="shared" ref="BW16:BW21" ca="1" si="46">_xll.Ncr_EC3(AW16,BV16,"c",AY16)/10^3</f>
        <v>#VALUE!</v>
      </c>
      <c r="BX16" s="199" t="e">
        <f ca="1">BW16/BL16</f>
        <v>#VALUE!</v>
      </c>
      <c r="BY16" s="63"/>
      <c r="BZ16" s="62" t="e">
        <f ca="1">MAX(BW16,MIN(BR16,BT16))</f>
        <v>#NAME?</v>
      </c>
      <c r="CA16" s="137">
        <f t="shared" si="18"/>
        <v>0</v>
      </c>
      <c r="CB16" s="137" t="e">
        <f t="shared" ca="1" si="19"/>
        <v>#NAME?</v>
      </c>
      <c r="CC16" s="63"/>
      <c r="CD16" s="62" t="e">
        <f ca="1">Nlim1(Mp_Norm($AF16,$AD16),0,$AH16,BC16,BK16*BX16)*$BB16</f>
        <v>#NAME?</v>
      </c>
      <c r="CE16" s="199" t="e">
        <f t="shared" ca="1" si="20"/>
        <v>#NAME?</v>
      </c>
      <c r="CF16" s="62"/>
      <c r="CG16" s="199"/>
      <c r="CH16" s="62"/>
      <c r="CI16" s="62"/>
      <c r="CJ16" s="199"/>
    </row>
    <row r="17" spans="1:88" s="600" customFormat="1" x14ac:dyDescent="0.25">
      <c r="A17" s="326"/>
      <c r="B17" s="430"/>
      <c r="C17" s="601"/>
      <c r="D17" s="21" t="s">
        <v>15</v>
      </c>
      <c r="E17" s="86"/>
      <c r="F17" s="86">
        <v>432</v>
      </c>
      <c r="G17" s="485">
        <v>2.3919999999999999</v>
      </c>
      <c r="H17" s="187">
        <v>1200</v>
      </c>
      <c r="I17" s="187">
        <v>581</v>
      </c>
      <c r="J17" s="87">
        <v>6.8</v>
      </c>
      <c r="K17" s="87"/>
      <c r="L17" s="264"/>
      <c r="M17" s="264"/>
      <c r="N17" s="86" t="s">
        <v>557</v>
      </c>
      <c r="O17" s="607">
        <v>97.3</v>
      </c>
      <c r="P17" s="86"/>
      <c r="Q17" s="86"/>
      <c r="R17" s="485">
        <v>0.41599999999999998</v>
      </c>
      <c r="S17" s="87">
        <v>96.999994930505665</v>
      </c>
      <c r="T17" s="485"/>
      <c r="U17" s="87"/>
      <c r="V17" s="108"/>
      <c r="W17" s="108"/>
      <c r="X17" s="87">
        <v>4043.4906169356796</v>
      </c>
      <c r="Y17" s="615">
        <v>8.3800000000000008</v>
      </c>
      <c r="Z17" s="611">
        <v>5.5</v>
      </c>
      <c r="AB17" s="156">
        <f t="shared" si="38"/>
        <v>2.0654044750430294</v>
      </c>
      <c r="AC17" s="156">
        <f t="shared" si="39"/>
        <v>0.17391304347826086</v>
      </c>
      <c r="AD17" s="156">
        <f t="shared" si="40"/>
        <v>1.4017434138710356</v>
      </c>
      <c r="AE17" s="156">
        <f t="shared" si="41"/>
        <v>3.362666490924196E-2</v>
      </c>
      <c r="AF17" s="155">
        <f t="shared" si="42"/>
        <v>1.3602108972292169E-3</v>
      </c>
      <c r="AG17" s="155">
        <f t="shared" si="43"/>
        <v>0</v>
      </c>
      <c r="AH17" s="155">
        <f t="shared" si="6"/>
        <v>1.6346153846153847E-2</v>
      </c>
      <c r="AI17" s="155">
        <f t="shared" si="21"/>
        <v>0</v>
      </c>
      <c r="AJ17" s="473">
        <f t="shared" si="22"/>
        <v>0</v>
      </c>
      <c r="AK17" s="557"/>
      <c r="AL17" s="557"/>
      <c r="AM17" s="557"/>
      <c r="AN17" s="557"/>
      <c r="AO17" s="558"/>
      <c r="AP17" s="558"/>
      <c r="AQ17" s="558"/>
      <c r="AR17" s="473"/>
      <c r="AT17" s="87"/>
      <c r="AU17" s="87"/>
      <c r="AV17" s="591"/>
      <c r="AW17" s="87">
        <f t="shared" ref="AW17:AY17" si="47">AW11</f>
        <v>4176</v>
      </c>
      <c r="AX17" s="87">
        <f t="shared" si="47"/>
        <v>5856192</v>
      </c>
      <c r="AY17" s="87">
        <f t="shared" si="47"/>
        <v>266.8</v>
      </c>
      <c r="BB17" s="62" t="e">
        <f t="shared" ref="BB17:BB27" ca="1" si="48">Ncr0(H17,R17)</f>
        <v>#NAME?</v>
      </c>
      <c r="BC17" s="199" t="e">
        <f t="shared" ref="BC17:BC21" ca="1" si="49">NcreSym(AB17,AC17,AE17,AD17)</f>
        <v>#NAME?</v>
      </c>
      <c r="BD17" s="62" t="e">
        <f t="shared" ref="BD17:BD21" ca="1" si="50">BB17*BC17</f>
        <v>#NAME?</v>
      </c>
      <c r="BE17" s="81" t="e">
        <f t="shared" ref="BE17:BE21" ca="1" si="51">ABS(_xll.crSym(BC17,$AE17))</f>
        <v>#NAME?</v>
      </c>
      <c r="BF17" s="553" t="e">
        <f t="shared" ref="BF17:BF21" ca="1" si="52">ABS(_xll.cgSym(BC17,$AE17))</f>
        <v>#NAME?</v>
      </c>
      <c r="BG17" s="199" t="e">
        <f t="shared" ca="1" si="27"/>
        <v>#NAME?</v>
      </c>
      <c r="BH17" s="62" t="e">
        <f t="shared" ref="BH17:BH21" ca="1" si="53">BB17*BG17</f>
        <v>#NAME?</v>
      </c>
      <c r="BI17" s="81" t="e">
        <f t="shared" ref="BI17:BI21" ca="1" si="54">ABS(_xll.crAsym(BG17,$AE17,$AC17))</f>
        <v>#NAME?</v>
      </c>
      <c r="BJ17" s="553" t="e">
        <f t="shared" ref="BJ17:BJ21" ca="1" si="55">ABS(_xll.cgAsym(BG17,$AE17,$AC17))</f>
        <v>#NAME?</v>
      </c>
      <c r="BK17" s="199" t="e">
        <f t="shared" ca="1" si="31"/>
        <v>#NAME?</v>
      </c>
      <c r="BL17" s="62" t="e">
        <f t="shared" ref="BL17:BL21" ca="1" si="56">BB17*BK17</f>
        <v>#NAME?</v>
      </c>
      <c r="BM17" s="63"/>
      <c r="BN17" s="137">
        <f t="shared" si="14"/>
        <v>0</v>
      </c>
      <c r="BO17" s="137" t="e">
        <f t="shared" ca="1" si="15"/>
        <v>#NAME?</v>
      </c>
      <c r="BP17" s="137" t="e">
        <f t="shared" ref="BP17:BP21" ca="1" si="57">MIN(BD17,BH17)/BL17</f>
        <v>#NAME?</v>
      </c>
      <c r="BQ17" s="63"/>
      <c r="BR17" s="62" t="e">
        <f ca="1">Ncr(Mp_Norm($AF17,$AD17),0,$AI17,BC17,BE17)*$BB17</f>
        <v>#NAME?</v>
      </c>
      <c r="BS17" s="199" t="e">
        <f t="shared" ref="BS17:BS21" ca="1" si="58">BR17/$BD17</f>
        <v>#NAME?</v>
      </c>
      <c r="BT17" s="62" t="e">
        <f ca="1">Ncr(Mp_Norm($AF17,$AD17),0,$AJ17,BG17,BI17)*$BB17</f>
        <v>#NAME?</v>
      </c>
      <c r="BU17" s="199" t="e">
        <f t="shared" ref="BU17:BU21" ca="1" si="59">BT17/BH17</f>
        <v>#NAME?</v>
      </c>
      <c r="BV17" s="62" t="e">
        <f t="shared" ca="1" si="45"/>
        <v>#NAME?</v>
      </c>
      <c r="BW17" s="62" t="e">
        <f t="shared" ca="1" si="46"/>
        <v>#VALUE!</v>
      </c>
      <c r="BX17" s="199" t="e">
        <f t="shared" ref="BX17:BX21" ca="1" si="60">BW17/BL17</f>
        <v>#VALUE!</v>
      </c>
      <c r="BY17" s="63"/>
      <c r="BZ17" s="62" t="e">
        <f t="shared" ref="BZ17:BZ21" ca="1" si="61">MAX(BW17,MIN(BR17,BT17))</f>
        <v>#NAME?</v>
      </c>
      <c r="CA17" s="137">
        <f t="shared" si="18"/>
        <v>0</v>
      </c>
      <c r="CB17" s="137" t="e">
        <f t="shared" ca="1" si="19"/>
        <v>#NAME?</v>
      </c>
      <c r="CC17" s="63"/>
      <c r="CD17" s="62" t="e">
        <f ca="1">Nlim1(Mp_Norm($AF17,$AD17),0,$AH17,BC17,BK17*BX17)*$BB17</f>
        <v>#NAME?</v>
      </c>
      <c r="CE17" s="199" t="e">
        <f t="shared" ca="1" si="20"/>
        <v>#NAME?</v>
      </c>
      <c r="CF17" s="62"/>
      <c r="CG17" s="199"/>
      <c r="CH17" s="62"/>
      <c r="CI17" s="62"/>
      <c r="CJ17" s="199"/>
    </row>
    <row r="18" spans="1:88" s="600" customFormat="1" x14ac:dyDescent="0.25">
      <c r="A18" s="326"/>
      <c r="B18" s="430"/>
      <c r="C18" s="601"/>
      <c r="D18" s="21" t="s">
        <v>16</v>
      </c>
      <c r="E18" s="86"/>
      <c r="F18" s="86">
        <v>432</v>
      </c>
      <c r="G18" s="485">
        <v>2.3919999999999999</v>
      </c>
      <c r="H18" s="187">
        <v>1200</v>
      </c>
      <c r="I18" s="187">
        <v>581</v>
      </c>
      <c r="J18" s="87">
        <v>12.4</v>
      </c>
      <c r="K18" s="87"/>
      <c r="L18" s="264"/>
      <c r="M18" s="264"/>
      <c r="N18" s="86" t="s">
        <v>557</v>
      </c>
      <c r="O18" s="607">
        <v>97.3</v>
      </c>
      <c r="P18" s="86"/>
      <c r="Q18" s="151"/>
      <c r="R18" s="485">
        <v>0.41599999999999998</v>
      </c>
      <c r="S18" s="87">
        <v>96.999994930505665</v>
      </c>
      <c r="T18" s="485"/>
      <c r="U18" s="87"/>
      <c r="V18" s="108"/>
      <c r="W18" s="108"/>
      <c r="X18" s="87">
        <v>4043.4906169356796</v>
      </c>
      <c r="Y18" s="615">
        <v>8.56</v>
      </c>
      <c r="Z18" s="611">
        <v>6.56</v>
      </c>
      <c r="AB18" s="156">
        <f t="shared" si="38"/>
        <v>2.0654044750430294</v>
      </c>
      <c r="AC18" s="156">
        <f t="shared" si="39"/>
        <v>0.17391304347826086</v>
      </c>
      <c r="AD18" s="156">
        <f t="shared" si="40"/>
        <v>1.4017434138710356</v>
      </c>
      <c r="AE18" s="156">
        <f t="shared" si="41"/>
        <v>3.362666490924196E-2</v>
      </c>
      <c r="AF18" s="155">
        <f t="shared" si="42"/>
        <v>1.6223606337861204E-3</v>
      </c>
      <c r="AG18" s="155">
        <f t="shared" si="43"/>
        <v>0</v>
      </c>
      <c r="AH18" s="155">
        <f t="shared" si="6"/>
        <v>2.9807692307692309E-2</v>
      </c>
      <c r="AI18" s="155">
        <f t="shared" si="21"/>
        <v>0</v>
      </c>
      <c r="AJ18" s="473">
        <f t="shared" si="22"/>
        <v>0</v>
      </c>
      <c r="AK18" s="557"/>
      <c r="AL18" s="557"/>
      <c r="AM18" s="557"/>
      <c r="AN18" s="557"/>
      <c r="AO18" s="558"/>
      <c r="AP18" s="558"/>
      <c r="AQ18" s="558"/>
      <c r="AR18" s="473"/>
      <c r="AT18" s="87"/>
      <c r="AU18" s="87"/>
      <c r="AV18" s="591"/>
      <c r="AW18" s="87">
        <f t="shared" ref="AW18:AY18" si="62">AW12</f>
        <v>4176</v>
      </c>
      <c r="AX18" s="87">
        <f t="shared" si="62"/>
        <v>5856192</v>
      </c>
      <c r="AY18" s="87">
        <f t="shared" si="62"/>
        <v>266.8</v>
      </c>
      <c r="BB18" s="62" t="e">
        <f t="shared" ca="1" si="48"/>
        <v>#NAME?</v>
      </c>
      <c r="BC18" s="199" t="e">
        <f t="shared" ca="1" si="49"/>
        <v>#NAME?</v>
      </c>
      <c r="BD18" s="62" t="e">
        <f t="shared" ca="1" si="50"/>
        <v>#NAME?</v>
      </c>
      <c r="BE18" s="81" t="e">
        <f t="shared" ca="1" si="51"/>
        <v>#NAME?</v>
      </c>
      <c r="BF18" s="553" t="e">
        <f t="shared" ca="1" si="52"/>
        <v>#NAME?</v>
      </c>
      <c r="BG18" s="199" t="e">
        <f t="shared" ca="1" si="27"/>
        <v>#NAME?</v>
      </c>
      <c r="BH18" s="62" t="e">
        <f t="shared" ca="1" si="53"/>
        <v>#NAME?</v>
      </c>
      <c r="BI18" s="81" t="e">
        <f t="shared" ca="1" si="54"/>
        <v>#NAME?</v>
      </c>
      <c r="BJ18" s="553" t="e">
        <f t="shared" ca="1" si="55"/>
        <v>#NAME?</v>
      </c>
      <c r="BK18" s="199" t="e">
        <f t="shared" ca="1" si="31"/>
        <v>#NAME?</v>
      </c>
      <c r="BL18" s="62" t="e">
        <f t="shared" ca="1" si="56"/>
        <v>#NAME?</v>
      </c>
      <c r="BM18" s="63"/>
      <c r="BN18" s="137">
        <f t="shared" si="14"/>
        <v>0</v>
      </c>
      <c r="BO18" s="137" t="e">
        <f t="shared" ca="1" si="15"/>
        <v>#NAME?</v>
      </c>
      <c r="BP18" s="137" t="e">
        <f t="shared" ca="1" si="57"/>
        <v>#NAME?</v>
      </c>
      <c r="BQ18" s="63"/>
      <c r="BR18" s="62" t="e">
        <f ca="1">Ncr(Mp_Norm($AF18,$AD18),0,$AI18,BC18,BE18)*$BB18</f>
        <v>#NAME?</v>
      </c>
      <c r="BS18" s="199" t="e">
        <f t="shared" ca="1" si="58"/>
        <v>#NAME?</v>
      </c>
      <c r="BT18" s="62" t="e">
        <f ca="1">Ncr(Mp_Norm($AF18,$AD18),0,$AJ18,BG18,BI18)*$BB18</f>
        <v>#NAME?</v>
      </c>
      <c r="BU18" s="199" t="e">
        <f t="shared" ca="1" si="59"/>
        <v>#NAME?</v>
      </c>
      <c r="BV18" s="62" t="e">
        <f t="shared" ca="1" si="45"/>
        <v>#NAME?</v>
      </c>
      <c r="BW18" s="62" t="e">
        <f t="shared" ca="1" si="46"/>
        <v>#VALUE!</v>
      </c>
      <c r="BX18" s="199" t="e">
        <f t="shared" ca="1" si="60"/>
        <v>#VALUE!</v>
      </c>
      <c r="BY18" s="63"/>
      <c r="BZ18" s="62" t="e">
        <f t="shared" ca="1" si="61"/>
        <v>#NAME?</v>
      </c>
      <c r="CA18" s="137">
        <f t="shared" si="18"/>
        <v>0</v>
      </c>
      <c r="CB18" s="137" t="e">
        <f t="shared" ca="1" si="19"/>
        <v>#NAME?</v>
      </c>
      <c r="CC18" s="63"/>
      <c r="CD18" s="62" t="e">
        <f ca="1">Nlim1(Mp_Norm($AF18,$AD18),0,$AH18,BC18,BK18*BX18)*$BB18</f>
        <v>#NAME?</v>
      </c>
      <c r="CE18" s="199" t="e">
        <f t="shared" ca="1" si="20"/>
        <v>#NAME?</v>
      </c>
      <c r="CF18" s="62"/>
      <c r="CG18" s="199"/>
      <c r="CH18" s="62"/>
      <c r="CI18" s="62"/>
      <c r="CJ18" s="199"/>
    </row>
    <row r="19" spans="1:88" s="600" customFormat="1" x14ac:dyDescent="0.25">
      <c r="A19" s="326"/>
      <c r="B19" s="430"/>
      <c r="C19" s="601"/>
      <c r="D19" s="21" t="s">
        <v>17</v>
      </c>
      <c r="E19" s="86"/>
      <c r="F19" s="86">
        <v>437</v>
      </c>
      <c r="G19" s="485">
        <v>2.3919999999999999</v>
      </c>
      <c r="H19" s="187">
        <v>1200</v>
      </c>
      <c r="I19" s="187">
        <v>714</v>
      </c>
      <c r="J19" s="87">
        <v>12.4</v>
      </c>
      <c r="K19" s="87"/>
      <c r="L19" s="264"/>
      <c r="M19" s="264"/>
      <c r="N19" s="86" t="s">
        <v>557</v>
      </c>
      <c r="O19" s="607">
        <v>97.3</v>
      </c>
      <c r="P19" s="86"/>
      <c r="Q19" s="151"/>
      <c r="R19" s="485">
        <v>0.41599999999999998</v>
      </c>
      <c r="S19" s="87">
        <v>96.999994930505665</v>
      </c>
      <c r="T19" s="485"/>
      <c r="U19" s="87"/>
      <c r="V19" s="108"/>
      <c r="W19" s="108"/>
      <c r="X19" s="87">
        <v>1285.6604779841327</v>
      </c>
      <c r="Y19" s="614">
        <v>35.68</v>
      </c>
      <c r="Z19" s="611">
        <v>6.5</v>
      </c>
      <c r="AB19" s="156">
        <f t="shared" si="38"/>
        <v>1.680672268907563</v>
      </c>
      <c r="AC19" s="156">
        <f t="shared" si="39"/>
        <v>0.17391304347826086</v>
      </c>
      <c r="AD19" s="156">
        <f t="shared" si="40"/>
        <v>0.44569563236783266</v>
      </c>
      <c r="AE19" s="156">
        <f t="shared" si="41"/>
        <v>3.362666490924196E-2</v>
      </c>
      <c r="AF19" s="155">
        <f t="shared" si="42"/>
        <v>5.0557671417198382E-3</v>
      </c>
      <c r="AG19" s="155">
        <f t="shared" si="43"/>
        <v>0</v>
      </c>
      <c r="AH19" s="155">
        <f t="shared" si="6"/>
        <v>2.9807692307692309E-2</v>
      </c>
      <c r="AI19" s="155">
        <f t="shared" si="21"/>
        <v>0</v>
      </c>
      <c r="AJ19" s="473">
        <f t="shared" si="22"/>
        <v>0</v>
      </c>
      <c r="AK19" s="557"/>
      <c r="AL19" s="557"/>
      <c r="AM19" s="557"/>
      <c r="AN19" s="557"/>
      <c r="AO19" s="558"/>
      <c r="AP19" s="558"/>
      <c r="AQ19" s="558"/>
      <c r="AR19" s="473"/>
      <c r="AT19" s="87"/>
      <c r="AU19" s="87"/>
      <c r="AV19" s="591"/>
      <c r="AW19" s="87">
        <f t="shared" ref="AW19:AY19" si="63">AW13</f>
        <v>4176</v>
      </c>
      <c r="AX19" s="87">
        <f t="shared" si="63"/>
        <v>5856192</v>
      </c>
      <c r="AY19" s="87">
        <f t="shared" si="63"/>
        <v>269.7</v>
      </c>
      <c r="BB19" s="62" t="e">
        <f t="shared" ca="1" si="48"/>
        <v>#NAME?</v>
      </c>
      <c r="BC19" s="199" t="e">
        <f t="shared" ca="1" si="49"/>
        <v>#NAME?</v>
      </c>
      <c r="BD19" s="62" t="e">
        <f t="shared" ca="1" si="50"/>
        <v>#NAME?</v>
      </c>
      <c r="BE19" s="81" t="e">
        <f t="shared" ca="1" si="51"/>
        <v>#NAME?</v>
      </c>
      <c r="BF19" s="553" t="e">
        <f t="shared" ca="1" si="52"/>
        <v>#NAME?</v>
      </c>
      <c r="BG19" s="199" t="e">
        <f t="shared" ca="1" si="27"/>
        <v>#NAME?</v>
      </c>
      <c r="BH19" s="62" t="e">
        <f t="shared" ca="1" si="53"/>
        <v>#NAME?</v>
      </c>
      <c r="BI19" s="81" t="e">
        <f t="shared" ca="1" si="54"/>
        <v>#NAME?</v>
      </c>
      <c r="BJ19" s="553" t="e">
        <f t="shared" ca="1" si="55"/>
        <v>#NAME?</v>
      </c>
      <c r="BK19" s="199" t="e">
        <f t="shared" ca="1" si="31"/>
        <v>#NAME?</v>
      </c>
      <c r="BL19" s="62" t="e">
        <f t="shared" ca="1" si="56"/>
        <v>#NAME?</v>
      </c>
      <c r="BM19" s="63"/>
      <c r="BN19" s="137">
        <f t="shared" si="14"/>
        <v>0</v>
      </c>
      <c r="BO19" s="137" t="e">
        <f t="shared" ca="1" si="15"/>
        <v>#NAME?</v>
      </c>
      <c r="BP19" s="137" t="e">
        <f t="shared" ca="1" si="57"/>
        <v>#NAME?</v>
      </c>
      <c r="BQ19" s="63"/>
      <c r="BR19" s="62" t="e">
        <f ca="1">Ncr(Mp_Norm($AF19,$AD19),0,$AI19,BC19,BE19)*$BB19</f>
        <v>#NAME?</v>
      </c>
      <c r="BS19" s="199" t="e">
        <f t="shared" ca="1" si="58"/>
        <v>#NAME?</v>
      </c>
      <c r="BT19" s="62" t="e">
        <f ca="1">Ncr(Mp_Norm($AF19,$AD19),0,$AJ19,BG19,BI19)*$BB19</f>
        <v>#NAME?</v>
      </c>
      <c r="BU19" s="199" t="e">
        <f t="shared" ca="1" si="59"/>
        <v>#NAME?</v>
      </c>
      <c r="BV19" s="62" t="e">
        <f t="shared" ca="1" si="45"/>
        <v>#NAME?</v>
      </c>
      <c r="BW19" s="62" t="e">
        <f t="shared" ca="1" si="46"/>
        <v>#VALUE!</v>
      </c>
      <c r="BX19" s="199" t="e">
        <f t="shared" ca="1" si="60"/>
        <v>#VALUE!</v>
      </c>
      <c r="BY19" s="63"/>
      <c r="BZ19" s="62" t="e">
        <f t="shared" ca="1" si="61"/>
        <v>#NAME?</v>
      </c>
      <c r="CA19" s="137">
        <f t="shared" si="18"/>
        <v>0</v>
      </c>
      <c r="CB19" s="137" t="e">
        <f t="shared" ca="1" si="19"/>
        <v>#NAME?</v>
      </c>
      <c r="CC19" s="63"/>
      <c r="CD19" s="62" t="e">
        <f ca="1">Nlim1(Mp_Norm($AF19,$AD19),0,$AH19,BC19,BK19*BX19)*$BB19</f>
        <v>#NAME?</v>
      </c>
      <c r="CE19" s="199" t="e">
        <f t="shared" ca="1" si="20"/>
        <v>#NAME?</v>
      </c>
      <c r="CF19" s="62"/>
      <c r="CG19" s="199"/>
      <c r="CH19" s="62"/>
      <c r="CI19" s="62"/>
      <c r="CJ19" s="199"/>
    </row>
    <row r="20" spans="1:88" s="600" customFormat="1" x14ac:dyDescent="0.25">
      <c r="A20" s="326"/>
      <c r="B20" s="430"/>
      <c r="C20" s="601"/>
      <c r="D20" s="21" t="s">
        <v>18</v>
      </c>
      <c r="E20" s="86"/>
      <c r="F20" s="86">
        <v>432</v>
      </c>
      <c r="G20" s="485">
        <v>2.3919999999999999</v>
      </c>
      <c r="H20" s="187">
        <v>1200</v>
      </c>
      <c r="I20" s="187">
        <v>581</v>
      </c>
      <c r="J20" s="87">
        <v>11.4</v>
      </c>
      <c r="K20" s="87"/>
      <c r="L20" s="264"/>
      <c r="M20" s="264"/>
      <c r="N20" s="86" t="s">
        <v>557</v>
      </c>
      <c r="O20" s="607">
        <v>97.3</v>
      </c>
      <c r="P20" s="86"/>
      <c r="Q20" s="151"/>
      <c r="R20" s="485">
        <v>0.41599999999999998</v>
      </c>
      <c r="S20" s="87">
        <v>96.999995831220645</v>
      </c>
      <c r="T20" s="485"/>
      <c r="U20" s="87"/>
      <c r="V20" s="108"/>
      <c r="W20" s="108"/>
      <c r="X20" s="87">
        <v>505.43632711695994</v>
      </c>
      <c r="Y20" s="615">
        <v>4.28</v>
      </c>
      <c r="Z20" s="611">
        <v>6.78</v>
      </c>
      <c r="AB20" s="156">
        <f t="shared" si="38"/>
        <v>2.0654044750430294</v>
      </c>
      <c r="AC20" s="156">
        <f t="shared" si="39"/>
        <v>0.17391304347826086</v>
      </c>
      <c r="AD20" s="156">
        <f t="shared" si="40"/>
        <v>0.17521792673387945</v>
      </c>
      <c r="AE20" s="156">
        <f t="shared" si="41"/>
        <v>3.362666522148982E-2</v>
      </c>
      <c r="AF20" s="155">
        <f t="shared" si="42"/>
        <v>8.467931112932434E-3</v>
      </c>
      <c r="AG20" s="155">
        <f t="shared" si="43"/>
        <v>0</v>
      </c>
      <c r="AH20" s="155">
        <f t="shared" si="6"/>
        <v>2.7403846153846157E-2</v>
      </c>
      <c r="AI20" s="155">
        <f t="shared" si="21"/>
        <v>0</v>
      </c>
      <c r="AJ20" s="473">
        <f t="shared" si="22"/>
        <v>0</v>
      </c>
      <c r="AK20" s="557"/>
      <c r="AL20" s="557"/>
      <c r="AM20" s="557"/>
      <c r="AN20" s="557"/>
      <c r="AO20" s="558"/>
      <c r="AP20" s="558"/>
      <c r="AQ20" s="558"/>
      <c r="AR20" s="473"/>
      <c r="AT20" s="87"/>
      <c r="AU20" s="87"/>
      <c r="AV20" s="591"/>
      <c r="AW20" s="87">
        <f t="shared" ref="AW20:AY20" si="64">AW14</f>
        <v>4176</v>
      </c>
      <c r="AX20" s="87">
        <f t="shared" si="64"/>
        <v>5856192</v>
      </c>
      <c r="AY20" s="87">
        <f t="shared" si="64"/>
        <v>266.8</v>
      </c>
      <c r="BB20" s="62" t="e">
        <f t="shared" ca="1" si="48"/>
        <v>#NAME?</v>
      </c>
      <c r="BC20" s="199" t="e">
        <f t="shared" ca="1" si="49"/>
        <v>#NAME?</v>
      </c>
      <c r="BD20" s="62" t="e">
        <f t="shared" ca="1" si="50"/>
        <v>#NAME?</v>
      </c>
      <c r="BE20" s="81" t="e">
        <f t="shared" ca="1" si="51"/>
        <v>#NAME?</v>
      </c>
      <c r="BF20" s="553" t="e">
        <f t="shared" ca="1" si="52"/>
        <v>#NAME?</v>
      </c>
      <c r="BG20" s="199" t="e">
        <f t="shared" ca="1" si="27"/>
        <v>#NAME?</v>
      </c>
      <c r="BH20" s="62" t="e">
        <f t="shared" ca="1" si="53"/>
        <v>#NAME?</v>
      </c>
      <c r="BI20" s="81" t="e">
        <f t="shared" ca="1" si="54"/>
        <v>#NAME?</v>
      </c>
      <c r="BJ20" s="553" t="e">
        <f t="shared" ca="1" si="55"/>
        <v>#NAME?</v>
      </c>
      <c r="BK20" s="199" t="e">
        <f t="shared" ca="1" si="31"/>
        <v>#NAME?</v>
      </c>
      <c r="BL20" s="62" t="e">
        <f t="shared" ca="1" si="56"/>
        <v>#NAME?</v>
      </c>
      <c r="BM20" s="63"/>
      <c r="BN20" s="137">
        <f t="shared" si="14"/>
        <v>0</v>
      </c>
      <c r="BO20" s="137" t="e">
        <f t="shared" ca="1" si="15"/>
        <v>#NAME?</v>
      </c>
      <c r="BP20" s="137" t="e">
        <f t="shared" ca="1" si="57"/>
        <v>#NAME?</v>
      </c>
      <c r="BQ20" s="63"/>
      <c r="BR20" s="62" t="e">
        <f ca="1">Ncr(Mp_Norm($AF20,$AD20),0,$AI20,BC20,BE20)*$BB20</f>
        <v>#NAME?</v>
      </c>
      <c r="BS20" s="199" t="e">
        <f t="shared" ca="1" si="58"/>
        <v>#NAME?</v>
      </c>
      <c r="BT20" s="62" t="e">
        <f ca="1">Ncr(Mp_Norm($AF20,$AD20),0,$AJ20,BG20,BI20)*$BB20</f>
        <v>#NAME?</v>
      </c>
      <c r="BU20" s="199" t="e">
        <f t="shared" ca="1" si="59"/>
        <v>#NAME?</v>
      </c>
      <c r="BV20" s="62" t="e">
        <f t="shared" ca="1" si="45"/>
        <v>#NAME?</v>
      </c>
      <c r="BW20" s="62" t="e">
        <f t="shared" ca="1" si="46"/>
        <v>#VALUE!</v>
      </c>
      <c r="BX20" s="199" t="e">
        <f t="shared" ca="1" si="60"/>
        <v>#VALUE!</v>
      </c>
      <c r="BY20" s="63"/>
      <c r="BZ20" s="62" t="e">
        <f t="shared" ca="1" si="61"/>
        <v>#NAME?</v>
      </c>
      <c r="CA20" s="137">
        <f t="shared" si="18"/>
        <v>0</v>
      </c>
      <c r="CB20" s="137" t="e">
        <f t="shared" ca="1" si="19"/>
        <v>#NAME?</v>
      </c>
      <c r="CC20" s="63"/>
      <c r="CD20" s="62" t="e">
        <f ca="1">Nlim1(Mp_Norm($AF20,$AD20),0,$AH20,BC20,BK20*BX20)*$BB20</f>
        <v>#NAME?</v>
      </c>
      <c r="CE20" s="199" t="e">
        <f t="shared" ca="1" si="20"/>
        <v>#NAME?</v>
      </c>
      <c r="CF20" s="62"/>
      <c r="CG20" s="199"/>
      <c r="CH20" s="62"/>
      <c r="CI20" s="62"/>
      <c r="CJ20" s="199"/>
    </row>
    <row r="21" spans="1:88" s="600" customFormat="1" x14ac:dyDescent="0.25">
      <c r="A21" s="326"/>
      <c r="B21" s="430"/>
      <c r="C21" s="601"/>
      <c r="D21" s="10" t="s">
        <v>19</v>
      </c>
      <c r="E21" s="18"/>
      <c r="F21" s="18">
        <v>432</v>
      </c>
      <c r="G21" s="486">
        <v>2.3919999999999999</v>
      </c>
      <c r="H21" s="188">
        <v>1200</v>
      </c>
      <c r="I21" s="188">
        <v>581</v>
      </c>
      <c r="J21" s="104">
        <v>21.7</v>
      </c>
      <c r="K21" s="104"/>
      <c r="L21" s="265"/>
      <c r="M21" s="265"/>
      <c r="N21" s="18" t="s">
        <v>557</v>
      </c>
      <c r="O21" s="608">
        <v>97.3</v>
      </c>
      <c r="P21" s="18"/>
      <c r="Q21" s="128"/>
      <c r="R21" s="486">
        <v>0.41599999999999998</v>
      </c>
      <c r="S21" s="104">
        <v>96.999995831220645</v>
      </c>
      <c r="T21" s="486"/>
      <c r="U21" s="104"/>
      <c r="V21" s="111"/>
      <c r="W21" s="111"/>
      <c r="X21" s="104">
        <v>505.43632711695994</v>
      </c>
      <c r="Y21" s="616">
        <v>4.28</v>
      </c>
      <c r="Z21" s="612">
        <v>6.78</v>
      </c>
      <c r="AB21" s="133">
        <f t="shared" ref="AB21:AB27" si="65">H21/I21</f>
        <v>2.0654044750430294</v>
      </c>
      <c r="AC21" s="133">
        <f t="shared" ref="AC21:AC27" si="66">R21/G21</f>
        <v>0.17391304347826086</v>
      </c>
      <c r="AD21" s="133">
        <f t="shared" ref="AD21:AD27" si="67">X21*R21/H21</f>
        <v>0.17521792673387945</v>
      </c>
      <c r="AE21" s="133">
        <f t="shared" ref="AE21:AE27" si="68">S21*R21/H21</f>
        <v>3.362666522148982E-2</v>
      </c>
      <c r="AF21" s="132">
        <f t="shared" si="42"/>
        <v>8.467931112932434E-3</v>
      </c>
      <c r="AG21" s="132">
        <f t="shared" si="43"/>
        <v>0</v>
      </c>
      <c r="AH21" s="132">
        <f t="shared" si="6"/>
        <v>5.216346153846154E-2</v>
      </c>
      <c r="AI21" s="132">
        <f t="shared" si="21"/>
        <v>0</v>
      </c>
      <c r="AJ21" s="474">
        <f t="shared" si="22"/>
        <v>0</v>
      </c>
      <c r="AK21" s="559"/>
      <c r="AL21" s="559"/>
      <c r="AM21" s="559"/>
      <c r="AN21" s="559"/>
      <c r="AO21" s="560"/>
      <c r="AP21" s="560"/>
      <c r="AQ21" s="560"/>
      <c r="AR21" s="474"/>
      <c r="AT21" s="104"/>
      <c r="AU21" s="104"/>
      <c r="AV21" s="592"/>
      <c r="AW21" s="104">
        <f t="shared" ref="AW21:AY21" si="69">AW15</f>
        <v>4176</v>
      </c>
      <c r="AX21" s="104">
        <f t="shared" si="69"/>
        <v>5856192</v>
      </c>
      <c r="AY21" s="104">
        <f t="shared" si="69"/>
        <v>266.8</v>
      </c>
      <c r="BB21" s="30" t="e">
        <f t="shared" ca="1" si="48"/>
        <v>#NAME?</v>
      </c>
      <c r="BC21" s="215" t="e">
        <f t="shared" ca="1" si="49"/>
        <v>#NAME?</v>
      </c>
      <c r="BD21" s="30" t="e">
        <f t="shared" ca="1" si="50"/>
        <v>#NAME?</v>
      </c>
      <c r="BE21" s="53" t="e">
        <f t="shared" ca="1" si="51"/>
        <v>#NAME?</v>
      </c>
      <c r="BF21" s="554" t="e">
        <f t="shared" ca="1" si="52"/>
        <v>#NAME?</v>
      </c>
      <c r="BG21" s="215" t="e">
        <f t="shared" ca="1" si="27"/>
        <v>#NAME?</v>
      </c>
      <c r="BH21" s="30" t="e">
        <f t="shared" ca="1" si="53"/>
        <v>#NAME?</v>
      </c>
      <c r="BI21" s="53" t="e">
        <f t="shared" ca="1" si="54"/>
        <v>#NAME?</v>
      </c>
      <c r="BJ21" s="554" t="e">
        <f t="shared" ca="1" si="55"/>
        <v>#NAME?</v>
      </c>
      <c r="BK21" s="215" t="e">
        <f t="shared" ca="1" si="31"/>
        <v>#NAME?</v>
      </c>
      <c r="BL21" s="30" t="e">
        <f t="shared" ca="1" si="56"/>
        <v>#NAME?</v>
      </c>
      <c r="BM21" s="36"/>
      <c r="BN21" s="283">
        <f t="shared" si="14"/>
        <v>0</v>
      </c>
      <c r="BO21" s="283" t="e">
        <f t="shared" ca="1" si="15"/>
        <v>#NAME?</v>
      </c>
      <c r="BP21" s="283" t="e">
        <f t="shared" ca="1" si="57"/>
        <v>#NAME?</v>
      </c>
      <c r="BQ21" s="6"/>
      <c r="BR21" s="30" t="e">
        <f ca="1">Ncr(Mp_Norm($AF21,$AD21),0,$AI21,BC21,BE21)*$BB21</f>
        <v>#NAME?</v>
      </c>
      <c r="BS21" s="215" t="e">
        <f t="shared" ca="1" si="58"/>
        <v>#NAME?</v>
      </c>
      <c r="BT21" s="30" t="e">
        <f ca="1">Ncr(Mp_Norm($AF21,$AD21),0,$AJ21,BG21,BI21)*$BB21</f>
        <v>#NAME?</v>
      </c>
      <c r="BU21" s="215" t="e">
        <f t="shared" ca="1" si="59"/>
        <v>#NAME?</v>
      </c>
      <c r="BV21" s="30" t="e">
        <f t="shared" ca="1" si="45"/>
        <v>#NAME?</v>
      </c>
      <c r="BW21" s="7" t="e">
        <f t="shared" ca="1" si="46"/>
        <v>#VALUE!</v>
      </c>
      <c r="BX21" s="207" t="e">
        <f t="shared" ca="1" si="60"/>
        <v>#VALUE!</v>
      </c>
      <c r="BY21" s="6"/>
      <c r="BZ21" s="30" t="e">
        <f t="shared" ca="1" si="61"/>
        <v>#NAME?</v>
      </c>
      <c r="CA21" s="283">
        <f t="shared" si="18"/>
        <v>0</v>
      </c>
      <c r="CB21" s="283" t="e">
        <f t="shared" ca="1" si="19"/>
        <v>#NAME?</v>
      </c>
      <c r="CC21" s="63"/>
      <c r="CD21" s="62" t="e">
        <f ca="1">Nlim1(Mp_Norm($AF21,$AD21),0,$AH21,BC21,BK21*BX21)*$BB21</f>
        <v>#NAME?</v>
      </c>
      <c r="CE21" s="199" t="e">
        <f t="shared" ca="1" si="20"/>
        <v>#NAME?</v>
      </c>
      <c r="CF21" s="62"/>
      <c r="CG21" s="199"/>
      <c r="CH21" s="62"/>
      <c r="CI21" s="62"/>
      <c r="CJ21" s="199"/>
    </row>
    <row r="22" spans="1:88" s="46" customFormat="1" x14ac:dyDescent="0.25">
      <c r="A22" s="326"/>
      <c r="B22" s="430">
        <v>20</v>
      </c>
      <c r="C22" s="636" t="s">
        <v>256</v>
      </c>
      <c r="D22" s="285" t="s">
        <v>78</v>
      </c>
      <c r="E22" s="86" t="str">
        <f>VLOOKUP($B22,'Core Demand'!$B$8:$E$36,MATCH(E$8,'Core Demand'!$B$8:$E$8,0),FALSE)</f>
        <v>-</v>
      </c>
      <c r="F22" s="86">
        <f>VLOOKUP($B22,'Core Demand'!$B$8:$E$36,MATCH(F$8,'Core Demand'!$B$8:$E$8,0),FALSE)</f>
        <v>474.65999999999997</v>
      </c>
      <c r="G22" s="485" t="e">
        <f ca="1">VLOOKUP($B22,'Equiv Connection'!$B$10:$H$36,MATCH('Summary (2)'!G$8,'Equiv Connection'!$B$8:$H$8,0),FALSE)</f>
        <v>#NAME?</v>
      </c>
      <c r="H22" s="87">
        <f>VLOOKUP($B22,'Restrainer End'!$B$10:$J$36,MATCH('Summary (2)'!H$8,'Restrainer End'!$B$8:$J$8,0),FALSE)</f>
        <v>695.94875999999999</v>
      </c>
      <c r="I22" s="87">
        <f>VLOOKUP($B22,'Restrainer End'!$B$10:$J$36,MATCH('Summary (2)'!I$8,'Restrainer End'!$B$8:$J$8,0),FALSE)</f>
        <v>1077.5601037500001</v>
      </c>
      <c r="J22" s="87" t="e">
        <f ca="1">VLOOKUP($B22,'Drift&amp;Imperfection'!$B$10:$G$36,MATCH('Summary (2)'!J$8,'Drift&amp;Imperfection'!$B$8:$G$8,0),FALSE)</f>
        <v>#NAME?</v>
      </c>
      <c r="K22" s="87" t="e">
        <f ca="1">VLOOKUP($B22,'Drift&amp;Imperfection'!$B$10:$G$36,MATCH('Summary (2)'!K$8,'Drift&amp;Imperfection'!$B$8:$G$8,0),FALSE)</f>
        <v>#NAME?</v>
      </c>
      <c r="L22" s="264" t="e">
        <f ca="1">VLOOKUP($B22,'Drift&amp;Imperfection'!$B$10:$G$36,MATCH('Summary (2)'!L$8,'Drift&amp;Imperfection'!$B$8:$G$8,0),FALSE)</f>
        <v>#NAME?</v>
      </c>
      <c r="M22" s="264">
        <f>VLOOKUP($B22,'Drift&amp;Imperfection'!$B$10:$G$36,MATCH('Summary (2)'!M$8,'Drift&amp;Imperfection'!$B$8:$G$8,0),FALSE)</f>
        <v>1.1111111111111112E-2</v>
      </c>
      <c r="N22" s="86" t="e">
        <f ca="1">VLOOKUP($B22,Framing!$B$20:$D$46,MATCH('Summary (2)'!N$8,Framing!$B$18:$D$18,0),FALSE)</f>
        <v>#NAME?</v>
      </c>
      <c r="O22" s="86">
        <f>VLOOKUP($B22,Gusset!$B$10:$E$36,MATCH('Summary (2)'!O$8,Gusset!$B$8:$E$8,0),FALSE)</f>
        <v>0</v>
      </c>
      <c r="P22" s="86" t="str">
        <f>VLOOKUP($B22,Framing!$B$20:$D$46,MATCH('Summary (2)'!P$8,Framing!$B$18:$D$18,0),FALSE)</f>
        <v>∞</v>
      </c>
      <c r="Q22" s="86">
        <f>VLOOKUP($B22,Gusset!$B$10:$E$36,MATCH('Summary (2)'!Q$8,Gusset!$B$8:$E$8,0),FALSE)</f>
        <v>0</v>
      </c>
      <c r="R22" s="485" t="e">
        <f ca="1">VLOOKUP($B22,'Equiv Connection'!$B$10:$H$36,MATCH('Summary (2)'!R$8,'Equiv Connection'!$B$8:$H$8,0),FALSE)</f>
        <v>#NAME?</v>
      </c>
      <c r="S22" s="87" t="e">
        <f ca="1">VLOOKUP($B22,'Equiv Connection'!$B$10:$H$36,MATCH('Summary (2)'!S$8,'Equiv Connection'!$B$8:$H$8,0),FALSE)</f>
        <v>#NAME?</v>
      </c>
      <c r="T22" s="485" t="e">
        <f ca="1">VLOOKUP($B22,'Equiv Connection'!$B$10:$H$36,MATCH('Summary (2)'!T$8,'Equiv Connection'!$B$8:$H$8,0),FALSE)</f>
        <v>#NAME?</v>
      </c>
      <c r="U22" s="87" t="e">
        <f ca="1">VLOOKUP($B22,'Equiv Connection'!$B$10:$H$36,MATCH('Summary (2)'!U$8,'Equiv Connection'!$B$8:$H$8,0),FALSE)</f>
        <v>#NAME?</v>
      </c>
      <c r="V22" s="108">
        <f>VLOOKUP($B22,Gusset!$B$10:$E$36,MATCH('Summary (2)'!V$8,Gusset!$B$8:$E$8,0),FALSE)</f>
        <v>0</v>
      </c>
      <c r="W22" s="108">
        <f>VLOOKUP($B22,Gusset!$B$10:$I$36,MATCH('Summary (2)'!W$8,Gusset!$B$8:$I$8,0),FALSE)</f>
        <v>0</v>
      </c>
      <c r="X22" s="87" t="e">
        <f ca="1">VLOOKUP($B22,'Restrainer End'!$B$10:$J$36,MATCH('Summary (2)'!X$8,'Restrainer End'!$B$8:$J$8,0),FALSE)</f>
        <v>#NAME?</v>
      </c>
      <c r="Y22" s="108" t="e">
        <f ca="1">VLOOKUP($B22,'Restrainer End'!$B$10:$J$36,MATCH('Summary (2)'!Y$8,'Restrainer End'!$B$8:$J$8,0),FALSE)</f>
        <v>#NAME?</v>
      </c>
      <c r="Z22" s="455">
        <f>VLOOKUP($B22,'Restrainer End'!$B$10:$J$36,MATCH('Summary (2)'!Z$8,'Restrainer End'!$B$8:$J$8,0),FALSE)</f>
        <v>5.3709574537495453</v>
      </c>
      <c r="AB22" s="156">
        <f t="shared" si="65"/>
        <v>0.64585609431718904</v>
      </c>
      <c r="AC22" s="156" t="e">
        <f t="shared" ca="1" si="66"/>
        <v>#NAME?</v>
      </c>
      <c r="AD22" s="156" t="e">
        <f t="shared" ca="1" si="67"/>
        <v>#NAME?</v>
      </c>
      <c r="AE22" s="156" t="e">
        <f t="shared" ca="1" si="68"/>
        <v>#NAME?</v>
      </c>
      <c r="AF22" s="155" t="e">
        <f t="shared" ca="1" si="4"/>
        <v>#NAME?</v>
      </c>
      <c r="AG22" s="155" t="e">
        <f t="shared" ca="1" si="5"/>
        <v>#NAME?</v>
      </c>
      <c r="AH22" s="155" t="e">
        <f t="shared" ca="1" si="6"/>
        <v>#NAME?</v>
      </c>
      <c r="AI22" s="155" t="e">
        <f t="shared" ca="1" si="21"/>
        <v>#NAME?</v>
      </c>
      <c r="AJ22" s="473" t="e">
        <f t="shared" ca="1" si="22"/>
        <v>#NAME?</v>
      </c>
      <c r="AK22" s="557">
        <f t="shared" ref="AK22:AK27" si="70">H22/I22</f>
        <v>0.64585609431718904</v>
      </c>
      <c r="AL22" s="557" t="e">
        <f t="shared" ref="AL22:AL27" ca="1" si="71">T22/G22</f>
        <v>#NAME?</v>
      </c>
      <c r="AM22" s="557" t="e">
        <f t="shared" ref="AM22:AM27" ca="1" si="72">X22*T22/H22</f>
        <v>#NAME?</v>
      </c>
      <c r="AN22" s="557" t="e">
        <f t="shared" ref="AN22:AN27" ca="1" si="73">U22*T22/H22</f>
        <v>#NAME?</v>
      </c>
      <c r="AO22" s="558" t="e">
        <f t="shared" ca="1" si="11"/>
        <v>#NAME?</v>
      </c>
      <c r="AP22" s="558" t="e">
        <f t="shared" ca="1" si="12"/>
        <v>#NAME?</v>
      </c>
      <c r="AQ22" s="558" t="e">
        <f t="shared" ref="AQ22:AQ27" ca="1" si="74">K22/10^3/T22</f>
        <v>#NAME?</v>
      </c>
      <c r="AR22" s="473"/>
      <c r="AT22" s="87" t="e">
        <f>VLOOKUP($B22,Gusset!$B$10:$E$36,MATCH('Summary (2)'!AT$8,Gusset!$B$8:$E$8,0),FALSE)</f>
        <v>#N/A</v>
      </c>
      <c r="AU22" s="87" t="e">
        <f>VLOOKUP($B22,Gusset!$B$10:$E$36,MATCH('Summary (2)'!AU$8,Gusset!$B$8:$E$8,0),FALSE)</f>
        <v>#N/A</v>
      </c>
      <c r="AV22" s="591" t="e">
        <f>VLOOKUP($B22,Gusset!$B$10:$E$36,MATCH('Summary (2)'!AV$8,Gusset!$B$8:$E$8,0),FALSE)</f>
        <v>#N/A</v>
      </c>
      <c r="AW22" s="87">
        <f>VLOOKUP($B22,'Restrainer End'!$B$10:$J$36,MATCH('Summary (2)'!AW$8,'Restrainer End'!$B$8:$J$8,0),FALSE)</f>
        <v>3456</v>
      </c>
      <c r="AX22" s="87">
        <f>VLOOKUP($B22,'Restrainer End'!$B$10:$J$36,MATCH('Summary (2)'!AX$8,'Restrainer End'!$B$8:$J$8,0),FALSE)</f>
        <v>3394872</v>
      </c>
      <c r="AY22" s="87">
        <f>VLOOKUP($B22,'Restrainer End'!$B$10:$J$36,MATCH('Summary (2)'!AY$8,'Restrainer End'!$B$8:$J$8,0),FALSE)</f>
        <v>294</v>
      </c>
      <c r="BB22" s="62" t="e">
        <f t="shared" ca="1" si="48"/>
        <v>#NAME?</v>
      </c>
      <c r="BC22" s="199" t="e">
        <f t="shared" ca="1" si="23"/>
        <v>#NAME?</v>
      </c>
      <c r="BD22" s="62" t="e">
        <f t="shared" ca="1" si="24"/>
        <v>#NAME?</v>
      </c>
      <c r="BE22" s="81" t="e">
        <f t="shared" ca="1" si="25"/>
        <v>#NAME?</v>
      </c>
      <c r="BF22" s="553" t="e">
        <f t="shared" ca="1" si="26"/>
        <v>#NAME?</v>
      </c>
      <c r="BG22" s="199" t="e">
        <f t="shared" ca="1" si="27"/>
        <v>#NAME?</v>
      </c>
      <c r="BH22" s="62" t="e">
        <f t="shared" ca="1" si="28"/>
        <v>#NAME?</v>
      </c>
      <c r="BI22" s="81" t="e">
        <f t="shared" ca="1" si="29"/>
        <v>#NAME?</v>
      </c>
      <c r="BJ22" s="553" t="e">
        <f t="shared" ca="1" si="30"/>
        <v>#NAME?</v>
      </c>
      <c r="BK22" s="199" t="e">
        <f t="shared" ca="1" si="31"/>
        <v>#NAME?</v>
      </c>
      <c r="BL22" s="62" t="e">
        <f t="shared" ca="1" si="32"/>
        <v>#NAME?</v>
      </c>
      <c r="BM22" s="63"/>
      <c r="BN22" s="137" t="str">
        <f t="shared" si="14"/>
        <v>-</v>
      </c>
      <c r="BO22" s="137" t="e">
        <f t="shared" ca="1" si="15"/>
        <v>#NAME?</v>
      </c>
      <c r="BP22" s="137" t="e">
        <f t="shared" ca="1" si="33"/>
        <v>#NAME?</v>
      </c>
      <c r="BR22" s="62" t="e">
        <f ca="1">Ncr(Mp_Norm($AF22,$AD22),0,$AI22,BC22,BE22)*$BB22</f>
        <v>#NAME?</v>
      </c>
      <c r="BS22" s="199" t="e">
        <f t="shared" ca="1" si="34"/>
        <v>#NAME?</v>
      </c>
      <c r="BT22" s="62" t="e">
        <f ca="1">Ncr(Mp_Norm($AF22,$AD22),0,$AJ22,BG22,BI22)*$BB22</f>
        <v>#NAME?</v>
      </c>
      <c r="BU22" s="199" t="e">
        <f t="shared" ca="1" si="35"/>
        <v>#NAME?</v>
      </c>
      <c r="BV22" s="62" t="e">
        <f t="shared" ca="1" si="16"/>
        <v>#NAME?</v>
      </c>
      <c r="BW22" s="49" t="e">
        <f t="shared" ca="1" si="17"/>
        <v>#VALUE!</v>
      </c>
      <c r="BX22" s="206" t="e">
        <f t="shared" ca="1" si="36"/>
        <v>#VALUE!</v>
      </c>
      <c r="BZ22" s="62" t="e">
        <f t="shared" ca="1" si="37"/>
        <v>#NAME?</v>
      </c>
      <c r="CA22" s="137" t="str">
        <f t="shared" si="18"/>
        <v>-</v>
      </c>
      <c r="CB22" s="137" t="e">
        <f t="shared" ca="1" si="19"/>
        <v>#NAME?</v>
      </c>
      <c r="CC22" s="63"/>
      <c r="CD22" s="62"/>
    </row>
    <row r="23" spans="1:88" s="46" customFormat="1" x14ac:dyDescent="0.25">
      <c r="A23" s="326"/>
      <c r="B23" s="430">
        <v>21</v>
      </c>
      <c r="C23" s="637"/>
      <c r="D23" s="21" t="s">
        <v>79</v>
      </c>
      <c r="E23" s="86" t="str">
        <f>VLOOKUP($B23,'Core Demand'!$B$8:$E$36,MATCH(E$8,'Core Demand'!$B$8:$E$8,0),FALSE)</f>
        <v>-</v>
      </c>
      <c r="F23" s="86">
        <f>VLOOKUP($B23,'Core Demand'!$B$8:$E$36,MATCH(F$8,'Core Demand'!$B$8:$E$8,0),FALSE)</f>
        <v>474.65999999999997</v>
      </c>
      <c r="G23" s="485" t="e">
        <f ca="1">VLOOKUP($B23,'Equiv Connection'!$B$10:$H$36,MATCH('Summary (2)'!G$8,'Equiv Connection'!$B$8:$H$8,0),FALSE)</f>
        <v>#NAME?</v>
      </c>
      <c r="H23" s="87">
        <f>VLOOKUP($B23,'Restrainer End'!$B$10:$J$36,MATCH('Summary (2)'!H$8,'Restrainer End'!$B$8:$J$8,0),FALSE)</f>
        <v>695.94875999999999</v>
      </c>
      <c r="I23" s="87">
        <f>VLOOKUP($B23,'Restrainer End'!$B$10:$J$36,MATCH('Summary (2)'!I$8,'Restrainer End'!$B$8:$J$8,0),FALSE)</f>
        <v>1504.5766056739676</v>
      </c>
      <c r="J23" s="87" t="e">
        <f ca="1">VLOOKUP($B23,'Drift&amp;Imperfection'!$B$10:$G$36,MATCH('Summary (2)'!J$8,'Drift&amp;Imperfection'!$B$8:$G$8,0),FALSE)</f>
        <v>#NAME?</v>
      </c>
      <c r="K23" s="87" t="e">
        <f ca="1">VLOOKUP($B23,'Drift&amp;Imperfection'!$B$10:$G$36,MATCH('Summary (2)'!K$8,'Drift&amp;Imperfection'!$B$8:$G$8,0),FALSE)</f>
        <v>#NAME?</v>
      </c>
      <c r="L23" s="264" t="e">
        <f ca="1">VLOOKUP($B23,'Drift&amp;Imperfection'!$B$10:$G$36,MATCH('Summary (2)'!L$8,'Drift&amp;Imperfection'!$B$8:$G$8,0),FALSE)</f>
        <v>#NAME?</v>
      </c>
      <c r="M23" s="264">
        <f>VLOOKUP($B23,'Drift&amp;Imperfection'!$B$10:$G$36,MATCH('Summary (2)'!M$8,'Drift&amp;Imperfection'!$B$8:$G$8,0),FALSE)</f>
        <v>1.1111111111111112E-2</v>
      </c>
      <c r="N23" s="86" t="e">
        <f ca="1">VLOOKUP($B23,Framing!$B$20:$D$46,MATCH('Summary (2)'!N$8,Framing!$B$18:$D$18,0),FALSE)</f>
        <v>#NAME?</v>
      </c>
      <c r="O23" s="86">
        <f>VLOOKUP($B23,Gusset!$B$10:$E$36,MATCH('Summary (2)'!O$8,Gusset!$B$8:$E$8,0),FALSE)</f>
        <v>0</v>
      </c>
      <c r="P23" s="86" t="str">
        <f>VLOOKUP($B23,Framing!$B$20:$D$46,MATCH('Summary (2)'!P$8,Framing!$B$18:$D$18,0),FALSE)</f>
        <v>∞</v>
      </c>
      <c r="Q23" s="86">
        <f>VLOOKUP($B23,Gusset!$B$10:$E$36,MATCH('Summary (2)'!Q$8,Gusset!$B$8:$E$8,0),FALSE)</f>
        <v>0</v>
      </c>
      <c r="R23" s="485" t="e">
        <f ca="1">VLOOKUP($B23,'Equiv Connection'!$B$10:$H$36,MATCH('Summary (2)'!R$8,'Equiv Connection'!$B$8:$H$8,0),FALSE)</f>
        <v>#NAME?</v>
      </c>
      <c r="S23" s="87" t="e">
        <f ca="1">VLOOKUP($B23,'Equiv Connection'!$B$10:$H$36,MATCH('Summary (2)'!S$8,'Equiv Connection'!$B$8:$H$8,0),FALSE)</f>
        <v>#NAME?</v>
      </c>
      <c r="T23" s="485" t="e">
        <f ca="1">VLOOKUP($B23,'Equiv Connection'!$B$10:$H$36,MATCH('Summary (2)'!T$8,'Equiv Connection'!$B$8:$H$8,0),FALSE)</f>
        <v>#NAME?</v>
      </c>
      <c r="U23" s="87" t="e">
        <f ca="1">VLOOKUP($B23,'Equiv Connection'!$B$10:$H$36,MATCH('Summary (2)'!U$8,'Equiv Connection'!$B$8:$H$8,0),FALSE)</f>
        <v>#NAME?</v>
      </c>
      <c r="V23" s="108">
        <f>VLOOKUP($B23,Gusset!$B$10:$E$36,MATCH('Summary (2)'!V$8,Gusset!$B$8:$E$8,0),FALSE)</f>
        <v>0</v>
      </c>
      <c r="W23" s="108">
        <f>VLOOKUP($B23,Gusset!$B$10:$I$36,MATCH('Summary (2)'!W$8,Gusset!$B$8:$I$8,0),FALSE)</f>
        <v>0</v>
      </c>
      <c r="X23" s="87">
        <f>VLOOKUP($B23,'Restrainer End'!$B$10:$J$36,MATCH('Summary (2)'!X$8,'Restrainer End'!$B$8:$J$8,0),FALSE)</f>
        <v>1376.6893817050113</v>
      </c>
      <c r="Y23" s="108" t="e">
        <f ca="1">VLOOKUP($B23,'Restrainer End'!$B$10:$J$36,MATCH('Summary (2)'!Y$8,'Restrainer End'!$B$8:$J$8,0),FALSE)</f>
        <v>#NAME?</v>
      </c>
      <c r="Z23" s="455">
        <f>VLOOKUP($B23,'Restrainer End'!$B$10:$J$36,MATCH('Summary (2)'!Z$8,'Restrainer End'!$B$8:$J$8,0),FALSE)</f>
        <v>5.3709574537495453</v>
      </c>
      <c r="AB23" s="156">
        <f t="shared" si="65"/>
        <v>0.46255455347071095</v>
      </c>
      <c r="AC23" s="156" t="e">
        <f t="shared" ca="1" si="66"/>
        <v>#NAME?</v>
      </c>
      <c r="AD23" s="156" t="e">
        <f t="shared" ca="1" si="67"/>
        <v>#NAME?</v>
      </c>
      <c r="AE23" s="156" t="e">
        <f t="shared" ca="1" si="68"/>
        <v>#NAME?</v>
      </c>
      <c r="AF23" s="155" t="e">
        <f t="shared" ca="1" si="4"/>
        <v>#NAME?</v>
      </c>
      <c r="AG23" s="155" t="e">
        <f t="shared" ca="1" si="5"/>
        <v>#NAME?</v>
      </c>
      <c r="AH23" s="155" t="e">
        <f t="shared" ca="1" si="6"/>
        <v>#NAME?</v>
      </c>
      <c r="AI23" s="155" t="e">
        <f t="shared" ca="1" si="21"/>
        <v>#NAME?</v>
      </c>
      <c r="AJ23" s="473" t="e">
        <f t="shared" ca="1" si="22"/>
        <v>#NAME?</v>
      </c>
      <c r="AK23" s="557">
        <f t="shared" si="70"/>
        <v>0.46255455347071095</v>
      </c>
      <c r="AL23" s="557" t="e">
        <f t="shared" ca="1" si="71"/>
        <v>#NAME?</v>
      </c>
      <c r="AM23" s="557" t="e">
        <f t="shared" ca="1" si="72"/>
        <v>#NAME?</v>
      </c>
      <c r="AN23" s="557" t="e">
        <f t="shared" ca="1" si="73"/>
        <v>#NAME?</v>
      </c>
      <c r="AO23" s="558" t="e">
        <f t="shared" ca="1" si="11"/>
        <v>#NAME?</v>
      </c>
      <c r="AP23" s="558" t="e">
        <f t="shared" ca="1" si="12"/>
        <v>#NAME?</v>
      </c>
      <c r="AQ23" s="558" t="e">
        <f t="shared" ca="1" si="74"/>
        <v>#NAME?</v>
      </c>
      <c r="AR23" s="473"/>
      <c r="AT23" s="87" t="e">
        <f>VLOOKUP($B23,Gusset!$B$10:$E$36,MATCH('Summary (2)'!AT$8,Gusset!$B$8:$E$8,0),FALSE)</f>
        <v>#N/A</v>
      </c>
      <c r="AU23" s="87" t="e">
        <f>VLOOKUP($B23,Gusset!$B$10:$E$36,MATCH('Summary (2)'!AU$8,Gusset!$B$8:$E$8,0),FALSE)</f>
        <v>#N/A</v>
      </c>
      <c r="AV23" s="591" t="e">
        <f>VLOOKUP($B23,Gusset!$B$10:$E$36,MATCH('Summary (2)'!AV$8,Gusset!$B$8:$E$8,0),FALSE)</f>
        <v>#N/A</v>
      </c>
      <c r="AW23" s="87">
        <f>VLOOKUP($B23,'Restrainer End'!$B$10:$J$36,MATCH('Summary (2)'!AW$8,'Restrainer End'!$B$8:$J$8,0),FALSE)</f>
        <v>3456</v>
      </c>
      <c r="AX23" s="87">
        <f>VLOOKUP($B23,'Restrainer End'!$B$10:$J$36,MATCH('Summary (2)'!AX$8,'Restrainer End'!$B$8:$J$8,0),FALSE)</f>
        <v>3394872</v>
      </c>
      <c r="AY23" s="87">
        <f>VLOOKUP($B23,'Restrainer End'!$B$10:$J$36,MATCH('Summary (2)'!AY$8,'Restrainer End'!$B$8:$J$8,0),FALSE)</f>
        <v>294</v>
      </c>
      <c r="BB23" s="62" t="e">
        <f t="shared" ca="1" si="48"/>
        <v>#NAME?</v>
      </c>
      <c r="BC23" s="199" t="e">
        <f t="shared" ca="1" si="23"/>
        <v>#NAME?</v>
      </c>
      <c r="BD23" s="62" t="e">
        <f t="shared" ca="1" si="24"/>
        <v>#NAME?</v>
      </c>
      <c r="BE23" s="81" t="e">
        <f t="shared" ca="1" si="25"/>
        <v>#NAME?</v>
      </c>
      <c r="BF23" s="553" t="e">
        <f t="shared" ca="1" si="26"/>
        <v>#NAME?</v>
      </c>
      <c r="BG23" s="199" t="e">
        <f t="shared" ca="1" si="27"/>
        <v>#NAME?</v>
      </c>
      <c r="BH23" s="62" t="e">
        <f t="shared" ca="1" si="28"/>
        <v>#NAME?</v>
      </c>
      <c r="BI23" s="81" t="e">
        <f t="shared" ca="1" si="29"/>
        <v>#NAME?</v>
      </c>
      <c r="BJ23" s="553" t="e">
        <f t="shared" ca="1" si="30"/>
        <v>#NAME?</v>
      </c>
      <c r="BK23" s="199" t="e">
        <f t="shared" ca="1" si="31"/>
        <v>#NAME?</v>
      </c>
      <c r="BL23" s="62" t="e">
        <f t="shared" ca="1" si="32"/>
        <v>#NAME?</v>
      </c>
      <c r="BM23" s="63"/>
      <c r="BN23" s="137" t="str">
        <f t="shared" si="14"/>
        <v>-</v>
      </c>
      <c r="BO23" s="137" t="e">
        <f t="shared" ca="1" si="15"/>
        <v>#NAME?</v>
      </c>
      <c r="BP23" s="137" t="e">
        <f t="shared" ca="1" si="33"/>
        <v>#NAME?</v>
      </c>
      <c r="BR23" s="62" t="e">
        <f ca="1">Ncr(Mp_Norm($AF23,$AD23),0,$AI23,BC23,BE23)*$BB23</f>
        <v>#NAME?</v>
      </c>
      <c r="BS23" s="199" t="e">
        <f t="shared" ca="1" si="34"/>
        <v>#NAME?</v>
      </c>
      <c r="BT23" s="62" t="e">
        <f ca="1">Ncr(Mp_Norm($AF23,$AD23),0,$AJ23,BG23,BI23)*$BB23</f>
        <v>#NAME?</v>
      </c>
      <c r="BU23" s="199" t="e">
        <f t="shared" ca="1" si="35"/>
        <v>#NAME?</v>
      </c>
      <c r="BV23" s="62" t="e">
        <f t="shared" ca="1" si="16"/>
        <v>#NAME?</v>
      </c>
      <c r="BW23" s="49" t="e">
        <f t="shared" ca="1" si="17"/>
        <v>#VALUE!</v>
      </c>
      <c r="BX23" s="206" t="e">
        <f t="shared" ca="1" si="36"/>
        <v>#VALUE!</v>
      </c>
      <c r="BZ23" s="62" t="e">
        <f t="shared" ca="1" si="37"/>
        <v>#NAME?</v>
      </c>
      <c r="CA23" s="137" t="str">
        <f t="shared" si="18"/>
        <v>-</v>
      </c>
      <c r="CB23" s="137" t="e">
        <f t="shared" ca="1" si="19"/>
        <v>#NAME?</v>
      </c>
      <c r="CC23" s="63"/>
      <c r="CD23" s="62"/>
    </row>
    <row r="24" spans="1:88" s="46" customFormat="1" x14ac:dyDescent="0.25">
      <c r="A24" s="326"/>
      <c r="B24" s="430">
        <v>22</v>
      </c>
      <c r="C24" s="637"/>
      <c r="D24" s="21" t="s">
        <v>76</v>
      </c>
      <c r="E24" s="86">
        <f>VLOOKUP($B24,'Core Demand'!$B$8:$E$36,MATCH(E$8,'Core Demand'!$B$8:$E$8,0),FALSE)</f>
        <v>527</v>
      </c>
      <c r="F24" s="86">
        <f>VLOOKUP($B24,'Core Demand'!$B$8:$E$36,MATCH(F$8,'Core Demand'!$B$8:$E$8,0),FALSE)</f>
        <v>474.65999999999997</v>
      </c>
      <c r="G24" s="485" t="e">
        <f ca="1">VLOOKUP($B24,'Equiv Connection'!$B$10:$H$36,MATCH('Summary (2)'!G$8,'Equiv Connection'!$B$8:$H$8,0),FALSE)</f>
        <v>#NAME?</v>
      </c>
      <c r="H24" s="87">
        <f>VLOOKUP($B24,'Restrainer End'!$B$10:$J$36,MATCH('Summary (2)'!H$8,'Restrainer End'!$B$8:$J$8,0),FALSE)</f>
        <v>695.94875999999999</v>
      </c>
      <c r="I24" s="87">
        <f>VLOOKUP($B24,'Restrainer End'!$B$10:$J$36,MATCH('Summary (2)'!I$8,'Restrainer End'!$B$8:$J$8,0),FALSE)</f>
        <v>1077.5601037500001</v>
      </c>
      <c r="J24" s="87" t="e">
        <f ca="1">VLOOKUP($B24,'Drift&amp;Imperfection'!$B$10:$G$36,MATCH('Summary (2)'!J$8,'Drift&amp;Imperfection'!$B$8:$G$8,0),FALSE)</f>
        <v>#NAME?</v>
      </c>
      <c r="K24" s="87" t="e">
        <f ca="1">VLOOKUP($B24,'Drift&amp;Imperfection'!$B$10:$G$36,MATCH('Summary (2)'!K$8,'Drift&amp;Imperfection'!$B$8:$G$8,0),FALSE)</f>
        <v>#NAME?</v>
      </c>
      <c r="L24" s="264" t="e">
        <f ca="1">VLOOKUP($B24,'Drift&amp;Imperfection'!$B$10:$G$36,MATCH('Summary (2)'!L$8,'Drift&amp;Imperfection'!$B$8:$G$8,0),FALSE)</f>
        <v>#NAME?</v>
      </c>
      <c r="M24" s="264">
        <f>VLOOKUP($B24,'Drift&amp;Imperfection'!$B$10:$G$36,MATCH('Summary (2)'!M$8,'Drift&amp;Imperfection'!$B$8:$G$8,0),FALSE)</f>
        <v>1.1111111111111112E-2</v>
      </c>
      <c r="N24" s="86" t="e">
        <f ca="1">VLOOKUP($B24,Framing!$B$20:$D$46,MATCH('Summary (2)'!N$8,Framing!$B$18:$D$18,0),FALSE)</f>
        <v>#NAME?</v>
      </c>
      <c r="O24" s="86">
        <f>VLOOKUP($B24,Gusset!$B$10:$E$36,MATCH('Summary (2)'!O$8,Gusset!$B$8:$E$8,0),FALSE)</f>
        <v>1000</v>
      </c>
      <c r="P24" s="86" t="str">
        <f>VLOOKUP($B24,Framing!$B$20:$D$46,MATCH('Summary (2)'!P$8,Framing!$B$18:$D$18,0),FALSE)</f>
        <v>∞</v>
      </c>
      <c r="Q24" s="86">
        <f>VLOOKUP($B24,Gusset!$B$10:$E$36,MATCH('Summary (2)'!Q$8,Gusset!$B$8:$E$8,0),FALSE)</f>
        <v>0</v>
      </c>
      <c r="R24" s="485" t="e">
        <f ca="1">VLOOKUP($B24,'Equiv Connection'!$B$10:$H$36,MATCH('Summary (2)'!R$8,'Equiv Connection'!$B$8:$H$8,0),FALSE)</f>
        <v>#NAME?</v>
      </c>
      <c r="S24" s="87" t="e">
        <f ca="1">VLOOKUP($B24,'Equiv Connection'!$B$10:$H$36,MATCH('Summary (2)'!S$8,'Equiv Connection'!$B$8:$H$8,0),FALSE)</f>
        <v>#NAME?</v>
      </c>
      <c r="T24" s="485" t="e">
        <f ca="1">VLOOKUP($B24,'Equiv Connection'!$B$10:$H$36,MATCH('Summary (2)'!T$8,'Equiv Connection'!$B$8:$H$8,0),FALSE)</f>
        <v>#NAME?</v>
      </c>
      <c r="U24" s="87" t="e">
        <f ca="1">VLOOKUP($B24,'Equiv Connection'!$B$10:$H$36,MATCH('Summary (2)'!U$8,'Equiv Connection'!$B$8:$H$8,0),FALSE)</f>
        <v>#NAME?</v>
      </c>
      <c r="V24" s="108">
        <f>VLOOKUP($B24,Gusset!$B$10:$E$36,MATCH('Summary (2)'!V$8,Gusset!$B$8:$E$8,0),FALSE)</f>
        <v>0</v>
      </c>
      <c r="W24" s="108">
        <f>VLOOKUP($B24,Gusset!$B$10:$I$36,MATCH('Summary (2)'!W$8,Gusset!$B$8:$I$8,0),FALSE)</f>
        <v>0</v>
      </c>
      <c r="X24" s="87" t="e">
        <f ca="1">VLOOKUP($B24,'Restrainer End'!$B$10:$J$36,MATCH('Summary (2)'!X$8,'Restrainer End'!$B$8:$J$8,0),FALSE)</f>
        <v>#NAME?</v>
      </c>
      <c r="Y24" s="108" t="e">
        <f ca="1">VLOOKUP($B24,'Restrainer End'!$B$10:$J$36,MATCH('Summary (2)'!Y$8,'Restrainer End'!$B$8:$J$8,0),FALSE)</f>
        <v>#NAME?</v>
      </c>
      <c r="Z24" s="455">
        <f>VLOOKUP($B24,'Restrainer End'!$B$10:$J$36,MATCH('Summary (2)'!Z$8,'Restrainer End'!$B$8:$J$8,0),FALSE)</f>
        <v>3.3818517100684056</v>
      </c>
      <c r="AB24" s="156">
        <f t="shared" si="65"/>
        <v>0.64585609431718904</v>
      </c>
      <c r="AC24" s="156" t="e">
        <f t="shared" ca="1" si="66"/>
        <v>#NAME?</v>
      </c>
      <c r="AD24" s="156" t="e">
        <f t="shared" ca="1" si="67"/>
        <v>#NAME?</v>
      </c>
      <c r="AE24" s="156" t="e">
        <f t="shared" ca="1" si="68"/>
        <v>#NAME?</v>
      </c>
      <c r="AF24" s="155" t="e">
        <f t="shared" ca="1" si="4"/>
        <v>#NAME?</v>
      </c>
      <c r="AG24" s="155" t="e">
        <f t="shared" ca="1" si="5"/>
        <v>#NAME?</v>
      </c>
      <c r="AH24" s="155" t="e">
        <f t="shared" ca="1" si="6"/>
        <v>#NAME?</v>
      </c>
      <c r="AI24" s="155" t="e">
        <f t="shared" ca="1" si="21"/>
        <v>#NAME?</v>
      </c>
      <c r="AJ24" s="473" t="e">
        <f t="shared" ca="1" si="22"/>
        <v>#NAME?</v>
      </c>
      <c r="AK24" s="557">
        <f t="shared" si="70"/>
        <v>0.64585609431718904</v>
      </c>
      <c r="AL24" s="557" t="e">
        <f t="shared" ca="1" si="71"/>
        <v>#NAME?</v>
      </c>
      <c r="AM24" s="557" t="e">
        <f t="shared" ca="1" si="72"/>
        <v>#NAME?</v>
      </c>
      <c r="AN24" s="557" t="e">
        <f t="shared" ca="1" si="73"/>
        <v>#NAME?</v>
      </c>
      <c r="AO24" s="558" t="e">
        <f t="shared" ca="1" si="11"/>
        <v>#NAME?</v>
      </c>
      <c r="AP24" s="558" t="e">
        <f t="shared" ca="1" si="12"/>
        <v>#NAME?</v>
      </c>
      <c r="AQ24" s="558" t="e">
        <f t="shared" ca="1" si="74"/>
        <v>#NAME?</v>
      </c>
      <c r="AR24" s="473"/>
      <c r="AT24" s="87" t="e">
        <f>VLOOKUP($B24,Gusset!$B$10:$E$36,MATCH('Summary (2)'!AT$8,Gusset!$B$8:$E$8,0),FALSE)</f>
        <v>#N/A</v>
      </c>
      <c r="AU24" s="87" t="e">
        <f>VLOOKUP($B24,Gusset!$B$10:$E$36,MATCH('Summary (2)'!AU$8,Gusset!$B$8:$E$8,0),FALSE)</f>
        <v>#N/A</v>
      </c>
      <c r="AV24" s="591" t="e">
        <f>VLOOKUP($B24,Gusset!$B$10:$E$36,MATCH('Summary (2)'!AV$8,Gusset!$B$8:$E$8,0),FALSE)</f>
        <v>#N/A</v>
      </c>
      <c r="AW24" s="87">
        <f>VLOOKUP($B24,'Restrainer End'!$B$10:$J$36,MATCH('Summary (2)'!AW$8,'Restrainer End'!$B$8:$J$8,0),FALSE)</f>
        <v>3456</v>
      </c>
      <c r="AX24" s="87">
        <f>VLOOKUP($B24,'Restrainer End'!$B$10:$J$36,MATCH('Summary (2)'!AX$8,'Restrainer End'!$B$8:$J$8,0),FALSE)</f>
        <v>3394872</v>
      </c>
      <c r="AY24" s="87">
        <f>VLOOKUP($B24,'Restrainer End'!$B$10:$J$36,MATCH('Summary (2)'!AY$8,'Restrainer End'!$B$8:$J$8,0),FALSE)</f>
        <v>294</v>
      </c>
      <c r="BB24" s="62" t="e">
        <f t="shared" ca="1" si="48"/>
        <v>#NAME?</v>
      </c>
      <c r="BC24" s="199" t="e">
        <f t="shared" ca="1" si="23"/>
        <v>#NAME?</v>
      </c>
      <c r="BD24" s="62" t="e">
        <f t="shared" ca="1" si="24"/>
        <v>#NAME?</v>
      </c>
      <c r="BE24" s="81" t="e">
        <f t="shared" ca="1" si="25"/>
        <v>#NAME?</v>
      </c>
      <c r="BF24" s="553" t="e">
        <f t="shared" ca="1" si="26"/>
        <v>#NAME?</v>
      </c>
      <c r="BG24" s="199" t="e">
        <f t="shared" ca="1" si="27"/>
        <v>#NAME?</v>
      </c>
      <c r="BH24" s="62" t="e">
        <f t="shared" ca="1" si="28"/>
        <v>#NAME?</v>
      </c>
      <c r="BI24" s="81" t="e">
        <f t="shared" ca="1" si="29"/>
        <v>#NAME?</v>
      </c>
      <c r="BJ24" s="553" t="e">
        <f t="shared" ca="1" si="30"/>
        <v>#NAME?</v>
      </c>
      <c r="BK24" s="199" t="e">
        <f t="shared" ca="1" si="31"/>
        <v>#NAME?</v>
      </c>
      <c r="BL24" s="62" t="e">
        <f t="shared" ca="1" si="32"/>
        <v>#NAME?</v>
      </c>
      <c r="BM24" s="63"/>
      <c r="BN24" s="137" t="e">
        <f t="shared" ca="1" si="14"/>
        <v>#NAME?</v>
      </c>
      <c r="BO24" s="137" t="e">
        <f t="shared" ca="1" si="15"/>
        <v>#NAME?</v>
      </c>
      <c r="BP24" s="137" t="e">
        <f t="shared" ca="1" si="33"/>
        <v>#NAME?</v>
      </c>
      <c r="BR24" s="62" t="e">
        <f ca="1">Ncr(Mp_Norm($AF24,$AD24),0,$AI24,BC24,BE24)*$BB24</f>
        <v>#NAME?</v>
      </c>
      <c r="BS24" s="199" t="e">
        <f t="shared" ca="1" si="34"/>
        <v>#NAME?</v>
      </c>
      <c r="BT24" s="62" t="e">
        <f ca="1">Ncr(Mp_Norm($AF24,$AD24),0,$AJ24,BG24,BI24)*$BB24</f>
        <v>#NAME?</v>
      </c>
      <c r="BU24" s="199" t="e">
        <f t="shared" ca="1" si="35"/>
        <v>#NAME?</v>
      </c>
      <c r="BV24" s="62" t="e">
        <f t="shared" ca="1" si="16"/>
        <v>#NAME?</v>
      </c>
      <c r="BW24" s="49" t="e">
        <f t="shared" ca="1" si="17"/>
        <v>#VALUE!</v>
      </c>
      <c r="BX24" s="206" t="e">
        <f t="shared" ca="1" si="36"/>
        <v>#VALUE!</v>
      </c>
      <c r="BZ24" s="62" t="e">
        <f t="shared" ca="1" si="37"/>
        <v>#NAME?</v>
      </c>
      <c r="CA24" s="137" t="e">
        <f t="shared" ca="1" si="18"/>
        <v>#NAME?</v>
      </c>
      <c r="CB24" s="137" t="e">
        <f t="shared" ca="1" si="19"/>
        <v>#NAME?</v>
      </c>
      <c r="CC24" s="63"/>
      <c r="CD24" s="62"/>
    </row>
    <row r="25" spans="1:88" s="46" customFormat="1" x14ac:dyDescent="0.25">
      <c r="A25" s="326"/>
      <c r="B25" s="430">
        <v>23</v>
      </c>
      <c r="C25" s="637"/>
      <c r="D25" s="21" t="s">
        <v>80</v>
      </c>
      <c r="E25" s="86" t="str">
        <f>VLOOKUP($B25,'Core Demand'!$B$8:$E$36,MATCH(E$8,'Core Demand'!$B$8:$E$8,0),FALSE)</f>
        <v>-</v>
      </c>
      <c r="F25" s="86">
        <f>VLOOKUP($B25,'Core Demand'!$B$8:$E$36,MATCH(F$8,'Core Demand'!$B$8:$E$8,0),FALSE)</f>
        <v>474.65999999999997</v>
      </c>
      <c r="G25" s="485" t="e">
        <f ca="1">VLOOKUP($B25,'Equiv Connection'!$B$10:$H$36,MATCH('Summary (2)'!G$8,'Equiv Connection'!$B$8:$H$8,0),FALSE)</f>
        <v>#NAME?</v>
      </c>
      <c r="H25" s="87">
        <f>VLOOKUP($B25,'Restrainer End'!$B$10:$J$36,MATCH('Summary (2)'!H$8,'Restrainer End'!$B$8:$J$8,0),FALSE)</f>
        <v>695.94875999999999</v>
      </c>
      <c r="I25" s="87">
        <f>VLOOKUP($B25,'Restrainer End'!$B$10:$J$36,MATCH('Summary (2)'!I$8,'Restrainer End'!$B$8:$J$8,0),FALSE)</f>
        <v>1077.5601037500001</v>
      </c>
      <c r="J25" s="87" t="e">
        <f ca="1">VLOOKUP($B25,'Drift&amp;Imperfection'!$B$10:$G$36,MATCH('Summary (2)'!J$8,'Drift&amp;Imperfection'!$B$8:$G$8,0),FALSE)</f>
        <v>#NAME?</v>
      </c>
      <c r="K25" s="87" t="e">
        <f ca="1">VLOOKUP($B25,'Drift&amp;Imperfection'!$B$10:$G$36,MATCH('Summary (2)'!K$8,'Drift&amp;Imperfection'!$B$8:$G$8,0),FALSE)</f>
        <v>#NAME?</v>
      </c>
      <c r="L25" s="264" t="e">
        <f ca="1">VLOOKUP($B25,'Drift&amp;Imperfection'!$B$10:$G$36,MATCH('Summary (2)'!L$8,'Drift&amp;Imperfection'!$B$8:$G$8,0),FALSE)</f>
        <v>#NAME?</v>
      </c>
      <c r="M25" s="264">
        <f>VLOOKUP($B25,'Drift&amp;Imperfection'!$B$10:$G$36,MATCH('Summary (2)'!M$8,'Drift&amp;Imperfection'!$B$8:$G$8,0),FALSE)</f>
        <v>1.1111111111111112E-2</v>
      </c>
      <c r="N25" s="86" t="e">
        <f ca="1">VLOOKUP($B25,Framing!$B$20:$D$46,MATCH('Summary (2)'!N$8,Framing!$B$18:$D$18,0),FALSE)</f>
        <v>#NAME?</v>
      </c>
      <c r="O25" s="86">
        <f>VLOOKUP($B25,Gusset!$B$10:$E$36,MATCH('Summary (2)'!O$8,Gusset!$B$8:$E$8,0),FALSE)</f>
        <v>1000</v>
      </c>
      <c r="P25" s="86" t="str">
        <f>VLOOKUP($B25,Framing!$B$20:$D$46,MATCH('Summary (2)'!P$8,Framing!$B$18:$D$18,0),FALSE)</f>
        <v>∞</v>
      </c>
      <c r="Q25" s="86">
        <f>VLOOKUP($B25,Gusset!$B$10:$E$36,MATCH('Summary (2)'!Q$8,Gusset!$B$8:$E$8,0),FALSE)</f>
        <v>0</v>
      </c>
      <c r="R25" s="485" t="e">
        <f ca="1">VLOOKUP($B25,'Equiv Connection'!$B$10:$H$36,MATCH('Summary (2)'!R$8,'Equiv Connection'!$B$8:$H$8,0),FALSE)</f>
        <v>#NAME?</v>
      </c>
      <c r="S25" s="87" t="e">
        <f ca="1">VLOOKUP($B25,'Equiv Connection'!$B$10:$H$36,MATCH('Summary (2)'!S$8,'Equiv Connection'!$B$8:$H$8,0),FALSE)</f>
        <v>#NAME?</v>
      </c>
      <c r="T25" s="485" t="e">
        <f ca="1">VLOOKUP($B25,'Equiv Connection'!$B$10:$H$36,MATCH('Summary (2)'!T$8,'Equiv Connection'!$B$8:$H$8,0),FALSE)</f>
        <v>#NAME?</v>
      </c>
      <c r="U25" s="87" t="e">
        <f ca="1">VLOOKUP($B25,'Equiv Connection'!$B$10:$H$36,MATCH('Summary (2)'!U$8,'Equiv Connection'!$B$8:$H$8,0),FALSE)</f>
        <v>#NAME?</v>
      </c>
      <c r="V25" s="108">
        <f>VLOOKUP($B25,Gusset!$B$10:$E$36,MATCH('Summary (2)'!V$8,Gusset!$B$8:$E$8,0),FALSE)</f>
        <v>0</v>
      </c>
      <c r="W25" s="108">
        <f>VLOOKUP($B25,Gusset!$B$10:$I$36,MATCH('Summary (2)'!W$8,Gusset!$B$8:$I$8,0),FALSE)</f>
        <v>0</v>
      </c>
      <c r="X25" s="87" t="e">
        <f ca="1">VLOOKUP($B25,'Restrainer End'!$B$10:$J$36,MATCH('Summary (2)'!X$8,'Restrainer End'!$B$8:$J$8,0),FALSE)</f>
        <v>#NAME?</v>
      </c>
      <c r="Y25" s="108" t="e">
        <f ca="1">VLOOKUP($B25,'Restrainer End'!$B$10:$J$36,MATCH('Summary (2)'!Y$8,'Restrainer End'!$B$8:$J$8,0),FALSE)</f>
        <v>#NAME?</v>
      </c>
      <c r="Z25" s="455">
        <f>VLOOKUP($B25,'Restrainer End'!$B$10:$J$36,MATCH('Summary (2)'!Z$8,'Restrainer End'!$B$8:$J$8,0),FALSE)</f>
        <v>21.206896238799661</v>
      </c>
      <c r="AB25" s="156">
        <f t="shared" si="65"/>
        <v>0.64585609431718904</v>
      </c>
      <c r="AC25" s="156" t="e">
        <f t="shared" ca="1" si="66"/>
        <v>#NAME?</v>
      </c>
      <c r="AD25" s="156" t="e">
        <f t="shared" ca="1" si="67"/>
        <v>#NAME?</v>
      </c>
      <c r="AE25" s="156" t="e">
        <f t="shared" ca="1" si="68"/>
        <v>#NAME?</v>
      </c>
      <c r="AF25" s="155" t="e">
        <f t="shared" ca="1" si="4"/>
        <v>#NAME?</v>
      </c>
      <c r="AG25" s="155" t="e">
        <f t="shared" ca="1" si="5"/>
        <v>#NAME?</v>
      </c>
      <c r="AH25" s="155" t="e">
        <f t="shared" ca="1" si="6"/>
        <v>#NAME?</v>
      </c>
      <c r="AI25" s="155" t="e">
        <f t="shared" ca="1" si="21"/>
        <v>#NAME?</v>
      </c>
      <c r="AJ25" s="473" t="e">
        <f t="shared" ca="1" si="22"/>
        <v>#NAME?</v>
      </c>
      <c r="AK25" s="557">
        <f t="shared" si="70"/>
        <v>0.64585609431718904</v>
      </c>
      <c r="AL25" s="557" t="e">
        <f t="shared" ca="1" si="71"/>
        <v>#NAME?</v>
      </c>
      <c r="AM25" s="557" t="e">
        <f t="shared" ca="1" si="72"/>
        <v>#NAME?</v>
      </c>
      <c r="AN25" s="557" t="e">
        <f t="shared" ca="1" si="73"/>
        <v>#NAME?</v>
      </c>
      <c r="AO25" s="558" t="e">
        <f t="shared" ca="1" si="11"/>
        <v>#NAME?</v>
      </c>
      <c r="AP25" s="558" t="e">
        <f t="shared" ca="1" si="12"/>
        <v>#NAME?</v>
      </c>
      <c r="AQ25" s="558" t="e">
        <f t="shared" ca="1" si="74"/>
        <v>#NAME?</v>
      </c>
      <c r="AR25" s="473"/>
      <c r="AT25" s="87" t="e">
        <f>VLOOKUP($B25,Gusset!$B$10:$E$36,MATCH('Summary (2)'!AT$8,Gusset!$B$8:$E$8,0),FALSE)</f>
        <v>#N/A</v>
      </c>
      <c r="AU25" s="87" t="e">
        <f>VLOOKUP($B25,Gusset!$B$10:$E$36,MATCH('Summary (2)'!AU$8,Gusset!$B$8:$E$8,0),FALSE)</f>
        <v>#N/A</v>
      </c>
      <c r="AV25" s="591" t="e">
        <f>VLOOKUP($B25,Gusset!$B$10:$E$36,MATCH('Summary (2)'!AV$8,Gusset!$B$8:$E$8,0),FALSE)</f>
        <v>#N/A</v>
      </c>
      <c r="AW25" s="87">
        <f>VLOOKUP($B25,'Restrainer End'!$B$10:$J$36,MATCH('Summary (2)'!AW$8,'Restrainer End'!$B$8:$J$8,0),FALSE)</f>
        <v>3456</v>
      </c>
      <c r="AX25" s="87">
        <f>VLOOKUP($B25,'Restrainer End'!$B$10:$J$36,MATCH('Summary (2)'!AX$8,'Restrainer End'!$B$8:$J$8,0),FALSE)</f>
        <v>3394872</v>
      </c>
      <c r="AY25" s="87">
        <f>VLOOKUP($B25,'Restrainer End'!$B$10:$J$36,MATCH('Summary (2)'!AY$8,'Restrainer End'!$B$8:$J$8,0),FALSE)</f>
        <v>294</v>
      </c>
      <c r="BB25" s="62" t="e">
        <f t="shared" ca="1" si="48"/>
        <v>#NAME?</v>
      </c>
      <c r="BC25" s="199" t="e">
        <f t="shared" ca="1" si="23"/>
        <v>#NAME?</v>
      </c>
      <c r="BD25" s="62" t="e">
        <f t="shared" ca="1" si="24"/>
        <v>#NAME?</v>
      </c>
      <c r="BE25" s="81" t="e">
        <f t="shared" ca="1" si="25"/>
        <v>#NAME?</v>
      </c>
      <c r="BF25" s="553" t="e">
        <f t="shared" ca="1" si="26"/>
        <v>#NAME?</v>
      </c>
      <c r="BG25" s="199" t="e">
        <f t="shared" ca="1" si="27"/>
        <v>#NAME?</v>
      </c>
      <c r="BH25" s="62" t="e">
        <f t="shared" ca="1" si="28"/>
        <v>#NAME?</v>
      </c>
      <c r="BI25" s="81" t="e">
        <f t="shared" ca="1" si="29"/>
        <v>#NAME?</v>
      </c>
      <c r="BJ25" s="553" t="e">
        <f t="shared" ca="1" si="30"/>
        <v>#NAME?</v>
      </c>
      <c r="BK25" s="199" t="e">
        <f t="shared" ca="1" si="31"/>
        <v>#NAME?</v>
      </c>
      <c r="BL25" s="62" t="e">
        <f t="shared" ca="1" si="32"/>
        <v>#NAME?</v>
      </c>
      <c r="BM25" s="63"/>
      <c r="BN25" s="137" t="str">
        <f t="shared" si="14"/>
        <v>-</v>
      </c>
      <c r="BO25" s="137" t="e">
        <f t="shared" ca="1" si="15"/>
        <v>#NAME?</v>
      </c>
      <c r="BP25" s="137" t="e">
        <f t="shared" ca="1" si="33"/>
        <v>#NAME?</v>
      </c>
      <c r="BR25" s="62" t="e">
        <f ca="1">Ncr(Mp_Norm($AF25,$AD25),0,$AI25,BC25,BE25)*$BB25</f>
        <v>#NAME?</v>
      </c>
      <c r="BS25" s="199" t="e">
        <f t="shared" ca="1" si="34"/>
        <v>#NAME?</v>
      </c>
      <c r="BT25" s="62" t="e">
        <f ca="1">Ncr(Mp_Norm($AF25,$AD25),0,$AJ25,BG25,BI25)*$BB25</f>
        <v>#NAME?</v>
      </c>
      <c r="BU25" s="199" t="e">
        <f t="shared" ca="1" si="35"/>
        <v>#NAME?</v>
      </c>
      <c r="BV25" s="62" t="e">
        <f t="shared" ca="1" si="16"/>
        <v>#NAME?</v>
      </c>
      <c r="BW25" s="49" t="e">
        <f t="shared" ca="1" si="17"/>
        <v>#VALUE!</v>
      </c>
      <c r="BX25" s="206" t="e">
        <f t="shared" ca="1" si="36"/>
        <v>#VALUE!</v>
      </c>
      <c r="BZ25" s="62" t="e">
        <f t="shared" ca="1" si="37"/>
        <v>#NAME?</v>
      </c>
      <c r="CA25" s="137" t="str">
        <f t="shared" si="18"/>
        <v>-</v>
      </c>
      <c r="CB25" s="137" t="e">
        <f t="shared" ca="1" si="19"/>
        <v>#NAME?</v>
      </c>
      <c r="CC25" s="63"/>
      <c r="CD25" s="62"/>
    </row>
    <row r="26" spans="1:88" s="46" customFormat="1" x14ac:dyDescent="0.25">
      <c r="A26" s="326"/>
      <c r="B26" s="430">
        <v>24</v>
      </c>
      <c r="C26" s="637"/>
      <c r="D26" s="21" t="s">
        <v>81</v>
      </c>
      <c r="E26" s="86" t="str">
        <f>VLOOKUP($B26,'Core Demand'!$B$8:$E$36,MATCH(E$8,'Core Demand'!$B$8:$E$8,0),FALSE)</f>
        <v>-</v>
      </c>
      <c r="F26" s="86">
        <f>VLOOKUP($B26,'Core Demand'!$B$8:$E$36,MATCH(F$8,'Core Demand'!$B$8:$E$8,0),FALSE)</f>
        <v>474.65999999999997</v>
      </c>
      <c r="G26" s="485" t="e">
        <f ca="1">VLOOKUP($B26,'Equiv Connection'!$B$10:$H$36,MATCH('Summary (2)'!G$8,'Equiv Connection'!$B$8:$H$8,0),FALSE)</f>
        <v>#NAME?</v>
      </c>
      <c r="H26" s="87">
        <f>VLOOKUP($B26,'Restrainer End'!$B$10:$J$36,MATCH('Summary (2)'!H$8,'Restrainer End'!$B$8:$J$8,0),FALSE)</f>
        <v>695.94875999999999</v>
      </c>
      <c r="I26" s="87">
        <f>VLOOKUP($B26,'Restrainer End'!$B$10:$J$36,MATCH('Summary (2)'!I$8,'Restrainer End'!$B$8:$J$8,0),FALSE)</f>
        <v>1504.5766056739676</v>
      </c>
      <c r="J26" s="87" t="e">
        <f ca="1">VLOOKUP($B26,'Drift&amp;Imperfection'!$B$10:$G$36,MATCH('Summary (2)'!J$8,'Drift&amp;Imperfection'!$B$8:$G$8,0),FALSE)</f>
        <v>#NAME?</v>
      </c>
      <c r="K26" s="87" t="e">
        <f ca="1">VLOOKUP($B26,'Drift&amp;Imperfection'!$B$10:$G$36,MATCH('Summary (2)'!K$8,'Drift&amp;Imperfection'!$B$8:$G$8,0),FALSE)</f>
        <v>#NAME?</v>
      </c>
      <c r="L26" s="264" t="e">
        <f ca="1">VLOOKUP($B26,'Drift&amp;Imperfection'!$B$10:$G$36,MATCH('Summary (2)'!L$8,'Drift&amp;Imperfection'!$B$8:$G$8,0),FALSE)</f>
        <v>#NAME?</v>
      </c>
      <c r="M26" s="264">
        <f>VLOOKUP($B26,'Drift&amp;Imperfection'!$B$10:$G$36,MATCH('Summary (2)'!M$8,'Drift&amp;Imperfection'!$B$8:$G$8,0),FALSE)</f>
        <v>1.1111111111111112E-2</v>
      </c>
      <c r="N26" s="86" t="e">
        <f ca="1">VLOOKUP($B26,Framing!$B$20:$D$46,MATCH('Summary (2)'!N$8,Framing!$B$18:$D$18,0),FALSE)</f>
        <v>#NAME?</v>
      </c>
      <c r="O26" s="86">
        <f>VLOOKUP($B26,Gusset!$B$10:$E$36,MATCH('Summary (2)'!O$8,Gusset!$B$8:$E$8,0),FALSE)</f>
        <v>1000</v>
      </c>
      <c r="P26" s="86" t="str">
        <f>VLOOKUP($B26,Framing!$B$20:$D$46,MATCH('Summary (2)'!P$8,Framing!$B$18:$D$18,0),FALSE)</f>
        <v>∞</v>
      </c>
      <c r="Q26" s="86">
        <f>VLOOKUP($B26,Gusset!$B$10:$E$36,MATCH('Summary (2)'!Q$8,Gusset!$B$8:$E$8,0),FALSE)</f>
        <v>0</v>
      </c>
      <c r="R26" s="485" t="e">
        <f ca="1">VLOOKUP($B26,'Equiv Connection'!$B$10:$H$36,MATCH('Summary (2)'!R$8,'Equiv Connection'!$B$8:$H$8,0),FALSE)</f>
        <v>#NAME?</v>
      </c>
      <c r="S26" s="87" t="e">
        <f ca="1">VLOOKUP($B26,'Equiv Connection'!$B$10:$H$36,MATCH('Summary (2)'!S$8,'Equiv Connection'!$B$8:$H$8,0),FALSE)</f>
        <v>#NAME?</v>
      </c>
      <c r="T26" s="485" t="e">
        <f ca="1">VLOOKUP($B26,'Equiv Connection'!$B$10:$H$36,MATCH('Summary (2)'!T$8,'Equiv Connection'!$B$8:$H$8,0),FALSE)</f>
        <v>#NAME?</v>
      </c>
      <c r="U26" s="87" t="e">
        <f ca="1">VLOOKUP($B26,'Equiv Connection'!$B$10:$H$36,MATCH('Summary (2)'!U$8,'Equiv Connection'!$B$8:$H$8,0),FALSE)</f>
        <v>#NAME?</v>
      </c>
      <c r="V26" s="108">
        <f>VLOOKUP($B26,Gusset!$B$10:$E$36,MATCH('Summary (2)'!V$8,Gusset!$B$8:$E$8,0),FALSE)</f>
        <v>0</v>
      </c>
      <c r="W26" s="108">
        <f>VLOOKUP($B26,Gusset!$B$10:$I$36,MATCH('Summary (2)'!W$8,Gusset!$B$8:$I$8,0),FALSE)</f>
        <v>0</v>
      </c>
      <c r="X26" s="87">
        <f>VLOOKUP($B26,'Restrainer End'!$B$10:$J$36,MATCH('Summary (2)'!X$8,'Restrainer End'!$B$8:$J$8,0),FALSE)</f>
        <v>12284.188313308241</v>
      </c>
      <c r="Y26" s="108" t="e">
        <f ca="1">VLOOKUP($B26,'Restrainer End'!$B$10:$J$36,MATCH('Summary (2)'!Y$8,'Restrainer End'!$B$8:$J$8,0),FALSE)</f>
        <v>#NAME?</v>
      </c>
      <c r="Z26" s="455">
        <f>VLOOKUP($B26,'Restrainer End'!$B$10:$J$36,MATCH('Summary (2)'!Z$8,'Restrainer End'!$B$8:$J$8,0),FALSE)</f>
        <v>21.305592000000001</v>
      </c>
      <c r="AB26" s="156">
        <f t="shared" si="65"/>
        <v>0.46255455347071095</v>
      </c>
      <c r="AC26" s="156" t="e">
        <f t="shared" ca="1" si="66"/>
        <v>#NAME?</v>
      </c>
      <c r="AD26" s="156" t="e">
        <f t="shared" ca="1" si="67"/>
        <v>#NAME?</v>
      </c>
      <c r="AE26" s="156" t="e">
        <f t="shared" ca="1" si="68"/>
        <v>#NAME?</v>
      </c>
      <c r="AF26" s="155" t="e">
        <f t="shared" ca="1" si="4"/>
        <v>#NAME?</v>
      </c>
      <c r="AG26" s="155" t="e">
        <f t="shared" ca="1" si="5"/>
        <v>#NAME?</v>
      </c>
      <c r="AH26" s="155" t="e">
        <f t="shared" ca="1" si="6"/>
        <v>#NAME?</v>
      </c>
      <c r="AI26" s="155" t="e">
        <f t="shared" ca="1" si="21"/>
        <v>#NAME?</v>
      </c>
      <c r="AJ26" s="473" t="e">
        <f t="shared" ca="1" si="22"/>
        <v>#NAME?</v>
      </c>
      <c r="AK26" s="557">
        <f t="shared" si="70"/>
        <v>0.46255455347071095</v>
      </c>
      <c r="AL26" s="557" t="e">
        <f t="shared" ca="1" si="71"/>
        <v>#NAME?</v>
      </c>
      <c r="AM26" s="557" t="e">
        <f t="shared" ca="1" si="72"/>
        <v>#NAME?</v>
      </c>
      <c r="AN26" s="557" t="e">
        <f t="shared" ca="1" si="73"/>
        <v>#NAME?</v>
      </c>
      <c r="AO26" s="558" t="e">
        <f t="shared" ca="1" si="11"/>
        <v>#NAME?</v>
      </c>
      <c r="AP26" s="558" t="e">
        <f t="shared" ca="1" si="12"/>
        <v>#NAME?</v>
      </c>
      <c r="AQ26" s="558" t="e">
        <f t="shared" ca="1" si="74"/>
        <v>#NAME?</v>
      </c>
      <c r="AR26" s="473"/>
      <c r="AT26" s="87" t="e">
        <f>VLOOKUP($B26,Gusset!$B$10:$E$36,MATCH('Summary (2)'!AT$8,Gusset!$B$8:$E$8,0),FALSE)</f>
        <v>#N/A</v>
      </c>
      <c r="AU26" s="87" t="e">
        <f>VLOOKUP($B26,Gusset!$B$10:$E$36,MATCH('Summary (2)'!AU$8,Gusset!$B$8:$E$8,0),FALSE)</f>
        <v>#N/A</v>
      </c>
      <c r="AV26" s="591" t="e">
        <f>VLOOKUP($B26,Gusset!$B$10:$E$36,MATCH('Summary (2)'!AV$8,Gusset!$B$8:$E$8,0),FALSE)</f>
        <v>#N/A</v>
      </c>
      <c r="AW26" s="87">
        <f>VLOOKUP($B26,'Restrainer End'!$B$10:$J$36,MATCH('Summary (2)'!AW$8,'Restrainer End'!$B$8:$J$8,0),FALSE)</f>
        <v>3456</v>
      </c>
      <c r="AX26" s="87">
        <f>VLOOKUP($B26,'Restrainer End'!$B$10:$J$36,MATCH('Summary (2)'!AX$8,'Restrainer End'!$B$8:$J$8,0),FALSE)</f>
        <v>3394872</v>
      </c>
      <c r="AY26" s="87">
        <f>VLOOKUP($B26,'Restrainer End'!$B$10:$J$36,MATCH('Summary (2)'!AY$8,'Restrainer End'!$B$8:$J$8,0),FALSE)</f>
        <v>294</v>
      </c>
      <c r="BB26" s="62" t="e">
        <f t="shared" ca="1" si="48"/>
        <v>#NAME?</v>
      </c>
      <c r="BC26" s="199" t="e">
        <f t="shared" ca="1" si="23"/>
        <v>#NAME?</v>
      </c>
      <c r="BD26" s="62" t="e">
        <f t="shared" ca="1" si="24"/>
        <v>#NAME?</v>
      </c>
      <c r="BE26" s="81" t="e">
        <f t="shared" ca="1" si="25"/>
        <v>#NAME?</v>
      </c>
      <c r="BF26" s="553" t="e">
        <f t="shared" ca="1" si="26"/>
        <v>#NAME?</v>
      </c>
      <c r="BG26" s="199" t="e">
        <f t="shared" ca="1" si="27"/>
        <v>#NAME?</v>
      </c>
      <c r="BH26" s="62" t="e">
        <f t="shared" ca="1" si="28"/>
        <v>#NAME?</v>
      </c>
      <c r="BI26" s="81" t="e">
        <f t="shared" ca="1" si="29"/>
        <v>#NAME?</v>
      </c>
      <c r="BJ26" s="553" t="e">
        <f t="shared" ca="1" si="30"/>
        <v>#NAME?</v>
      </c>
      <c r="BK26" s="199" t="e">
        <f t="shared" ca="1" si="31"/>
        <v>#NAME?</v>
      </c>
      <c r="BL26" s="62" t="e">
        <f t="shared" ca="1" si="32"/>
        <v>#NAME?</v>
      </c>
      <c r="BM26" s="63"/>
      <c r="BN26" s="137" t="str">
        <f t="shared" si="14"/>
        <v>-</v>
      </c>
      <c r="BO26" s="137" t="e">
        <f t="shared" ca="1" si="15"/>
        <v>#NAME?</v>
      </c>
      <c r="BP26" s="137" t="e">
        <f t="shared" ca="1" si="33"/>
        <v>#NAME?</v>
      </c>
      <c r="BR26" s="62" t="e">
        <f ca="1">Ncr(Mp_Norm($AF26,$AD26),0,$AI26,BC26,BE26)*$BB26</f>
        <v>#NAME?</v>
      </c>
      <c r="BS26" s="199" t="e">
        <f t="shared" ca="1" si="34"/>
        <v>#NAME?</v>
      </c>
      <c r="BT26" s="62" t="e">
        <f ca="1">Ncr(Mp_Norm($AF26,$AD26),0,$AJ26,BG26,BI26)*$BB26</f>
        <v>#NAME?</v>
      </c>
      <c r="BU26" s="199" t="e">
        <f t="shared" ca="1" si="35"/>
        <v>#NAME?</v>
      </c>
      <c r="BV26" s="62" t="e">
        <f t="shared" ca="1" si="16"/>
        <v>#NAME?</v>
      </c>
      <c r="BW26" s="49" t="e">
        <f t="shared" ca="1" si="17"/>
        <v>#VALUE!</v>
      </c>
      <c r="BX26" s="206" t="e">
        <f t="shared" ca="1" si="36"/>
        <v>#VALUE!</v>
      </c>
      <c r="BZ26" s="62" t="e">
        <f t="shared" ca="1" si="37"/>
        <v>#NAME?</v>
      </c>
      <c r="CA26" s="137" t="str">
        <f t="shared" si="18"/>
        <v>-</v>
      </c>
      <c r="CB26" s="137" t="e">
        <f t="shared" ca="1" si="19"/>
        <v>#NAME?</v>
      </c>
      <c r="CC26" s="63"/>
      <c r="CD26" s="62"/>
    </row>
    <row r="27" spans="1:88" s="46" customFormat="1" x14ac:dyDescent="0.25">
      <c r="A27" s="326"/>
      <c r="B27" s="429">
        <v>25</v>
      </c>
      <c r="C27" s="638"/>
      <c r="D27" s="10" t="s">
        <v>77</v>
      </c>
      <c r="E27" s="18">
        <f>VLOOKUP($B27,'Core Demand'!$B$8:$E$36,MATCH(E$8,'Core Demand'!$B$8:$E$8,0),FALSE)</f>
        <v>339</v>
      </c>
      <c r="F27" s="18">
        <f>VLOOKUP($B27,'Core Demand'!$B$8:$E$36,MATCH(F$8,'Core Demand'!$B$8:$E$8,0),FALSE)</f>
        <v>474.65999999999997</v>
      </c>
      <c r="G27" s="486" t="e">
        <f ca="1">VLOOKUP($B27,'Equiv Connection'!$B$10:$H$36,MATCH('Summary (2)'!G$8,'Equiv Connection'!$B$8:$H$8,0),FALSE)</f>
        <v>#NAME?</v>
      </c>
      <c r="H27" s="104">
        <f>VLOOKUP($B27,'Restrainer End'!$B$10:$J$36,MATCH('Summary (2)'!H$8,'Restrainer End'!$B$8:$J$8,0),FALSE)</f>
        <v>695.94875999999999</v>
      </c>
      <c r="I27" s="104">
        <f>VLOOKUP($B27,'Restrainer End'!$B$10:$J$36,MATCH('Summary (2)'!I$8,'Restrainer End'!$B$8:$J$8,0),FALSE)</f>
        <v>1077.5601037500001</v>
      </c>
      <c r="J27" s="104" t="e">
        <f ca="1">VLOOKUP($B27,'Drift&amp;Imperfection'!$B$10:$G$36,MATCH('Summary (2)'!J$8,'Drift&amp;Imperfection'!$B$8:$G$8,0),FALSE)</f>
        <v>#DIV/0!</v>
      </c>
      <c r="K27" s="104" t="e">
        <f ca="1">VLOOKUP($B27,'Drift&amp;Imperfection'!$B$10:$G$36,MATCH('Summary (2)'!K$8,'Drift&amp;Imperfection'!$B$8:$G$8,0),FALSE)</f>
        <v>#DIV/0!</v>
      </c>
      <c r="L27" s="265" t="e">
        <f ca="1">VLOOKUP($B27,'Drift&amp;Imperfection'!$B$10:$G$36,MATCH('Summary (2)'!L$8,'Drift&amp;Imperfection'!$B$8:$G$8,0),FALSE)</f>
        <v>#NAME?</v>
      </c>
      <c r="M27" s="265" t="e">
        <f>VLOOKUP($B27,'Drift&amp;Imperfection'!$B$10:$G$36,MATCH('Summary (2)'!M$8,'Drift&amp;Imperfection'!$B$8:$G$8,0),FALSE)</f>
        <v>#DIV/0!</v>
      </c>
      <c r="N27" s="18" t="e">
        <f ca="1">VLOOKUP($B27,Framing!$B$20:$D$46,MATCH('Summary (2)'!N$8,Framing!$B$18:$D$18,0),FALSE)</f>
        <v>#NAME?</v>
      </c>
      <c r="O27" s="18">
        <f>VLOOKUP($B27,Gusset!$B$10:$E$36,MATCH('Summary (2)'!O$8,Gusset!$B$8:$E$8,0),FALSE)</f>
        <v>1000</v>
      </c>
      <c r="P27" s="18" t="str">
        <f>VLOOKUP($B27,Framing!$B$20:$D$46,MATCH('Summary (2)'!P$8,Framing!$B$18:$D$18,0),FALSE)</f>
        <v>∞</v>
      </c>
      <c r="Q27" s="18">
        <f>VLOOKUP($B27,Gusset!$B$10:$E$36,MATCH('Summary (2)'!Q$8,Gusset!$B$8:$E$8,0),FALSE)</f>
        <v>0</v>
      </c>
      <c r="R27" s="486" t="e">
        <f ca="1">VLOOKUP($B27,'Equiv Connection'!$B$10:$H$36,MATCH('Summary (2)'!R$8,'Equiv Connection'!$B$8:$H$8,0),FALSE)</f>
        <v>#NAME?</v>
      </c>
      <c r="S27" s="104" t="e">
        <f ca="1">VLOOKUP($B27,'Equiv Connection'!$B$10:$H$36,MATCH('Summary (2)'!S$8,'Equiv Connection'!$B$8:$H$8,0),FALSE)</f>
        <v>#NAME?</v>
      </c>
      <c r="T27" s="486" t="e">
        <f ca="1">VLOOKUP($B27,'Equiv Connection'!$B$10:$H$36,MATCH('Summary (2)'!T$8,'Equiv Connection'!$B$8:$H$8,0),FALSE)</f>
        <v>#NAME?</v>
      </c>
      <c r="U27" s="104" t="e">
        <f ca="1">VLOOKUP($B27,'Equiv Connection'!$B$10:$H$36,MATCH('Summary (2)'!U$8,'Equiv Connection'!$B$8:$H$8,0),FALSE)</f>
        <v>#NAME?</v>
      </c>
      <c r="V27" s="111">
        <f>VLOOKUP($B27,Gusset!$B$10:$E$36,MATCH('Summary (2)'!V$8,Gusset!$B$8:$E$8,0),FALSE)</f>
        <v>0</v>
      </c>
      <c r="W27" s="111">
        <f>VLOOKUP($B27,Gusset!$B$10:$I$36,MATCH('Summary (2)'!W$8,Gusset!$B$8:$I$8,0),FALSE)</f>
        <v>0</v>
      </c>
      <c r="X27" s="104">
        <f>VLOOKUP($B27,'Restrainer End'!$B$10:$J$36,MATCH('Summary (2)'!X$8,'Restrainer End'!$B$8:$J$8,0),FALSE)</f>
        <v>0</v>
      </c>
      <c r="Y27" s="556">
        <f>VLOOKUP($B27,'Restrainer End'!$B$10:$J$36,MATCH('Summary (2)'!Y$8,'Restrainer End'!$B$8:$J$8,0),FALSE)</f>
        <v>0.51316200000000001</v>
      </c>
      <c r="Z27" s="456">
        <f>VLOOKUP($B27,'Restrainer End'!$B$10:$J$36,MATCH('Summary (2)'!Z$8,'Restrainer End'!$B$8:$J$8,0),FALSE)</f>
        <v>5.3709574537495453</v>
      </c>
      <c r="AB27" s="133">
        <f t="shared" si="65"/>
        <v>0.64585609431718904</v>
      </c>
      <c r="AC27" s="133" t="e">
        <f t="shared" ca="1" si="66"/>
        <v>#NAME?</v>
      </c>
      <c r="AD27" s="133" t="e">
        <f t="shared" ca="1" si="67"/>
        <v>#NAME?</v>
      </c>
      <c r="AE27" s="133" t="e">
        <f t="shared" ca="1" si="68"/>
        <v>#NAME?</v>
      </c>
      <c r="AF27" s="132" t="e">
        <f t="shared" si="4"/>
        <v>#DIV/0!</v>
      </c>
      <c r="AG27" s="132" t="e">
        <f t="shared" ca="1" si="5"/>
        <v>#NAME?</v>
      </c>
      <c r="AH27" s="132" t="e">
        <f t="shared" ca="1" si="6"/>
        <v>#DIV/0!</v>
      </c>
      <c r="AI27" s="132" t="e">
        <f t="shared" ca="1" si="21"/>
        <v>#NAME?</v>
      </c>
      <c r="AJ27" s="474" t="e">
        <f t="shared" ca="1" si="22"/>
        <v>#NAME?</v>
      </c>
      <c r="AK27" s="559">
        <f t="shared" si="70"/>
        <v>0.64585609431718904</v>
      </c>
      <c r="AL27" s="559" t="e">
        <f t="shared" ca="1" si="71"/>
        <v>#NAME?</v>
      </c>
      <c r="AM27" s="559" t="e">
        <f t="shared" ca="1" si="72"/>
        <v>#NAME?</v>
      </c>
      <c r="AN27" s="559" t="e">
        <f t="shared" ca="1" si="73"/>
        <v>#NAME?</v>
      </c>
      <c r="AO27" s="560" t="e">
        <f t="shared" si="11"/>
        <v>#DIV/0!</v>
      </c>
      <c r="AP27" s="560" t="e">
        <f t="shared" ca="1" si="12"/>
        <v>#NAME?</v>
      </c>
      <c r="AQ27" s="560" t="e">
        <f t="shared" ca="1" si="74"/>
        <v>#DIV/0!</v>
      </c>
      <c r="AR27" s="474"/>
      <c r="AT27" s="104" t="e">
        <f>VLOOKUP($B27,Gusset!$B$10:$E$36,MATCH('Summary (2)'!AT$8,Gusset!$B$8:$E$8,0),FALSE)</f>
        <v>#N/A</v>
      </c>
      <c r="AU27" s="104" t="e">
        <f>VLOOKUP($B27,Gusset!$B$10:$E$36,MATCH('Summary (2)'!AU$8,Gusset!$B$8:$E$8,0),FALSE)</f>
        <v>#N/A</v>
      </c>
      <c r="AV27" s="592" t="e">
        <f>VLOOKUP($B27,Gusset!$B$10:$E$36,MATCH('Summary (2)'!AV$8,Gusset!$B$8:$E$8,0),FALSE)</f>
        <v>#N/A</v>
      </c>
      <c r="AW27" s="104">
        <f>VLOOKUP($B27,'Restrainer End'!$B$10:$J$36,MATCH('Summary (2)'!AW$8,'Restrainer End'!$B$8:$J$8,0),FALSE)</f>
        <v>3456</v>
      </c>
      <c r="AX27" s="104">
        <f>VLOOKUP($B27,'Restrainer End'!$B$10:$J$36,MATCH('Summary (2)'!AX$8,'Restrainer End'!$B$8:$J$8,0),FALSE)</f>
        <v>3394872</v>
      </c>
      <c r="AY27" s="104">
        <f>VLOOKUP($B27,'Restrainer End'!$B$10:$J$36,MATCH('Summary (2)'!AY$8,'Restrainer End'!$B$8:$J$8,0),FALSE)</f>
        <v>294</v>
      </c>
      <c r="BB27" s="30" t="e">
        <f t="shared" ca="1" si="48"/>
        <v>#NAME?</v>
      </c>
      <c r="BC27" s="215" t="e">
        <f t="shared" ca="1" si="23"/>
        <v>#NAME?</v>
      </c>
      <c r="BD27" s="30" t="e">
        <f t="shared" ca="1" si="24"/>
        <v>#NAME?</v>
      </c>
      <c r="BE27" s="53" t="e">
        <f t="shared" ca="1" si="25"/>
        <v>#NAME?</v>
      </c>
      <c r="BF27" s="554" t="e">
        <f t="shared" ca="1" si="26"/>
        <v>#NAME?</v>
      </c>
      <c r="BG27" s="215" t="e">
        <f t="shared" ca="1" si="27"/>
        <v>#NAME?</v>
      </c>
      <c r="BH27" s="30" t="e">
        <f t="shared" ca="1" si="28"/>
        <v>#NAME?</v>
      </c>
      <c r="BI27" s="53" t="e">
        <f t="shared" ca="1" si="29"/>
        <v>#NAME?</v>
      </c>
      <c r="BJ27" s="554" t="e">
        <f t="shared" ca="1" si="30"/>
        <v>#NAME?</v>
      </c>
      <c r="BK27" s="215" t="e">
        <f t="shared" ca="1" si="31"/>
        <v>#NAME?</v>
      </c>
      <c r="BL27" s="30" t="e">
        <f t="shared" ca="1" si="32"/>
        <v>#NAME?</v>
      </c>
      <c r="BM27" s="36"/>
      <c r="BN27" s="283" t="e">
        <f t="shared" ca="1" si="14"/>
        <v>#NAME?</v>
      </c>
      <c r="BO27" s="283" t="e">
        <f t="shared" ca="1" si="15"/>
        <v>#NAME?</v>
      </c>
      <c r="BP27" s="283" t="e">
        <f t="shared" ca="1" si="33"/>
        <v>#NAME?</v>
      </c>
      <c r="BQ27" s="6"/>
      <c r="BR27" s="30" t="e">
        <f ca="1">Ncr(Mp_Norm($AF27,$AD27),0,$AI27,BC27,BE27)*$BB27</f>
        <v>#NAME?</v>
      </c>
      <c r="BS27" s="215" t="e">
        <f t="shared" ca="1" si="34"/>
        <v>#NAME?</v>
      </c>
      <c r="BT27" s="30" t="e">
        <f ca="1">Ncr(Mp_Norm($AF27,$AD27),0,$AJ27,BG27,BI27)*$BB27</f>
        <v>#NAME?</v>
      </c>
      <c r="BU27" s="215" t="e">
        <f t="shared" ca="1" si="35"/>
        <v>#NAME?</v>
      </c>
      <c r="BV27" s="30" t="e">
        <f t="shared" ca="1" si="16"/>
        <v>#NAME?</v>
      </c>
      <c r="BW27" s="7" t="e">
        <f t="shared" ca="1" si="17"/>
        <v>#VALUE!</v>
      </c>
      <c r="BX27" s="207" t="e">
        <f t="shared" ca="1" si="36"/>
        <v>#VALUE!</v>
      </c>
      <c r="BY27" s="6"/>
      <c r="BZ27" s="30" t="e">
        <f t="shared" ca="1" si="37"/>
        <v>#NAME?</v>
      </c>
      <c r="CA27" s="283" t="e">
        <f t="shared" ca="1" si="18"/>
        <v>#NAME?</v>
      </c>
      <c r="CB27" s="283" t="e">
        <f t="shared" ca="1" si="19"/>
        <v>#NAME?</v>
      </c>
      <c r="CC27" s="63"/>
      <c r="CD27" s="62"/>
    </row>
    <row r="28" spans="1:88" s="600" customFormat="1" x14ac:dyDescent="0.25">
      <c r="A28" s="326"/>
      <c r="B28" s="430"/>
      <c r="C28" s="601"/>
      <c r="D28" s="285"/>
      <c r="E28" s="86"/>
      <c r="F28" s="86"/>
      <c r="G28" s="485">
        <v>2.4900000000000002</v>
      </c>
      <c r="H28" s="87">
        <v>687.80124000000001</v>
      </c>
      <c r="I28" s="87">
        <v>1077.5601037500001</v>
      </c>
      <c r="J28" s="87"/>
      <c r="K28" s="87"/>
      <c r="L28" s="87"/>
      <c r="M28" s="87"/>
      <c r="N28" s="86"/>
      <c r="O28" s="86"/>
      <c r="P28" s="86">
        <v>90154.175623806615</v>
      </c>
      <c r="Q28" s="86">
        <v>3119.0986465116275</v>
      </c>
      <c r="R28" s="485">
        <v>0.61746148973181747</v>
      </c>
      <c r="S28" s="87">
        <v>3041.5389943877244</v>
      </c>
      <c r="T28" s="485"/>
      <c r="U28" s="87"/>
      <c r="V28" s="108"/>
      <c r="W28" s="108"/>
      <c r="X28" s="87">
        <v>30283.807221851232</v>
      </c>
      <c r="Y28" s="108">
        <v>4.2699999999999996</v>
      </c>
      <c r="Z28" s="455"/>
      <c r="AB28" s="156"/>
      <c r="AC28" s="156"/>
      <c r="AD28" s="156"/>
      <c r="AE28" s="156"/>
      <c r="AF28" s="155"/>
      <c r="AG28" s="155"/>
      <c r="AH28" s="155"/>
      <c r="AI28" s="155">
        <f t="shared" si="21"/>
        <v>0</v>
      </c>
      <c r="AJ28" s="473">
        <f t="shared" si="22"/>
        <v>0</v>
      </c>
      <c r="AK28" s="557"/>
      <c r="AL28" s="557"/>
      <c r="AM28" s="557"/>
      <c r="AN28" s="557"/>
      <c r="AO28" s="558"/>
      <c r="AP28" s="558"/>
      <c r="AQ28" s="558"/>
      <c r="AR28" s="473"/>
      <c r="AT28" s="87"/>
      <c r="AU28" s="87"/>
      <c r="AV28" s="591"/>
      <c r="AW28" s="87"/>
      <c r="AX28" s="87"/>
      <c r="AY28" s="87"/>
      <c r="BB28" s="62"/>
      <c r="BC28" s="199"/>
      <c r="BD28" s="62"/>
      <c r="BE28" s="81"/>
      <c r="BF28" s="553"/>
      <c r="BG28" s="199"/>
      <c r="BH28" s="62"/>
      <c r="BI28" s="81"/>
      <c r="BJ28" s="553"/>
      <c r="BK28" s="199"/>
      <c r="BL28" s="62"/>
      <c r="BM28" s="63"/>
      <c r="BN28" s="137"/>
      <c r="BO28" s="137"/>
      <c r="BP28" s="137"/>
      <c r="BR28" s="62" t="e">
        <f ca="1">Ncr(Mp_Norm($AF28,$AD28),0,$AI28,BC28,BE28)*$BB28</f>
        <v>#NAME?</v>
      </c>
      <c r="BS28" s="199"/>
      <c r="BT28" s="62" t="e">
        <f ca="1">Ncr(Mp_Norm($AF28,$AD28),0,$AJ28,BG28,BI28)*$BB28</f>
        <v>#NAME?</v>
      </c>
      <c r="BU28" s="199"/>
      <c r="BV28" s="62"/>
      <c r="BW28" s="49"/>
      <c r="BX28" s="206"/>
      <c r="BZ28" s="62"/>
      <c r="CA28" s="137"/>
      <c r="CB28" s="137"/>
      <c r="CC28" s="63"/>
      <c r="CD28" s="62"/>
    </row>
    <row r="29" spans="1:88" s="600" customFormat="1" x14ac:dyDescent="0.25">
      <c r="A29" s="326"/>
      <c r="B29" s="430"/>
      <c r="C29" s="601"/>
      <c r="D29" s="21"/>
      <c r="E29" s="86"/>
      <c r="F29" s="86"/>
      <c r="G29" s="485">
        <v>2.4900000000000002</v>
      </c>
      <c r="H29" s="87">
        <v>687.80124000000001</v>
      </c>
      <c r="I29" s="87">
        <v>1504.5766056739701</v>
      </c>
      <c r="J29" s="87"/>
      <c r="K29" s="87"/>
      <c r="L29" s="87"/>
      <c r="M29" s="87"/>
      <c r="N29" s="86"/>
      <c r="O29" s="86"/>
      <c r="P29" s="86">
        <v>38781.145285720027</v>
      </c>
      <c r="Q29" s="86">
        <v>1668.0893860465117</v>
      </c>
      <c r="R29" s="485">
        <v>0.62095789501353016</v>
      </c>
      <c r="S29" s="87">
        <v>1616.4436651666438</v>
      </c>
      <c r="T29" s="485"/>
      <c r="U29" s="87"/>
      <c r="V29" s="108"/>
      <c r="W29" s="108"/>
      <c r="X29" s="87">
        <v>644.56373489722012</v>
      </c>
      <c r="Y29" s="108">
        <v>4.2699999999999996</v>
      </c>
      <c r="Z29" s="455"/>
      <c r="AB29" s="156"/>
      <c r="AC29" s="156"/>
      <c r="AD29" s="156"/>
      <c r="AE29" s="156"/>
      <c r="AF29" s="155"/>
      <c r="AG29" s="155"/>
      <c r="AH29" s="155"/>
      <c r="AI29" s="155">
        <f t="shared" si="21"/>
        <v>0</v>
      </c>
      <c r="AJ29" s="473">
        <f t="shared" si="22"/>
        <v>0</v>
      </c>
      <c r="AK29" s="557"/>
      <c r="AL29" s="557"/>
      <c r="AM29" s="557"/>
      <c r="AN29" s="557"/>
      <c r="AO29" s="558"/>
      <c r="AP29" s="558"/>
      <c r="AQ29" s="558"/>
      <c r="AR29" s="473"/>
      <c r="AT29" s="87"/>
      <c r="AU29" s="87"/>
      <c r="AV29" s="591"/>
      <c r="AW29" s="87"/>
      <c r="AX29" s="87"/>
      <c r="AY29" s="87"/>
      <c r="BB29" s="62"/>
      <c r="BC29" s="199"/>
      <c r="BD29" s="62"/>
      <c r="BE29" s="81"/>
      <c r="BF29" s="553"/>
      <c r="BG29" s="199"/>
      <c r="BH29" s="62"/>
      <c r="BI29" s="81"/>
      <c r="BJ29" s="553"/>
      <c r="BK29" s="199"/>
      <c r="BL29" s="62"/>
      <c r="BM29" s="63"/>
      <c r="BN29" s="137"/>
      <c r="BO29" s="137"/>
      <c r="BP29" s="137"/>
      <c r="BR29" s="62" t="e">
        <f ca="1">Ncr(Mp_Norm($AF29,$AD29),0,$AI29,BC29,BE29)*$BB29</f>
        <v>#NAME?</v>
      </c>
      <c r="BS29" s="199"/>
      <c r="BT29" s="62" t="e">
        <f ca="1">Ncr(Mp_Norm($AF29,$AD29),0,$AJ29,BG29,BI29)*$BB29</f>
        <v>#NAME?</v>
      </c>
      <c r="BU29" s="199"/>
      <c r="BV29" s="62"/>
      <c r="BW29" s="49"/>
      <c r="BX29" s="206"/>
      <c r="BZ29" s="62"/>
      <c r="CA29" s="137"/>
      <c r="CB29" s="137"/>
      <c r="CC29" s="63">
        <v>35.700000000000003</v>
      </c>
      <c r="CD29" s="625">
        <v>35.799999999999997</v>
      </c>
    </row>
    <row r="30" spans="1:88" s="600" customFormat="1" x14ac:dyDescent="0.25">
      <c r="A30" s="326"/>
      <c r="B30" s="430"/>
      <c r="C30" s="601"/>
      <c r="D30" s="21"/>
      <c r="E30" s="86"/>
      <c r="F30" s="86"/>
      <c r="G30" s="485">
        <v>2.4900000000000002</v>
      </c>
      <c r="H30" s="87">
        <v>687.80124000000001</v>
      </c>
      <c r="I30" s="87">
        <v>1077.5601037500001</v>
      </c>
      <c r="J30" s="87"/>
      <c r="K30" s="87"/>
      <c r="L30" s="87"/>
      <c r="M30" s="87"/>
      <c r="N30" s="86"/>
      <c r="O30" s="86"/>
      <c r="P30" s="86">
        <v>38229.075617536473</v>
      </c>
      <c r="Q30" s="86">
        <v>217.08012558139535</v>
      </c>
      <c r="R30" s="485">
        <v>0.60466643420480071</v>
      </c>
      <c r="S30" s="87">
        <v>216.20215168062853</v>
      </c>
      <c r="T30" s="485"/>
      <c r="U30" s="87"/>
      <c r="V30" s="108"/>
      <c r="W30" s="108"/>
      <c r="X30" s="87">
        <v>30283.807221851232</v>
      </c>
      <c r="Y30" s="108">
        <v>1.75</v>
      </c>
      <c r="Z30" s="455"/>
      <c r="AB30" s="156"/>
      <c r="AC30" s="156"/>
      <c r="AD30" s="156"/>
      <c r="AE30" s="156"/>
      <c r="AF30" s="155"/>
      <c r="AG30" s="155"/>
      <c r="AH30" s="155"/>
      <c r="AI30" s="155">
        <f t="shared" si="21"/>
        <v>0</v>
      </c>
      <c r="AJ30" s="473">
        <f t="shared" si="22"/>
        <v>0</v>
      </c>
      <c r="AK30" s="557"/>
      <c r="AL30" s="557"/>
      <c r="AM30" s="557"/>
      <c r="AN30" s="557"/>
      <c r="AO30" s="558"/>
      <c r="AP30" s="558"/>
      <c r="AQ30" s="558"/>
      <c r="AR30" s="473"/>
      <c r="AT30" s="87"/>
      <c r="AU30" s="87"/>
      <c r="AV30" s="591"/>
      <c r="AW30" s="87"/>
      <c r="AX30" s="87"/>
      <c r="AY30" s="87"/>
      <c r="BB30" s="62"/>
      <c r="BC30" s="199"/>
      <c r="BD30" s="62"/>
      <c r="BE30" s="81"/>
      <c r="BF30" s="553"/>
      <c r="BG30" s="199"/>
      <c r="BH30" s="62"/>
      <c r="BI30" s="81"/>
      <c r="BJ30" s="553"/>
      <c r="BK30" s="199"/>
      <c r="BL30" s="62"/>
      <c r="BM30" s="63"/>
      <c r="BN30" s="137"/>
      <c r="BO30" s="137"/>
      <c r="BP30" s="137"/>
      <c r="BR30" s="62" t="e">
        <f ca="1">Ncr(Mp_Norm($AF30,$AD30),0,$AI30,BC30,BE30)*$BB30</f>
        <v>#NAME?</v>
      </c>
      <c r="BS30" s="199"/>
      <c r="BT30" s="62" t="e">
        <f ca="1">Ncr(Mp_Norm($AF30,$AD30),0,$AJ30,BG30,BI30)*$BB30</f>
        <v>#NAME?</v>
      </c>
      <c r="BU30" s="199"/>
      <c r="BV30" s="62"/>
      <c r="BW30" s="49"/>
      <c r="BX30" s="206"/>
      <c r="BZ30" s="62"/>
      <c r="CA30" s="137"/>
      <c r="CB30" s="137"/>
      <c r="CC30" s="63"/>
      <c r="CD30" s="62"/>
    </row>
    <row r="31" spans="1:88" s="600" customFormat="1" x14ac:dyDescent="0.25">
      <c r="A31" s="326"/>
      <c r="B31" s="430"/>
      <c r="C31" s="601"/>
      <c r="D31" s="21"/>
      <c r="E31" s="86"/>
      <c r="F31" s="86"/>
      <c r="G31" s="485">
        <v>2.4900000000000002</v>
      </c>
      <c r="H31" s="87">
        <v>687.80124000000001</v>
      </c>
      <c r="I31" s="87">
        <v>1077.5601037500001</v>
      </c>
      <c r="J31" s="87"/>
      <c r="K31" s="87"/>
      <c r="L31" s="87"/>
      <c r="M31" s="87"/>
      <c r="N31" s="86"/>
      <c r="O31" s="86"/>
      <c r="P31" s="86">
        <v>38229.075617536473</v>
      </c>
      <c r="Q31" s="86">
        <v>217.08012558139535</v>
      </c>
      <c r="R31" s="485">
        <v>0.60466643420480071</v>
      </c>
      <c r="S31" s="87">
        <v>216.20215168062853</v>
      </c>
      <c r="T31" s="485"/>
      <c r="U31" s="87"/>
      <c r="V31" s="108"/>
      <c r="W31" s="108"/>
      <c r="X31" s="87">
        <v>30283.807221851232</v>
      </c>
      <c r="Y31" s="108">
        <v>23</v>
      </c>
      <c r="Z31" s="455"/>
      <c r="AB31" s="156"/>
      <c r="AC31" s="156"/>
      <c r="AD31" s="156"/>
      <c r="AE31" s="156"/>
      <c r="AF31" s="155"/>
      <c r="AG31" s="155"/>
      <c r="AH31" s="155"/>
      <c r="AI31" s="155">
        <f t="shared" si="21"/>
        <v>0</v>
      </c>
      <c r="AJ31" s="473">
        <f t="shared" si="22"/>
        <v>0</v>
      </c>
      <c r="AK31" s="557"/>
      <c r="AL31" s="557"/>
      <c r="AM31" s="557"/>
      <c r="AN31" s="557"/>
      <c r="AO31" s="558"/>
      <c r="AP31" s="558"/>
      <c r="AQ31" s="558"/>
      <c r="AR31" s="473"/>
      <c r="AT31" s="87"/>
      <c r="AU31" s="87"/>
      <c r="AV31" s="591"/>
      <c r="AW31" s="87"/>
      <c r="AX31" s="87"/>
      <c r="AY31" s="87"/>
      <c r="BB31" s="62"/>
      <c r="BC31" s="199"/>
      <c r="BD31" s="62"/>
      <c r="BE31" s="81"/>
      <c r="BF31" s="553"/>
      <c r="BG31" s="199"/>
      <c r="BH31" s="62"/>
      <c r="BI31" s="81"/>
      <c r="BJ31" s="553"/>
      <c r="BK31" s="199"/>
      <c r="BL31" s="62"/>
      <c r="BM31" s="63"/>
      <c r="BN31" s="137"/>
      <c r="BO31" s="137"/>
      <c r="BP31" s="137"/>
      <c r="BR31" s="62" t="e">
        <f ca="1">Ncr(Mp_Norm($AF31,$AD31),0,$AI31,BC31,BE31)*$BB31</f>
        <v>#NAME?</v>
      </c>
      <c r="BS31" s="199"/>
      <c r="BT31" s="62" t="e">
        <f ca="1">Ncr(Mp_Norm($AF31,$AD31),0,$AJ31,BG31,BI31)*$BB31</f>
        <v>#NAME?</v>
      </c>
      <c r="BU31" s="199"/>
      <c r="BV31" s="62"/>
      <c r="BW31" s="49"/>
      <c r="BX31" s="206"/>
      <c r="BZ31" s="62"/>
      <c r="CA31" s="137"/>
      <c r="CB31" s="137"/>
      <c r="CC31" s="623" t="s">
        <v>564</v>
      </c>
      <c r="CD31" s="62"/>
    </row>
    <row r="32" spans="1:88" s="600" customFormat="1" x14ac:dyDescent="0.25">
      <c r="A32" s="326"/>
      <c r="B32" s="430"/>
      <c r="C32" s="601"/>
      <c r="D32" s="21"/>
      <c r="E32" s="86"/>
      <c r="F32" s="86"/>
      <c r="G32" s="485">
        <v>2.4900000000000002</v>
      </c>
      <c r="H32" s="87">
        <v>687.80124000000001</v>
      </c>
      <c r="I32" s="87">
        <v>1504.5766056739701</v>
      </c>
      <c r="J32" s="87"/>
      <c r="K32" s="87"/>
      <c r="L32" s="87"/>
      <c r="M32" s="87"/>
      <c r="N32" s="86"/>
      <c r="O32" s="86"/>
      <c r="P32" s="86">
        <v>38229.075617536473</v>
      </c>
      <c r="Q32" s="86">
        <v>217.08012558139535</v>
      </c>
      <c r="R32" s="485">
        <v>0.60466643420480071</v>
      </c>
      <c r="S32" s="87">
        <v>216.20215168062853</v>
      </c>
      <c r="T32" s="485"/>
      <c r="U32" s="87"/>
      <c r="V32" s="108"/>
      <c r="W32" s="108"/>
      <c r="X32" s="87">
        <v>149.29669777948575</v>
      </c>
      <c r="Y32" s="108">
        <v>45.1</v>
      </c>
      <c r="Z32" s="455"/>
      <c r="AB32" s="156"/>
      <c r="AC32" s="156"/>
      <c r="AD32" s="156"/>
      <c r="AE32" s="156"/>
      <c r="AF32" s="155"/>
      <c r="AG32" s="155"/>
      <c r="AH32" s="155"/>
      <c r="AI32" s="155">
        <f t="shared" si="21"/>
        <v>0</v>
      </c>
      <c r="AJ32" s="473">
        <f t="shared" si="22"/>
        <v>0</v>
      </c>
      <c r="AK32" s="557"/>
      <c r="AL32" s="557"/>
      <c r="AM32" s="557"/>
      <c r="AN32" s="557"/>
      <c r="AO32" s="558"/>
      <c r="AP32" s="558"/>
      <c r="AQ32" s="558"/>
      <c r="AR32" s="473"/>
      <c r="AT32" s="87"/>
      <c r="AU32" s="87"/>
      <c r="AV32" s="591"/>
      <c r="AW32" s="87"/>
      <c r="AX32" s="87"/>
      <c r="AY32" s="87"/>
      <c r="BB32" s="62"/>
      <c r="BC32" s="199"/>
      <c r="BD32" s="62"/>
      <c r="BE32" s="81"/>
      <c r="BF32" s="553"/>
      <c r="BG32" s="199"/>
      <c r="BH32" s="62"/>
      <c r="BI32" s="81"/>
      <c r="BJ32" s="553"/>
      <c r="BK32" s="199"/>
      <c r="BL32" s="62"/>
      <c r="BM32" s="63"/>
      <c r="BN32" s="137"/>
      <c r="BO32" s="137"/>
      <c r="BP32" s="137"/>
      <c r="BR32" s="62" t="e">
        <f ca="1">Ncr(Mp_Norm($AF32,$AD32),0,$AI32,BC32,BE32)*$BB32</f>
        <v>#NAME?</v>
      </c>
      <c r="BS32" s="199"/>
      <c r="BT32" s="62" t="e">
        <f ca="1">Ncr(Mp_Norm($AF32,$AD32),0,$AJ32,BG32,BI32)*$BB32</f>
        <v>#NAME?</v>
      </c>
      <c r="BU32" s="199"/>
      <c r="BV32" s="62"/>
      <c r="BW32" s="49"/>
      <c r="BX32" s="206"/>
      <c r="BZ32" s="62"/>
      <c r="CA32" s="137"/>
      <c r="CB32" s="137"/>
      <c r="CC32">
        <v>139.30000000000001</v>
      </c>
      <c r="CD32" s="625">
        <v>139.4</v>
      </c>
    </row>
    <row r="33" spans="1:82" s="600" customFormat="1" x14ac:dyDescent="0.25">
      <c r="A33" s="326"/>
      <c r="B33" s="429"/>
      <c r="C33" s="602"/>
      <c r="D33" s="10"/>
      <c r="E33" s="18"/>
      <c r="F33" s="18"/>
      <c r="G33" s="486">
        <v>2.4900000000000002</v>
      </c>
      <c r="H33" s="104">
        <v>687.80124000000001</v>
      </c>
      <c r="I33" s="104">
        <v>1077.5601037500001</v>
      </c>
      <c r="J33" s="104"/>
      <c r="K33" s="104"/>
      <c r="L33" s="104"/>
      <c r="M33" s="104"/>
      <c r="N33" s="18"/>
      <c r="O33" s="18"/>
      <c r="P33" s="18">
        <v>38229.075617536473</v>
      </c>
      <c r="Q33" s="18">
        <v>217.08012558139535</v>
      </c>
      <c r="R33" s="486">
        <v>0.60466643420480071</v>
      </c>
      <c r="S33" s="104">
        <v>216.20215168062853</v>
      </c>
      <c r="T33" s="486"/>
      <c r="U33" s="104"/>
      <c r="V33" s="111"/>
      <c r="W33" s="111"/>
      <c r="X33" s="104">
        <v>0</v>
      </c>
      <c r="Y33" s="111">
        <v>0.51</v>
      </c>
      <c r="Z33" s="456"/>
      <c r="AB33" s="133"/>
      <c r="AC33" s="133"/>
      <c r="AD33" s="133"/>
      <c r="AE33" s="133"/>
      <c r="AF33" s="132"/>
      <c r="AG33" s="132"/>
      <c r="AH33" s="132"/>
      <c r="AI33" s="132">
        <f t="shared" si="21"/>
        <v>0</v>
      </c>
      <c r="AJ33" s="474">
        <f t="shared" si="22"/>
        <v>0</v>
      </c>
      <c r="AK33" s="559"/>
      <c r="AL33" s="559"/>
      <c r="AM33" s="559"/>
      <c r="AN33" s="559"/>
      <c r="AO33" s="560"/>
      <c r="AP33" s="560"/>
      <c r="AQ33" s="560"/>
      <c r="AR33" s="474"/>
      <c r="AT33" s="104"/>
      <c r="AU33" s="104"/>
      <c r="AV33" s="592"/>
      <c r="AW33" s="104"/>
      <c r="AX33" s="104"/>
      <c r="AY33" s="104"/>
      <c r="BB33" s="30"/>
      <c r="BC33" s="215"/>
      <c r="BD33" s="30"/>
      <c r="BE33" s="53"/>
      <c r="BF33" s="554"/>
      <c r="BG33" s="215"/>
      <c r="BH33" s="30"/>
      <c r="BI33" s="53"/>
      <c r="BJ33" s="554"/>
      <c r="BK33" s="215"/>
      <c r="BL33" s="30"/>
      <c r="BM33" s="36"/>
      <c r="BN33" s="283"/>
      <c r="BO33" s="283"/>
      <c r="BP33" s="283"/>
      <c r="BQ33" s="6"/>
      <c r="BR33" s="30" t="e">
        <f ca="1">Ncr(Mp_Norm($AF33,$AD33),0,$AI33,BC33,BE33)*$BB33</f>
        <v>#NAME?</v>
      </c>
      <c r="BS33" s="215"/>
      <c r="BT33" s="30" t="e">
        <f ca="1">Ncr(Mp_Norm($AF33,$AD33),0,$AJ33,BG33,BI33)*$BB33</f>
        <v>#NAME?</v>
      </c>
      <c r="BU33" s="215"/>
      <c r="BV33" s="30"/>
      <c r="BW33" s="7"/>
      <c r="BX33" s="207"/>
      <c r="BY33" s="6"/>
      <c r="BZ33" s="30"/>
      <c r="CA33" s="283"/>
      <c r="CB33" s="283"/>
      <c r="CC33" s="63"/>
      <c r="CD33" s="62"/>
    </row>
    <row r="34" spans="1:82" s="46" customFormat="1" x14ac:dyDescent="0.25">
      <c r="A34" s="326"/>
      <c r="B34" s="430">
        <v>30</v>
      </c>
      <c r="C34" s="637" t="s">
        <v>257</v>
      </c>
      <c r="D34" s="600" t="s">
        <v>127</v>
      </c>
      <c r="E34" s="86" t="str">
        <f>VLOOKUP($B34,'Core Demand'!$B$8:$E$36,MATCH(E$8,'Core Demand'!$B$8:$E$8,0),FALSE)</f>
        <v>-</v>
      </c>
      <c r="F34" s="86">
        <f>VLOOKUP($B34,'Core Demand'!$B$8:$E$36,MATCH(F$8,'Core Demand'!$B$8:$E$8,0),FALSE)</f>
        <v>411.23280000000005</v>
      </c>
      <c r="G34" s="485" t="e">
        <f ca="1">VLOOKUP($B34,'Equiv Connection'!$B$10:$H$36,MATCH('Summary (2)'!G$8,'Equiv Connection'!$B$8:$H$8,0),FALSE)</f>
        <v>#NAME?</v>
      </c>
      <c r="H34" s="87">
        <f>VLOOKUP($B34,'Restrainer End'!$B$10:$J$36,MATCH('Summary (2)'!H$8,'Restrainer End'!$B$8:$J$8,0),FALSE)</f>
        <v>628.89428499999997</v>
      </c>
      <c r="I34" s="87">
        <f>VLOOKUP($B34,'Restrainer End'!$B$10:$J$36,MATCH('Summary (2)'!I$8,'Restrainer End'!$B$8:$J$8,0),FALSE)</f>
        <v>580.86699184599911</v>
      </c>
      <c r="J34" s="87" t="e">
        <f ca="1">VLOOKUP($B34,'Drift&amp;Imperfection'!$B$10:$G$36,MATCH('Summary (2)'!J$8,'Drift&amp;Imperfection'!$B$8:$G$8,0),FALSE)</f>
        <v>#NAME?</v>
      </c>
      <c r="K34" s="87" t="e">
        <f ca="1">VLOOKUP($B34,'Drift&amp;Imperfection'!$B$10:$G$36,MATCH('Summary (2)'!K$8,'Drift&amp;Imperfection'!$B$8:$G$8,0),FALSE)</f>
        <v>#NAME?</v>
      </c>
      <c r="L34" s="264" t="e">
        <f ca="1">VLOOKUP($B34,'Drift&amp;Imperfection'!$B$10:$G$36,MATCH('Summary (2)'!L$8,'Drift&amp;Imperfection'!$B$8:$G$8,0),FALSE)</f>
        <v>#NAME?</v>
      </c>
      <c r="M34" s="264">
        <f>VLOOKUP($B34,'Drift&amp;Imperfection'!$B$10:$G$36,MATCH('Summary (2)'!M$8,'Drift&amp;Imperfection'!$B$8:$G$8,0),FALSE)</f>
        <v>1.8181818181818181E-2</v>
      </c>
      <c r="N34" s="86" t="e">
        <f ca="1">VLOOKUP($B34,Framing!$B$20:$D$46,MATCH('Summary (2)'!N$8,Framing!$B$18:$D$18,0),FALSE)</f>
        <v>#NAME?</v>
      </c>
      <c r="O34" s="86" t="str">
        <f>VLOOKUP($B34,Gusset!$B$10:$E$36,MATCH('Summary (2)'!O$8,Gusset!$B$8:$E$8,0),FALSE)</f>
        <v>∞</v>
      </c>
      <c r="P34" s="86" t="str">
        <f>VLOOKUP($B34,Framing!$B$20:$D$46,MATCH('Summary (2)'!P$8,Framing!$B$18:$D$18,0),FALSE)</f>
        <v>∞</v>
      </c>
      <c r="Q34" s="86" t="str">
        <f>VLOOKUP($B34,Gusset!$B$10:$E$36,MATCH('Summary (2)'!Q$8,Gusset!$B$8:$E$8,0),FALSE)</f>
        <v>∞</v>
      </c>
      <c r="R34" s="485" t="e">
        <f ca="1">VLOOKUP($B34,'Equiv Connection'!$B$10:$H$36,MATCH('Summary (2)'!R$8,'Equiv Connection'!$B$8:$H$8,0),FALSE)</f>
        <v>#NAME?</v>
      </c>
      <c r="S34" s="87" t="e">
        <f ca="1">VLOOKUP($B34,'Equiv Connection'!$B$10:$H$36,MATCH('Summary (2)'!S$8,'Equiv Connection'!$B$8:$H$8,0),FALSE)</f>
        <v>#NAME?</v>
      </c>
      <c r="T34" s="485" t="e">
        <f ca="1">VLOOKUP($B34,'Equiv Connection'!$B$10:$H$36,MATCH('Summary (2)'!T$8,'Equiv Connection'!$B$8:$H$8,0),FALSE)</f>
        <v>#NAME?</v>
      </c>
      <c r="U34" s="87" t="e">
        <f ca="1">VLOOKUP($B34,'Equiv Connection'!$B$10:$H$36,MATCH('Summary (2)'!U$8,'Equiv Connection'!$B$8:$H$8,0),FALSE)</f>
        <v>#NAME?</v>
      </c>
      <c r="V34" s="108">
        <f>VLOOKUP($B34,Gusset!$B$10:$E$36,MATCH('Summary (2)'!V$8,Gusset!$B$8:$E$8,0),FALSE)</f>
        <v>0</v>
      </c>
      <c r="W34" s="108">
        <f>VLOOKUP($B34,Gusset!$B$10:$I$36,MATCH('Summary (2)'!W$8,Gusset!$B$8:$I$8,0),FALSE)</f>
        <v>0</v>
      </c>
      <c r="X34" s="87" t="e">
        <f ca="1">VLOOKUP($B34,'Restrainer End'!$B$10:$J$36,MATCH('Summary (2)'!X$8,'Restrainer End'!$B$8:$J$8,0),FALSE)</f>
        <v>#NAME?</v>
      </c>
      <c r="Y34" s="555" t="e">
        <f ca="1">VLOOKUP($B34,'Restrainer End'!$B$10:$J$36,MATCH('Summary (2)'!Y$8,'Restrainer End'!$B$8:$J$8,0),FALSE)</f>
        <v>#NAME?</v>
      </c>
      <c r="Z34" s="455">
        <f>VLOOKUP($B34,'Restrainer End'!$B$10:$J$36,MATCH('Summary (2)'!Z$8,'Restrainer End'!$B$8:$J$8,0),FALSE)</f>
        <v>6.8587500004228703</v>
      </c>
      <c r="AA34" s="600"/>
      <c r="AB34" s="156">
        <f t="shared" ref="AB34:AB47" si="75">H34/I34</f>
        <v>1.082682083554739</v>
      </c>
      <c r="AC34" s="156" t="e">
        <f t="shared" ref="AC34:AC47" ca="1" si="76">R34/G34</f>
        <v>#NAME?</v>
      </c>
      <c r="AD34" s="156" t="e">
        <f t="shared" ref="AD34:AD47" ca="1" si="77">X34*R34/H34</f>
        <v>#NAME?</v>
      </c>
      <c r="AE34" s="156" t="e">
        <f t="shared" ref="AE34:AE47" ca="1" si="78">S34*R34/H34</f>
        <v>#NAME?</v>
      </c>
      <c r="AF34" s="155" t="e">
        <f t="shared" ca="1" si="4"/>
        <v>#NAME?</v>
      </c>
      <c r="AG34" s="155" t="e">
        <f t="shared" ca="1" si="5"/>
        <v>#NAME?</v>
      </c>
      <c r="AH34" s="155" t="e">
        <f t="shared" ref="AH34:AH47" ca="1" si="79">J34/10^3/R34</f>
        <v>#NAME?</v>
      </c>
      <c r="AI34" s="155" t="e">
        <f t="shared" ca="1" si="21"/>
        <v>#NAME?</v>
      </c>
      <c r="AJ34" s="473" t="e">
        <f t="shared" ca="1" si="22"/>
        <v>#NAME?</v>
      </c>
      <c r="AK34" s="557">
        <f t="shared" ref="AK34:AK47" si="80">H34/I34</f>
        <v>1.082682083554739</v>
      </c>
      <c r="AL34" s="557" t="e">
        <f t="shared" ref="AL34:AL47" ca="1" si="81">T34/G34</f>
        <v>#NAME?</v>
      </c>
      <c r="AM34" s="557" t="e">
        <f t="shared" ref="AM34:AM47" ca="1" si="82">X34*T34/H34</f>
        <v>#NAME?</v>
      </c>
      <c r="AN34" s="557" t="e">
        <f t="shared" ref="AN34:AN47" ca="1" si="83">U34*T34/H34</f>
        <v>#NAME?</v>
      </c>
      <c r="AO34" s="558" t="e">
        <f t="shared" ca="1" si="11"/>
        <v>#NAME?</v>
      </c>
      <c r="AP34" s="558" t="e">
        <f t="shared" ca="1" si="12"/>
        <v>#NAME?</v>
      </c>
      <c r="AQ34" s="558" t="e">
        <f t="shared" ref="AQ34:AQ47" ca="1" si="84">K34/10^3/T34</f>
        <v>#NAME?</v>
      </c>
      <c r="AR34" s="473"/>
      <c r="AT34" s="87" t="e">
        <f>VLOOKUP($B34,Gusset!$B$10:$E$36,MATCH('Summary (2)'!AT$8,Gusset!$B$8:$E$8,0),FALSE)</f>
        <v>#N/A</v>
      </c>
      <c r="AU34" s="87" t="e">
        <f>VLOOKUP($B34,Gusset!$B$10:$E$36,MATCH('Summary (2)'!AU$8,Gusset!$B$8:$E$8,0),FALSE)</f>
        <v>#N/A</v>
      </c>
      <c r="AV34" s="591" t="e">
        <f>VLOOKUP($B34,Gusset!$B$10:$E$36,MATCH('Summary (2)'!AV$8,Gusset!$B$8:$E$8,0),FALSE)</f>
        <v>#N/A</v>
      </c>
      <c r="AW34" s="87">
        <f>VLOOKUP($B34,'Restrainer End'!$B$10:$J$36,MATCH('Summary (2)'!AW$8,'Restrainer End'!$B$8:$J$8,0),FALSE)</f>
        <v>3336</v>
      </c>
      <c r="AX34" s="87">
        <f>VLOOKUP($B34,'Restrainer End'!$B$10:$J$36,MATCH('Summary (2)'!AX$8,'Restrainer End'!$B$8:$J$8,0),FALSE)</f>
        <v>3067777</v>
      </c>
      <c r="AY34" s="87">
        <f>VLOOKUP($B34,'Restrainer End'!$B$10:$J$36,MATCH('Summary (2)'!AY$8,'Restrainer End'!$B$8:$J$8,0),FALSE)</f>
        <v>297</v>
      </c>
      <c r="BB34" s="62" t="e">
        <f t="shared" ref="BB34:BB47" ca="1" si="85">Ncr0(H34,R34)</f>
        <v>#NAME?</v>
      </c>
      <c r="BC34" s="199" t="e">
        <f t="shared" ca="1" si="23"/>
        <v>#NAME?</v>
      </c>
      <c r="BD34" s="62" t="e">
        <f t="shared" ca="1" si="24"/>
        <v>#NAME?</v>
      </c>
      <c r="BE34" s="81" t="e">
        <f t="shared" ca="1" si="25"/>
        <v>#NAME?</v>
      </c>
      <c r="BF34" s="553" t="e">
        <f t="shared" ca="1" si="26"/>
        <v>#NAME?</v>
      </c>
      <c r="BG34" s="199" t="e">
        <f t="shared" ca="1" si="27"/>
        <v>#NAME?</v>
      </c>
      <c r="BH34" s="62" t="e">
        <f t="shared" ca="1" si="28"/>
        <v>#NAME?</v>
      </c>
      <c r="BI34" s="81" t="e">
        <f t="shared" ca="1" si="29"/>
        <v>#NAME?</v>
      </c>
      <c r="BJ34" s="553" t="e">
        <f t="shared" ca="1" si="30"/>
        <v>#NAME?</v>
      </c>
      <c r="BK34" s="199" t="e">
        <f t="shared" ca="1" si="31"/>
        <v>#NAME?</v>
      </c>
      <c r="BL34" s="62" t="e">
        <f ca="1">BB34*BK34</f>
        <v>#NAME?</v>
      </c>
      <c r="BM34" s="63"/>
      <c r="BN34" s="137" t="str">
        <f t="shared" ref="BN34:BN47" si="86">IF(ISNUMBER(E34),MIN(BD34,BH34)/E34,E34)</f>
        <v>-</v>
      </c>
      <c r="BO34" s="137" t="e">
        <f t="shared" ref="BO34:BO47" ca="1" si="87">MIN(BD34,BH34)/F34</f>
        <v>#NAME?</v>
      </c>
      <c r="BP34" s="137" t="e">
        <f t="shared" ca="1" si="33"/>
        <v>#NAME?</v>
      </c>
      <c r="BR34" s="62" t="e">
        <f ca="1">Ncr(Mp_Norm($AF34,$AD34),0,$AI34,BC34,BE34)*$BB34</f>
        <v>#NAME?</v>
      </c>
      <c r="BS34" s="199" t="e">
        <f t="shared" ca="1" si="34"/>
        <v>#NAME?</v>
      </c>
      <c r="BT34" s="62" t="e">
        <f ca="1">Ncr(Mp_Norm($AF34,$AD34),0,$AJ34,BG34,BI34)*$BB34</f>
        <v>#NAME?</v>
      </c>
      <c r="BU34" s="199" t="e">
        <f t="shared" ca="1" si="35"/>
        <v>#NAME?</v>
      </c>
      <c r="BV34" s="62" t="e">
        <f t="shared" ca="1" si="16"/>
        <v>#NAME?</v>
      </c>
      <c r="BW34" s="49" t="e">
        <f t="shared" ca="1" si="17"/>
        <v>#VALUE!</v>
      </c>
      <c r="BX34" s="206" t="e">
        <f t="shared" ca="1" si="36"/>
        <v>#VALUE!</v>
      </c>
      <c r="BZ34" s="62" t="e">
        <f t="shared" ca="1" si="37"/>
        <v>#NAME?</v>
      </c>
      <c r="CA34" s="137" t="str">
        <f t="shared" ref="CA34:CA47" si="88">IF(ISNUMBER(E34),BZ34/E34,E34)</f>
        <v>-</v>
      </c>
      <c r="CB34" s="137" t="e">
        <f t="shared" ref="CB34:CB47" ca="1" si="89">BZ34/F34</f>
        <v>#NAME?</v>
      </c>
      <c r="CC34" s="624"/>
      <c r="CD34" s="62"/>
    </row>
    <row r="35" spans="1:82" s="46" customFormat="1" x14ac:dyDescent="0.25">
      <c r="A35" s="326"/>
      <c r="B35" s="429">
        <v>31</v>
      </c>
      <c r="C35" s="638"/>
      <c r="D35" s="6" t="s">
        <v>13</v>
      </c>
      <c r="E35" s="18">
        <f>VLOOKUP($B35,'Core Demand'!$B$8:$E$36,MATCH(E$8,'Core Demand'!$B$8:$E$8,0),FALSE)</f>
        <v>308.88</v>
      </c>
      <c r="F35" s="18">
        <f>VLOOKUP($B35,'Core Demand'!$B$8:$E$36,MATCH(F$8,'Core Demand'!$B$8:$E$8,0),FALSE)</f>
        <v>411.23280000000005</v>
      </c>
      <c r="G35" s="486" t="e">
        <f ca="1">VLOOKUP($B35,'Equiv Connection'!$B$10:$H$36,MATCH('Summary (2)'!G$8,'Equiv Connection'!$B$8:$H$8,0),FALSE)</f>
        <v>#NAME?</v>
      </c>
      <c r="H35" s="104">
        <f>VLOOKUP($B35,'Restrainer End'!$B$10:$J$36,MATCH('Summary (2)'!H$8,'Restrainer End'!$B$8:$J$8,0),FALSE)</f>
        <v>628.89428499999997</v>
      </c>
      <c r="I35" s="104">
        <f>VLOOKUP($B35,'Restrainer End'!$B$10:$J$36,MATCH('Summary (2)'!I$8,'Restrainer End'!$B$8:$J$8,0),FALSE)</f>
        <v>580.86699184599911</v>
      </c>
      <c r="J35" s="104" t="e">
        <f ca="1">VLOOKUP($B35,'Drift&amp;Imperfection'!$B$10:$G$36,MATCH('Summary (2)'!J$8,'Drift&amp;Imperfection'!$B$8:$G$8,0),FALSE)</f>
        <v>#NAME?</v>
      </c>
      <c r="K35" s="104" t="e">
        <f ca="1">VLOOKUP($B35,'Drift&amp;Imperfection'!$B$10:$G$36,MATCH('Summary (2)'!K$8,'Drift&amp;Imperfection'!$B$8:$G$8,0),FALSE)</f>
        <v>#NAME?</v>
      </c>
      <c r="L35" s="265" t="e">
        <f ca="1">VLOOKUP($B35,'Drift&amp;Imperfection'!$B$10:$G$36,MATCH('Summary (2)'!L$8,'Drift&amp;Imperfection'!$B$8:$G$8,0),FALSE)</f>
        <v>#NAME?</v>
      </c>
      <c r="M35" s="265">
        <f>VLOOKUP($B35,'Drift&amp;Imperfection'!$B$10:$G$36,MATCH('Summary (2)'!M$8,'Drift&amp;Imperfection'!$B$8:$G$8,0),FALSE)</f>
        <v>6.6666666666666666E-2</v>
      </c>
      <c r="N35" s="18" t="e">
        <f ca="1">VLOOKUP($B35,Framing!$B$20:$D$46,MATCH('Summary (2)'!N$8,Framing!$B$18:$D$18,0),FALSE)</f>
        <v>#NAME?</v>
      </c>
      <c r="O35" s="18" t="str">
        <f>VLOOKUP($B35,Gusset!$B$10:$E$36,MATCH('Summary (2)'!O$8,Gusset!$B$8:$E$8,0),FALSE)</f>
        <v>∞</v>
      </c>
      <c r="P35" s="18" t="str">
        <f>VLOOKUP($B35,Framing!$B$20:$D$46,MATCH('Summary (2)'!P$8,Framing!$B$18:$D$18,0),FALSE)</f>
        <v>∞</v>
      </c>
      <c r="Q35" s="18" t="str">
        <f>VLOOKUP($B35,Gusset!$B$10:$E$36,MATCH('Summary (2)'!Q$8,Gusset!$B$8:$E$8,0),FALSE)</f>
        <v>∞</v>
      </c>
      <c r="R35" s="486" t="e">
        <f ca="1">VLOOKUP($B35,'Equiv Connection'!$B$10:$H$36,MATCH('Summary (2)'!R$8,'Equiv Connection'!$B$8:$H$8,0),FALSE)</f>
        <v>#NAME?</v>
      </c>
      <c r="S35" s="104" t="e">
        <f ca="1">VLOOKUP($B35,'Equiv Connection'!$B$10:$H$36,MATCH('Summary (2)'!S$8,'Equiv Connection'!$B$8:$H$8,0),FALSE)</f>
        <v>#NAME?</v>
      </c>
      <c r="T35" s="486" t="e">
        <f ca="1">VLOOKUP($B35,'Equiv Connection'!$B$10:$H$36,MATCH('Summary (2)'!T$8,'Equiv Connection'!$B$8:$H$8,0),FALSE)</f>
        <v>#NAME?</v>
      </c>
      <c r="U35" s="104" t="e">
        <f ca="1">VLOOKUP($B35,'Equiv Connection'!$B$10:$H$36,MATCH('Summary (2)'!U$8,'Equiv Connection'!$B$8:$H$8,0),FALSE)</f>
        <v>#NAME?</v>
      </c>
      <c r="V35" s="111">
        <f>VLOOKUP($B35,Gusset!$B$10:$E$36,MATCH('Summary (2)'!V$8,Gusset!$B$8:$E$8,0),FALSE)</f>
        <v>0</v>
      </c>
      <c r="W35" s="111">
        <f>VLOOKUP($B35,Gusset!$B$10:$I$36,MATCH('Summary (2)'!W$8,Gusset!$B$8:$I$8,0),FALSE)</f>
        <v>0</v>
      </c>
      <c r="X35" s="104" t="e">
        <f ca="1">VLOOKUP($B35,'Restrainer End'!$B$10:$J$36,MATCH('Summary (2)'!X$8,'Restrainer End'!$B$8:$J$8,0),FALSE)</f>
        <v>#NAME?</v>
      </c>
      <c r="Y35" s="556" t="e">
        <f ca="1">VLOOKUP($B35,'Restrainer End'!$B$10:$J$36,MATCH('Summary (2)'!Y$8,'Restrainer End'!$B$8:$J$8,0),FALSE)</f>
        <v>#NAME?</v>
      </c>
      <c r="Z35" s="456">
        <f>VLOOKUP($B35,'Restrainer End'!$B$10:$J$36,MATCH('Summary (2)'!Z$8,'Restrainer End'!$B$8:$J$8,0),FALSE)</f>
        <v>6.8587500004228703</v>
      </c>
      <c r="AA35" s="600"/>
      <c r="AB35" s="133">
        <f t="shared" si="75"/>
        <v>1.082682083554739</v>
      </c>
      <c r="AC35" s="133" t="e">
        <f t="shared" ca="1" si="76"/>
        <v>#NAME?</v>
      </c>
      <c r="AD35" s="133" t="e">
        <f t="shared" ca="1" si="77"/>
        <v>#NAME?</v>
      </c>
      <c r="AE35" s="133" t="e">
        <f t="shared" ca="1" si="78"/>
        <v>#NAME?</v>
      </c>
      <c r="AF35" s="132" t="e">
        <f t="shared" ca="1" si="4"/>
        <v>#NAME?</v>
      </c>
      <c r="AG35" s="132" t="e">
        <f t="shared" ca="1" si="5"/>
        <v>#NAME?</v>
      </c>
      <c r="AH35" s="132" t="e">
        <f t="shared" ca="1" si="79"/>
        <v>#NAME?</v>
      </c>
      <c r="AI35" s="132" t="e">
        <f t="shared" ca="1" si="21"/>
        <v>#NAME?</v>
      </c>
      <c r="AJ35" s="474" t="e">
        <f t="shared" ca="1" si="22"/>
        <v>#NAME?</v>
      </c>
      <c r="AK35" s="559">
        <f t="shared" si="80"/>
        <v>1.082682083554739</v>
      </c>
      <c r="AL35" s="559" t="e">
        <f t="shared" ca="1" si="81"/>
        <v>#NAME?</v>
      </c>
      <c r="AM35" s="559" t="e">
        <f t="shared" ca="1" si="82"/>
        <v>#NAME?</v>
      </c>
      <c r="AN35" s="559" t="e">
        <f t="shared" ca="1" si="83"/>
        <v>#NAME?</v>
      </c>
      <c r="AO35" s="560" t="e">
        <f t="shared" ca="1" si="11"/>
        <v>#NAME?</v>
      </c>
      <c r="AP35" s="560" t="e">
        <f t="shared" ca="1" si="12"/>
        <v>#NAME?</v>
      </c>
      <c r="AQ35" s="560" t="e">
        <f t="shared" ca="1" si="84"/>
        <v>#NAME?</v>
      </c>
      <c r="AR35" s="474"/>
      <c r="AT35" s="104" t="e">
        <f>VLOOKUP($B35,Gusset!$B$10:$E$36,MATCH('Summary (2)'!AT$8,Gusset!$B$8:$E$8,0),FALSE)</f>
        <v>#N/A</v>
      </c>
      <c r="AU35" s="104" t="e">
        <f>VLOOKUP($B35,Gusset!$B$10:$E$36,MATCH('Summary (2)'!AU$8,Gusset!$B$8:$E$8,0),FALSE)</f>
        <v>#N/A</v>
      </c>
      <c r="AV35" s="592" t="e">
        <f>VLOOKUP($B35,Gusset!$B$10:$E$36,MATCH('Summary (2)'!AV$8,Gusset!$B$8:$E$8,0),FALSE)</f>
        <v>#N/A</v>
      </c>
      <c r="AW35" s="104">
        <f>VLOOKUP($B35,'Restrainer End'!$B$10:$J$36,MATCH('Summary (2)'!AW$8,'Restrainer End'!$B$8:$J$8,0),FALSE)</f>
        <v>3336</v>
      </c>
      <c r="AX35" s="104">
        <f>VLOOKUP($B35,'Restrainer End'!$B$10:$J$36,MATCH('Summary (2)'!AX$8,'Restrainer End'!$B$8:$J$8,0),FALSE)</f>
        <v>3067777</v>
      </c>
      <c r="AY35" s="104">
        <f>VLOOKUP($B35,'Restrainer End'!$B$10:$J$36,MATCH('Summary (2)'!AY$8,'Restrainer End'!$B$8:$J$8,0),FALSE)</f>
        <v>297</v>
      </c>
      <c r="BB35" s="30" t="e">
        <f t="shared" ca="1" si="85"/>
        <v>#NAME?</v>
      </c>
      <c r="BC35" s="215" t="e">
        <f t="shared" ca="1" si="23"/>
        <v>#NAME?</v>
      </c>
      <c r="BD35" s="30" t="e">
        <f t="shared" ca="1" si="24"/>
        <v>#NAME?</v>
      </c>
      <c r="BE35" s="53" t="e">
        <f t="shared" ca="1" si="25"/>
        <v>#NAME?</v>
      </c>
      <c r="BF35" s="554" t="e">
        <f t="shared" ca="1" si="26"/>
        <v>#NAME?</v>
      </c>
      <c r="BG35" s="215" t="e">
        <f t="shared" ca="1" si="27"/>
        <v>#NAME?</v>
      </c>
      <c r="BH35" s="30" t="e">
        <f t="shared" ca="1" si="28"/>
        <v>#NAME?</v>
      </c>
      <c r="BI35" s="53" t="e">
        <f t="shared" ca="1" si="29"/>
        <v>#NAME?</v>
      </c>
      <c r="BJ35" s="554" t="e">
        <f t="shared" ca="1" si="30"/>
        <v>#NAME?</v>
      </c>
      <c r="BK35" s="215" t="e">
        <f t="shared" ca="1" si="31"/>
        <v>#NAME?</v>
      </c>
      <c r="BL35" s="30" t="e">
        <f ca="1">BB35*BK35</f>
        <v>#NAME?</v>
      </c>
      <c r="BM35" s="36"/>
      <c r="BN35" s="283" t="e">
        <f t="shared" ca="1" si="86"/>
        <v>#NAME?</v>
      </c>
      <c r="BO35" s="283" t="e">
        <f t="shared" ca="1" si="87"/>
        <v>#NAME?</v>
      </c>
      <c r="BP35" s="283" t="e">
        <f t="shared" ca="1" si="33"/>
        <v>#NAME?</v>
      </c>
      <c r="BQ35" s="6"/>
      <c r="BR35" s="30" t="e">
        <f ca="1">Ncr(Mp_Norm($AF35,$AD35),0,$AI35,BC35,BE35)*$BB35</f>
        <v>#NAME?</v>
      </c>
      <c r="BS35" s="215" t="e">
        <f t="shared" ca="1" si="34"/>
        <v>#NAME?</v>
      </c>
      <c r="BT35" s="30" t="e">
        <f ca="1">Ncr(Mp_Norm($AF35,$AD35),0,$AJ35,BG35,BI35)*$BB35</f>
        <v>#NAME?</v>
      </c>
      <c r="BU35" s="215" t="e">
        <f t="shared" ca="1" si="35"/>
        <v>#NAME?</v>
      </c>
      <c r="BV35" s="30" t="e">
        <f t="shared" ca="1" si="16"/>
        <v>#NAME?</v>
      </c>
      <c r="BW35" s="7" t="e">
        <f t="shared" ca="1" si="17"/>
        <v>#VALUE!</v>
      </c>
      <c r="BX35" s="207" t="e">
        <f t="shared" ca="1" si="36"/>
        <v>#VALUE!</v>
      </c>
      <c r="BY35" s="6"/>
      <c r="BZ35" s="30" t="e">
        <f t="shared" ca="1" si="37"/>
        <v>#NAME?</v>
      </c>
      <c r="CA35" s="283" t="e">
        <f t="shared" ca="1" si="88"/>
        <v>#NAME?</v>
      </c>
      <c r="CB35" s="283" t="e">
        <f t="shared" ca="1" si="89"/>
        <v>#NAME?</v>
      </c>
      <c r="CC35" s="63"/>
      <c r="CD35" s="62"/>
    </row>
    <row r="36" spans="1:82" s="46" customFormat="1" ht="15" customHeight="1" x14ac:dyDescent="0.25">
      <c r="A36" s="326"/>
      <c r="B36" s="430">
        <v>40</v>
      </c>
      <c r="C36" s="636" t="s">
        <v>521</v>
      </c>
      <c r="D36" s="289" t="s">
        <v>21</v>
      </c>
      <c r="E36" s="86">
        <f>VLOOKUP($B36,'Core Demand'!$B$8:$E$36,MATCH(E$8,'Core Demand'!$B$8:$E$8,0),FALSE)</f>
        <v>1156</v>
      </c>
      <c r="F36" s="86">
        <f>VLOOKUP($B36,'Core Demand'!$B$8:$E$36,MATCH(F$8,'Core Demand'!$B$8:$E$8,0),FALSE)</f>
        <v>1502.6180400000001</v>
      </c>
      <c r="G36" s="485" t="e">
        <f ca="1">VLOOKUP($B36,'Equiv Connection'!$B$10:$H$36,MATCH('Summary (2)'!G$8,'Equiv Connection'!$B$8:$H$8,0),FALSE)</f>
        <v>#NAME?</v>
      </c>
      <c r="H36" s="87">
        <f>VLOOKUP($B36,'Restrainer End'!$B$10:$J$36,MATCH('Summary (2)'!H$8,'Restrainer End'!$B$8:$J$8,0),FALSE)</f>
        <v>7155.8358995833341</v>
      </c>
      <c r="I36" s="87">
        <f>VLOOKUP($B36,'Restrainer End'!$B$10:$J$36,MATCH('Summary (2)'!I$8,'Restrainer End'!$B$8:$J$8,0),FALSE)</f>
        <v>11919.16576</v>
      </c>
      <c r="J36" s="87" t="e">
        <f ca="1">VLOOKUP($B36,'Drift&amp;Imperfection'!$B$10:$G$36,MATCH('Summary (2)'!J$8,'Drift&amp;Imperfection'!$B$8:$G$8,0),FALSE)</f>
        <v>#NAME?</v>
      </c>
      <c r="K36" s="87" t="e">
        <f ca="1">VLOOKUP($B36,'Drift&amp;Imperfection'!$B$10:$G$36,MATCH('Summary (2)'!K$8,'Drift&amp;Imperfection'!$B$8:$G$8,0),FALSE)</f>
        <v>#NAME?</v>
      </c>
      <c r="L36" s="264" t="e">
        <f ca="1">VLOOKUP($B36,'Drift&amp;Imperfection'!$B$10:$G$36,MATCH('Summary (2)'!L$8,'Drift&amp;Imperfection'!$B$8:$G$8,0),FALSE)</f>
        <v>#NAME?</v>
      </c>
      <c r="M36" s="264">
        <f>VLOOKUP($B36,'Drift&amp;Imperfection'!$B$10:$G$36,MATCH('Summary (2)'!M$8,'Drift&amp;Imperfection'!$B$8:$G$8,0),FALSE)</f>
        <v>1.0526315789473684E-2</v>
      </c>
      <c r="N36" s="86" t="e">
        <f ca="1">VLOOKUP($B36,Framing!$B$20:$D$46,MATCH('Summary (2)'!N$8,Framing!$B$18:$D$18,0),FALSE)</f>
        <v>#NAME?</v>
      </c>
      <c r="O36" s="86">
        <f>VLOOKUP($B36,Gusset!$B$10:$E$36,MATCH('Summary (2)'!O$8,Gusset!$B$8:$E$8,0),FALSE)</f>
        <v>1288.0168269230769</v>
      </c>
      <c r="P36" s="86">
        <f>VLOOKUP($B36,Framing!$B$20:$D$46,MATCH('Summary (2)'!P$8,Framing!$B$18:$D$18,0),FALSE)</f>
        <v>79.152562160890199</v>
      </c>
      <c r="Q36" s="86">
        <f>VLOOKUP($B36,Gusset!$B$10:$E$36,MATCH('Summary (2)'!Q$8,Gusset!$B$8:$E$8,0),FALSE)</f>
        <v>1288.0168269230769</v>
      </c>
      <c r="R36" s="485" t="e">
        <f ca="1">VLOOKUP($B36,'Equiv Connection'!$B$10:$H$36,MATCH('Summary (2)'!R$8,'Equiv Connection'!$B$8:$H$8,0),FALSE)</f>
        <v>#NAME?</v>
      </c>
      <c r="S36" s="87" t="e">
        <f ca="1">VLOOKUP($B36,'Equiv Connection'!$B$10:$H$36,MATCH('Summary (2)'!S$8,'Equiv Connection'!$B$8:$H$8,0),FALSE)</f>
        <v>#NAME?</v>
      </c>
      <c r="T36" s="485" t="e">
        <f ca="1">VLOOKUP($B36,'Equiv Connection'!$B$10:$H$36,MATCH('Summary (2)'!T$8,'Equiv Connection'!$B$8:$H$8,0),FALSE)</f>
        <v>#NAME?</v>
      </c>
      <c r="U36" s="87" t="e">
        <f ca="1">VLOOKUP($B36,'Equiv Connection'!$B$10:$H$36,MATCH('Summary (2)'!U$8,'Equiv Connection'!$B$8:$H$8,0),FALSE)</f>
        <v>#NAME?</v>
      </c>
      <c r="V36" s="108">
        <f>VLOOKUP($B36,Gusset!$B$10:$E$36,MATCH('Summary (2)'!V$8,Gusset!$B$8:$E$8,0),FALSE)</f>
        <v>0</v>
      </c>
      <c r="W36" s="108">
        <f>VLOOKUP($B36,Gusset!$B$10:$I$36,MATCH('Summary (2)'!W$8,Gusset!$B$8:$I$8,0),FALSE)</f>
        <v>0</v>
      </c>
      <c r="X36" s="87" t="e">
        <f ca="1">VLOOKUP($B36,'Restrainer End'!$B$10:$J$36,MATCH('Summary (2)'!X$8,'Restrainer End'!$B$8:$J$8,0),FALSE)</f>
        <v>#NAME?</v>
      </c>
      <c r="Y36" s="108" t="e">
        <f ca="1">VLOOKUP($B36,'Restrainer End'!$B$10:$J$36,MATCH('Summary (2)'!Y$8,'Restrainer End'!$B$8:$J$8,0),FALSE)</f>
        <v>#NAME?</v>
      </c>
      <c r="Z36" s="455">
        <f>VLOOKUP($B36,'Restrainer End'!$B$10:$J$36,MATCH('Summary (2)'!Z$8,'Restrainer End'!$B$8:$J$8,0),FALSE)</f>
        <v>67.535062331344008</v>
      </c>
      <c r="AB36" s="156">
        <f t="shared" si="75"/>
        <v>0.60036382106521979</v>
      </c>
      <c r="AC36" s="156" t="e">
        <f t="shared" ca="1" si="76"/>
        <v>#NAME?</v>
      </c>
      <c r="AD36" s="156" t="e">
        <f t="shared" ca="1" si="77"/>
        <v>#NAME?</v>
      </c>
      <c r="AE36" s="156" t="e">
        <f t="shared" ca="1" si="78"/>
        <v>#NAME?</v>
      </c>
      <c r="AF36" s="155" t="e">
        <f t="shared" ca="1" si="4"/>
        <v>#NAME?</v>
      </c>
      <c r="AG36" s="155" t="e">
        <f t="shared" ca="1" si="5"/>
        <v>#NAME?</v>
      </c>
      <c r="AH36" s="155" t="e">
        <f t="shared" ca="1" si="79"/>
        <v>#NAME?</v>
      </c>
      <c r="AI36" s="155" t="e">
        <f t="shared" ca="1" si="21"/>
        <v>#NAME?</v>
      </c>
      <c r="AJ36" s="473" t="e">
        <f t="shared" ca="1" si="22"/>
        <v>#NAME?</v>
      </c>
      <c r="AK36" s="557">
        <f t="shared" si="80"/>
        <v>0.60036382106521979</v>
      </c>
      <c r="AL36" s="557" t="e">
        <f t="shared" ca="1" si="81"/>
        <v>#NAME?</v>
      </c>
      <c r="AM36" s="557" t="e">
        <f t="shared" ca="1" si="82"/>
        <v>#NAME?</v>
      </c>
      <c r="AN36" s="557" t="e">
        <f t="shared" ca="1" si="83"/>
        <v>#NAME?</v>
      </c>
      <c r="AO36" s="558" t="e">
        <f t="shared" ca="1" si="11"/>
        <v>#NAME?</v>
      </c>
      <c r="AP36" s="558" t="e">
        <f t="shared" ca="1" si="12"/>
        <v>#NAME?</v>
      </c>
      <c r="AQ36" s="558" t="e">
        <f t="shared" ca="1" si="84"/>
        <v>#NAME?</v>
      </c>
      <c r="AR36" s="473"/>
      <c r="AT36" s="87" t="e">
        <f>VLOOKUP($B36,Gusset!$B$10:$E$36,MATCH('Summary (2)'!AT$8,Gusset!$B$8:$E$8,0),FALSE)</f>
        <v>#N/A</v>
      </c>
      <c r="AU36" s="87" t="e">
        <f>VLOOKUP($B36,Gusset!$B$10:$E$36,MATCH('Summary (2)'!AU$8,Gusset!$B$8:$E$8,0),FALSE)</f>
        <v>#N/A</v>
      </c>
      <c r="AV36" s="591" t="e">
        <f>VLOOKUP($B36,Gusset!$B$10:$E$36,MATCH('Summary (2)'!AV$8,Gusset!$B$8:$E$8,0),FALSE)</f>
        <v>#N/A</v>
      </c>
      <c r="AW36" s="87">
        <f>VLOOKUP($B36,'Restrainer End'!$B$10:$J$36,MATCH('Summary (2)'!AW$8,'Restrainer End'!$B$8:$J$8,0),FALSE)</f>
        <v>10279</v>
      </c>
      <c r="AX36" s="87">
        <f>VLOOKUP($B36,'Restrainer End'!$B$10:$J$36,MATCH('Summary (2)'!AX$8,'Restrainer End'!$B$8:$J$8,0),FALSE)</f>
        <v>34906516.583333336</v>
      </c>
      <c r="AY36" s="87">
        <f>VLOOKUP($B36,'Restrainer End'!$B$10:$J$36,MATCH('Summary (2)'!AY$8,'Restrainer End'!$B$8:$J$8,0),FALSE)</f>
        <v>308.19565086300003</v>
      </c>
      <c r="BB36" s="62" t="e">
        <f t="shared" ca="1" si="85"/>
        <v>#NAME?</v>
      </c>
      <c r="BC36" s="199" t="e">
        <f t="shared" ca="1" si="23"/>
        <v>#NAME?</v>
      </c>
      <c r="BD36" s="62" t="e">
        <f t="shared" ca="1" si="24"/>
        <v>#NAME?</v>
      </c>
      <c r="BE36" s="81" t="e">
        <f t="shared" ca="1" si="25"/>
        <v>#NAME?</v>
      </c>
      <c r="BF36" s="553" t="e">
        <f t="shared" ca="1" si="26"/>
        <v>#NAME?</v>
      </c>
      <c r="BG36" s="199" t="e">
        <f t="shared" ca="1" si="27"/>
        <v>#NAME?</v>
      </c>
      <c r="BH36" s="62" t="e">
        <f t="shared" ca="1" si="28"/>
        <v>#NAME?</v>
      </c>
      <c r="BI36" s="81" t="e">
        <f t="shared" ca="1" si="29"/>
        <v>#NAME?</v>
      </c>
      <c r="BJ36" s="553" t="e">
        <f t="shared" ca="1" si="30"/>
        <v>#NAME?</v>
      </c>
      <c r="BK36" s="199" t="e">
        <f t="shared" ca="1" si="31"/>
        <v>#NAME?</v>
      </c>
      <c r="BL36" s="62" t="e">
        <f t="shared" ca="1" si="32"/>
        <v>#NAME?</v>
      </c>
      <c r="BM36" s="63"/>
      <c r="BN36" s="137" t="e">
        <f t="shared" ca="1" si="86"/>
        <v>#NAME?</v>
      </c>
      <c r="BO36" s="137" t="e">
        <f t="shared" ca="1" si="87"/>
        <v>#NAME?</v>
      </c>
      <c r="BP36" s="137" t="e">
        <f t="shared" ca="1" si="33"/>
        <v>#NAME?</v>
      </c>
      <c r="BR36" s="62" t="e">
        <f ca="1">Ncr(Mp_Norm($AF36,$AD36),0,$AI36,BC36,BE36)*$BB36</f>
        <v>#NAME?</v>
      </c>
      <c r="BS36" s="199" t="e">
        <f t="shared" ca="1" si="34"/>
        <v>#NAME?</v>
      </c>
      <c r="BT36" s="62" t="e">
        <f ca="1">Ncr(Mp_Norm($AF36,$AD36),0,$AJ36,BG36,BI36)*$BB36</f>
        <v>#NAME?</v>
      </c>
      <c r="BU36" s="199" t="e">
        <f t="shared" ca="1" si="35"/>
        <v>#NAME?</v>
      </c>
      <c r="BV36" s="62" t="e">
        <f t="shared" ca="1" si="16"/>
        <v>#NAME?</v>
      </c>
      <c r="BW36" s="49" t="e">
        <f t="shared" ca="1" si="17"/>
        <v>#VALUE!</v>
      </c>
      <c r="BX36" s="206" t="e">
        <f t="shared" ca="1" si="36"/>
        <v>#VALUE!</v>
      </c>
      <c r="BZ36" s="62" t="e">
        <f t="shared" ca="1" si="37"/>
        <v>#NAME?</v>
      </c>
      <c r="CA36" s="137" t="e">
        <f t="shared" ca="1" si="88"/>
        <v>#NAME?</v>
      </c>
      <c r="CB36" s="137" t="e">
        <f t="shared" ca="1" si="89"/>
        <v>#NAME?</v>
      </c>
      <c r="CC36" s="63"/>
      <c r="CD36" s="62"/>
    </row>
    <row r="37" spans="1:82" s="46" customFormat="1" x14ac:dyDescent="0.25">
      <c r="A37" s="326"/>
      <c r="B37" s="430">
        <v>41</v>
      </c>
      <c r="C37" s="637"/>
      <c r="D37" s="46" t="s">
        <v>22</v>
      </c>
      <c r="E37" s="86">
        <f>VLOOKUP($B37,'Core Demand'!$B$8:$E$36,MATCH(E$8,'Core Demand'!$B$8:$E$8,0),FALSE)</f>
        <v>1572</v>
      </c>
      <c r="F37" s="86">
        <f>VLOOKUP($B37,'Core Demand'!$B$8:$E$36,MATCH(F$8,'Core Demand'!$B$8:$E$8,0),FALSE)</f>
        <v>1502.6180400000001</v>
      </c>
      <c r="G37" s="485" t="e">
        <f ca="1">VLOOKUP($B37,'Equiv Connection'!$B$10:$H$36,MATCH('Summary (2)'!G$8,'Equiv Connection'!$B$8:$H$8,0),FALSE)</f>
        <v>#NAME?</v>
      </c>
      <c r="H37" s="87">
        <f>VLOOKUP($B37,'Restrainer End'!$B$10:$J$36,MATCH('Summary (2)'!H$8,'Restrainer End'!$B$8:$J$8,0),FALSE)</f>
        <v>7155.8358995833341</v>
      </c>
      <c r="I37" s="87">
        <f>VLOOKUP($B37,'Restrainer End'!$B$10:$J$36,MATCH('Summary (2)'!I$8,'Restrainer End'!$B$8:$J$8,0),FALSE)</f>
        <v>11919.16576</v>
      </c>
      <c r="J37" s="87" t="e">
        <f ca="1">VLOOKUP($B37,'Drift&amp;Imperfection'!$B$10:$G$36,MATCH('Summary (2)'!J$8,'Drift&amp;Imperfection'!$B$8:$G$8,0),FALSE)</f>
        <v>#NAME?</v>
      </c>
      <c r="K37" s="87" t="e">
        <f ca="1">VLOOKUP($B37,'Drift&amp;Imperfection'!$B$10:$G$36,MATCH('Summary (2)'!K$8,'Drift&amp;Imperfection'!$B$8:$G$8,0),FALSE)</f>
        <v>#NAME?</v>
      </c>
      <c r="L37" s="264" t="e">
        <f ca="1">VLOOKUP($B37,'Drift&amp;Imperfection'!$B$10:$G$36,MATCH('Summary (2)'!L$8,'Drift&amp;Imperfection'!$B$8:$G$8,0),FALSE)</f>
        <v>#NAME?</v>
      </c>
      <c r="M37" s="264">
        <f>VLOOKUP($B37,'Drift&amp;Imperfection'!$B$10:$G$36,MATCH('Summary (2)'!M$8,'Drift&amp;Imperfection'!$B$8:$G$8,0),FALSE)</f>
        <v>1.0526315789473684E-2</v>
      </c>
      <c r="N37" s="86" t="e">
        <f ca="1">VLOOKUP($B37,Framing!$B$20:$D$46,MATCH('Summary (2)'!N$8,Framing!$B$18:$D$18,0),FALSE)</f>
        <v>#NAME?</v>
      </c>
      <c r="O37" s="86">
        <f>VLOOKUP($B37,Gusset!$B$10:$E$36,MATCH('Summary (2)'!O$8,Gusset!$B$8:$E$8,0),FALSE)</f>
        <v>1246.6874046022758</v>
      </c>
      <c r="P37" s="86">
        <f>VLOOKUP($B37,Framing!$B$20:$D$46,MATCH('Summary (2)'!P$8,Framing!$B$18:$D$18,0),FALSE)</f>
        <v>79.152562160890199</v>
      </c>
      <c r="Q37" s="86">
        <f>VLOOKUP($B37,Gusset!$B$10:$E$36,MATCH('Summary (2)'!Q$8,Gusset!$B$8:$E$8,0),FALSE)</f>
        <v>1246.6874046022758</v>
      </c>
      <c r="R37" s="485" t="e">
        <f ca="1">VLOOKUP($B37,'Equiv Connection'!$B$10:$H$36,MATCH('Summary (2)'!R$8,'Equiv Connection'!$B$8:$H$8,0),FALSE)</f>
        <v>#NAME?</v>
      </c>
      <c r="S37" s="87" t="e">
        <f ca="1">VLOOKUP($B37,'Equiv Connection'!$B$10:$H$36,MATCH('Summary (2)'!S$8,'Equiv Connection'!$B$8:$H$8,0),FALSE)</f>
        <v>#NAME?</v>
      </c>
      <c r="T37" s="485" t="e">
        <f ca="1">VLOOKUP($B37,'Equiv Connection'!$B$10:$H$36,MATCH('Summary (2)'!T$8,'Equiv Connection'!$B$8:$H$8,0),FALSE)</f>
        <v>#NAME?</v>
      </c>
      <c r="U37" s="87" t="e">
        <f ca="1">VLOOKUP($B37,'Equiv Connection'!$B$10:$H$36,MATCH('Summary (2)'!U$8,'Equiv Connection'!$B$8:$H$8,0),FALSE)</f>
        <v>#NAME?</v>
      </c>
      <c r="V37" s="108">
        <f>VLOOKUP($B37,Gusset!$B$10:$E$36,MATCH('Summary (2)'!V$8,Gusset!$B$8:$E$8,0),FALSE)</f>
        <v>0</v>
      </c>
      <c r="W37" s="108">
        <f>VLOOKUP($B37,Gusset!$B$10:$I$36,MATCH('Summary (2)'!W$8,Gusset!$B$8:$I$8,0),FALSE)</f>
        <v>0</v>
      </c>
      <c r="X37" s="87" t="e">
        <f ca="1">VLOOKUP($B37,'Restrainer End'!$B$10:$J$36,MATCH('Summary (2)'!X$8,'Restrainer End'!$B$8:$J$8,0),FALSE)</f>
        <v>#NAME?</v>
      </c>
      <c r="Y37" s="108" t="e">
        <f ca="1">VLOOKUP($B37,'Restrainer End'!$B$10:$J$36,MATCH('Summary (2)'!Y$8,'Restrainer End'!$B$8:$J$8,0),FALSE)</f>
        <v>#NAME?</v>
      </c>
      <c r="Z37" s="455">
        <f>VLOOKUP($B37,'Restrainer End'!$B$10:$J$36,MATCH('Summary (2)'!Z$8,'Restrainer End'!$B$8:$J$8,0),FALSE)</f>
        <v>67.535062331344008</v>
      </c>
      <c r="AB37" s="156">
        <f t="shared" si="75"/>
        <v>0.60036382106521979</v>
      </c>
      <c r="AC37" s="156" t="e">
        <f t="shared" ca="1" si="76"/>
        <v>#NAME?</v>
      </c>
      <c r="AD37" s="156" t="e">
        <f t="shared" ca="1" si="77"/>
        <v>#NAME?</v>
      </c>
      <c r="AE37" s="156" t="e">
        <f t="shared" ca="1" si="78"/>
        <v>#NAME?</v>
      </c>
      <c r="AF37" s="155" t="e">
        <f t="shared" ca="1" si="4"/>
        <v>#NAME?</v>
      </c>
      <c r="AG37" s="155" t="e">
        <f t="shared" ca="1" si="5"/>
        <v>#NAME?</v>
      </c>
      <c r="AH37" s="155" t="e">
        <f t="shared" ca="1" si="79"/>
        <v>#NAME?</v>
      </c>
      <c r="AI37" s="155" t="e">
        <f t="shared" ca="1" si="21"/>
        <v>#NAME?</v>
      </c>
      <c r="AJ37" s="473" t="e">
        <f t="shared" ca="1" si="22"/>
        <v>#NAME?</v>
      </c>
      <c r="AK37" s="557">
        <f t="shared" si="80"/>
        <v>0.60036382106521979</v>
      </c>
      <c r="AL37" s="557" t="e">
        <f t="shared" ca="1" si="81"/>
        <v>#NAME?</v>
      </c>
      <c r="AM37" s="557" t="e">
        <f t="shared" ca="1" si="82"/>
        <v>#NAME?</v>
      </c>
      <c r="AN37" s="557" t="e">
        <f t="shared" ca="1" si="83"/>
        <v>#NAME?</v>
      </c>
      <c r="AO37" s="558" t="e">
        <f t="shared" ca="1" si="11"/>
        <v>#NAME?</v>
      </c>
      <c r="AP37" s="558" t="e">
        <f t="shared" ca="1" si="12"/>
        <v>#NAME?</v>
      </c>
      <c r="AQ37" s="558" t="e">
        <f t="shared" ca="1" si="84"/>
        <v>#NAME?</v>
      </c>
      <c r="AR37" s="473"/>
      <c r="AT37" s="87" t="e">
        <f>VLOOKUP($B37,Gusset!$B$10:$E$36,MATCH('Summary (2)'!AT$8,Gusset!$B$8:$E$8,0),FALSE)</f>
        <v>#N/A</v>
      </c>
      <c r="AU37" s="87" t="e">
        <f>VLOOKUP($B37,Gusset!$B$10:$E$36,MATCH('Summary (2)'!AU$8,Gusset!$B$8:$E$8,0),FALSE)</f>
        <v>#N/A</v>
      </c>
      <c r="AV37" s="591" t="e">
        <f>VLOOKUP($B37,Gusset!$B$10:$E$36,MATCH('Summary (2)'!AV$8,Gusset!$B$8:$E$8,0),FALSE)</f>
        <v>#N/A</v>
      </c>
      <c r="AW37" s="87">
        <f>VLOOKUP($B37,'Restrainer End'!$B$10:$J$36,MATCH('Summary (2)'!AW$8,'Restrainer End'!$B$8:$J$8,0),FALSE)</f>
        <v>10279</v>
      </c>
      <c r="AX37" s="87">
        <f>VLOOKUP($B37,'Restrainer End'!$B$10:$J$36,MATCH('Summary (2)'!AX$8,'Restrainer End'!$B$8:$J$8,0),FALSE)</f>
        <v>34906516.583333336</v>
      </c>
      <c r="AY37" s="87">
        <f>VLOOKUP($B37,'Restrainer End'!$B$10:$J$36,MATCH('Summary (2)'!AY$8,'Restrainer End'!$B$8:$J$8,0),FALSE)</f>
        <v>308.19565086300003</v>
      </c>
      <c r="BB37" s="62" t="e">
        <f t="shared" ca="1" si="85"/>
        <v>#NAME?</v>
      </c>
      <c r="BC37" s="199" t="e">
        <f t="shared" ca="1" si="23"/>
        <v>#NAME?</v>
      </c>
      <c r="BD37" s="62" t="e">
        <f t="shared" ca="1" si="24"/>
        <v>#NAME?</v>
      </c>
      <c r="BE37" s="81" t="e">
        <f t="shared" ca="1" si="25"/>
        <v>#NAME?</v>
      </c>
      <c r="BF37" s="553" t="e">
        <f t="shared" ca="1" si="26"/>
        <v>#NAME?</v>
      </c>
      <c r="BG37" s="199" t="e">
        <f t="shared" ca="1" si="27"/>
        <v>#NAME?</v>
      </c>
      <c r="BH37" s="62" t="e">
        <f t="shared" ca="1" si="28"/>
        <v>#NAME?</v>
      </c>
      <c r="BI37" s="81" t="e">
        <f t="shared" ca="1" si="29"/>
        <v>#NAME?</v>
      </c>
      <c r="BJ37" s="553" t="e">
        <f t="shared" ca="1" si="30"/>
        <v>#NAME?</v>
      </c>
      <c r="BK37" s="199" t="e">
        <f t="shared" ca="1" si="31"/>
        <v>#NAME?</v>
      </c>
      <c r="BL37" s="62" t="e">
        <f t="shared" ca="1" si="32"/>
        <v>#NAME?</v>
      </c>
      <c r="BM37" s="63"/>
      <c r="BN37" s="137" t="e">
        <f t="shared" ca="1" si="86"/>
        <v>#NAME?</v>
      </c>
      <c r="BO37" s="137" t="e">
        <f t="shared" ca="1" si="87"/>
        <v>#NAME?</v>
      </c>
      <c r="BP37" s="137" t="e">
        <f t="shared" ca="1" si="33"/>
        <v>#NAME?</v>
      </c>
      <c r="BR37" s="62" t="e">
        <f ca="1">Ncr(Mp_Norm($AF37,$AD37),0,$AI37,BC37,BE37)*$BB37</f>
        <v>#NAME?</v>
      </c>
      <c r="BS37" s="199" t="e">
        <f t="shared" ca="1" si="34"/>
        <v>#NAME?</v>
      </c>
      <c r="BT37" s="62" t="e">
        <f ca="1">Ncr(Mp_Norm($AF37,$AD37),0,$AJ37,BG37,BI37)*$BB37</f>
        <v>#NAME?</v>
      </c>
      <c r="BU37" s="199" t="e">
        <f t="shared" ca="1" si="35"/>
        <v>#NAME?</v>
      </c>
      <c r="BV37" s="62" t="e">
        <f t="shared" ca="1" si="16"/>
        <v>#NAME?</v>
      </c>
      <c r="BW37" s="49" t="e">
        <f t="shared" ca="1" si="17"/>
        <v>#VALUE!</v>
      </c>
      <c r="BX37" s="206" t="e">
        <f t="shared" ca="1" si="36"/>
        <v>#VALUE!</v>
      </c>
      <c r="BZ37" s="62" t="e">
        <f t="shared" ca="1" si="37"/>
        <v>#NAME?</v>
      </c>
      <c r="CA37" s="137" t="e">
        <f t="shared" ca="1" si="88"/>
        <v>#NAME?</v>
      </c>
      <c r="CB37" s="137" t="e">
        <f t="shared" ca="1" si="89"/>
        <v>#NAME?</v>
      </c>
      <c r="CC37" s="63"/>
      <c r="CD37" s="62"/>
    </row>
    <row r="38" spans="1:82" s="46" customFormat="1" x14ac:dyDescent="0.25">
      <c r="A38" s="326"/>
      <c r="B38" s="430">
        <v>42</v>
      </c>
      <c r="C38" s="637"/>
      <c r="D38" s="46" t="s">
        <v>23</v>
      </c>
      <c r="E38" s="86">
        <f>VLOOKUP($B38,'Core Demand'!$B$8:$E$36,MATCH(E$8,'Core Demand'!$B$8:$E$8,0),FALSE)</f>
        <v>1541</v>
      </c>
      <c r="F38" s="86">
        <f>VLOOKUP($B38,'Core Demand'!$B$8:$E$36,MATCH(F$8,'Core Demand'!$B$8:$E$8,0),FALSE)</f>
        <v>1502.6180400000001</v>
      </c>
      <c r="G38" s="485" t="e">
        <f ca="1">VLOOKUP($B38,'Equiv Connection'!$B$10:$H$36,MATCH('Summary (2)'!G$8,'Equiv Connection'!$B$8:$H$8,0),FALSE)</f>
        <v>#NAME?</v>
      </c>
      <c r="H38" s="87">
        <f>VLOOKUP($B38,'Restrainer End'!$B$10:$J$36,MATCH('Summary (2)'!H$8,'Restrainer End'!$B$8:$J$8,0),FALSE)</f>
        <v>7155.8358995833341</v>
      </c>
      <c r="I38" s="87">
        <f>VLOOKUP($B38,'Restrainer End'!$B$10:$J$36,MATCH('Summary (2)'!I$8,'Restrainer End'!$B$8:$J$8,0),FALSE)</f>
        <v>11919.16576</v>
      </c>
      <c r="J38" s="87" t="e">
        <f ca="1">VLOOKUP($B38,'Drift&amp;Imperfection'!$B$10:$G$36,MATCH('Summary (2)'!J$8,'Drift&amp;Imperfection'!$B$8:$G$8,0),FALSE)</f>
        <v>#NAME?</v>
      </c>
      <c r="K38" s="87" t="e">
        <f ca="1">VLOOKUP($B38,'Drift&amp;Imperfection'!$B$10:$G$36,MATCH('Summary (2)'!K$8,'Drift&amp;Imperfection'!$B$8:$G$8,0),FALSE)</f>
        <v>#NAME?</v>
      </c>
      <c r="L38" s="264" t="e">
        <f ca="1">VLOOKUP($B38,'Drift&amp;Imperfection'!$B$10:$G$36,MATCH('Summary (2)'!L$8,'Drift&amp;Imperfection'!$B$8:$G$8,0),FALSE)</f>
        <v>#NAME?</v>
      </c>
      <c r="M38" s="264">
        <f>VLOOKUP($B38,'Drift&amp;Imperfection'!$B$10:$G$36,MATCH('Summary (2)'!M$8,'Drift&amp;Imperfection'!$B$8:$G$8,0),FALSE)</f>
        <v>1.0526315789473684E-2</v>
      </c>
      <c r="N38" s="86" t="e">
        <f ca="1">VLOOKUP($B38,Framing!$B$20:$D$46,MATCH('Summary (2)'!N$8,Framing!$B$18:$D$18,0),FALSE)</f>
        <v>#NAME?</v>
      </c>
      <c r="O38" s="86">
        <f>VLOOKUP($B38,Gusset!$B$10:$E$36,MATCH('Summary (2)'!O$8,Gusset!$B$8:$E$8,0),FALSE)</f>
        <v>1246.6874046022758</v>
      </c>
      <c r="P38" s="86">
        <f>VLOOKUP($B38,Framing!$B$20:$D$46,MATCH('Summary (2)'!P$8,Framing!$B$18:$D$18,0),FALSE)</f>
        <v>79.152562160890199</v>
      </c>
      <c r="Q38" s="86">
        <f>VLOOKUP($B38,Gusset!$B$10:$E$36,MATCH('Summary (2)'!Q$8,Gusset!$B$8:$E$8,0),FALSE)</f>
        <v>1246.6874046022758</v>
      </c>
      <c r="R38" s="485" t="e">
        <f ca="1">VLOOKUP($B38,'Equiv Connection'!$B$10:$H$36,MATCH('Summary (2)'!R$8,'Equiv Connection'!$B$8:$H$8,0),FALSE)</f>
        <v>#NAME?</v>
      </c>
      <c r="S38" s="87" t="e">
        <f ca="1">VLOOKUP($B38,'Equiv Connection'!$B$10:$H$36,MATCH('Summary (2)'!S$8,'Equiv Connection'!$B$8:$H$8,0),FALSE)</f>
        <v>#NAME?</v>
      </c>
      <c r="T38" s="485" t="e">
        <f ca="1">VLOOKUP($B38,'Equiv Connection'!$B$10:$H$36,MATCH('Summary (2)'!T$8,'Equiv Connection'!$B$8:$H$8,0),FALSE)</f>
        <v>#NAME?</v>
      </c>
      <c r="U38" s="87" t="e">
        <f ca="1">VLOOKUP($B38,'Equiv Connection'!$B$10:$H$36,MATCH('Summary (2)'!U$8,'Equiv Connection'!$B$8:$H$8,0),FALSE)</f>
        <v>#NAME?</v>
      </c>
      <c r="V38" s="108">
        <f>VLOOKUP($B38,Gusset!$B$10:$E$36,MATCH('Summary (2)'!V$8,Gusset!$B$8:$E$8,0),FALSE)</f>
        <v>0</v>
      </c>
      <c r="W38" s="108">
        <f>VLOOKUP($B38,Gusset!$B$10:$I$36,MATCH('Summary (2)'!W$8,Gusset!$B$8:$I$8,0),FALSE)</f>
        <v>0</v>
      </c>
      <c r="X38" s="87" t="e">
        <f ca="1">VLOOKUP($B38,'Restrainer End'!$B$10:$J$36,MATCH('Summary (2)'!X$8,'Restrainer End'!$B$8:$J$8,0),FALSE)</f>
        <v>#NAME?</v>
      </c>
      <c r="Y38" s="108" t="e">
        <f ca="1">VLOOKUP($B38,'Restrainer End'!$B$10:$J$36,MATCH('Summary (2)'!Y$8,'Restrainer End'!$B$8:$J$8,0),FALSE)</f>
        <v>#NAME?</v>
      </c>
      <c r="Z38" s="455">
        <f>VLOOKUP($B38,'Restrainer End'!$B$10:$J$36,MATCH('Summary (2)'!Z$8,'Restrainer End'!$B$8:$J$8,0),FALSE)</f>
        <v>67.535062331344008</v>
      </c>
      <c r="AB38" s="156">
        <f t="shared" si="75"/>
        <v>0.60036382106521979</v>
      </c>
      <c r="AC38" s="156" t="e">
        <f t="shared" ca="1" si="76"/>
        <v>#NAME?</v>
      </c>
      <c r="AD38" s="156" t="e">
        <f t="shared" ca="1" si="77"/>
        <v>#NAME?</v>
      </c>
      <c r="AE38" s="156" t="e">
        <f t="shared" ca="1" si="78"/>
        <v>#NAME?</v>
      </c>
      <c r="AF38" s="155" t="e">
        <f t="shared" ca="1" si="4"/>
        <v>#NAME?</v>
      </c>
      <c r="AG38" s="155" t="e">
        <f t="shared" ca="1" si="5"/>
        <v>#NAME?</v>
      </c>
      <c r="AH38" s="155" t="e">
        <f t="shared" ca="1" si="79"/>
        <v>#NAME?</v>
      </c>
      <c r="AI38" s="155" t="e">
        <f t="shared" ca="1" si="21"/>
        <v>#NAME?</v>
      </c>
      <c r="AJ38" s="473" t="e">
        <f t="shared" ca="1" si="22"/>
        <v>#NAME?</v>
      </c>
      <c r="AK38" s="557">
        <f t="shared" si="80"/>
        <v>0.60036382106521979</v>
      </c>
      <c r="AL38" s="557" t="e">
        <f t="shared" ca="1" si="81"/>
        <v>#NAME?</v>
      </c>
      <c r="AM38" s="557" t="e">
        <f t="shared" ca="1" si="82"/>
        <v>#NAME?</v>
      </c>
      <c r="AN38" s="557" t="e">
        <f t="shared" ca="1" si="83"/>
        <v>#NAME?</v>
      </c>
      <c r="AO38" s="558" t="e">
        <f t="shared" ca="1" si="11"/>
        <v>#NAME?</v>
      </c>
      <c r="AP38" s="558" t="e">
        <f t="shared" ca="1" si="12"/>
        <v>#NAME?</v>
      </c>
      <c r="AQ38" s="558" t="e">
        <f t="shared" ca="1" si="84"/>
        <v>#NAME?</v>
      </c>
      <c r="AR38" s="473"/>
      <c r="AT38" s="87" t="e">
        <f>VLOOKUP($B38,Gusset!$B$10:$E$36,MATCH('Summary (2)'!AT$8,Gusset!$B$8:$E$8,0),FALSE)</f>
        <v>#N/A</v>
      </c>
      <c r="AU38" s="87" t="e">
        <f>VLOOKUP($B38,Gusset!$B$10:$E$36,MATCH('Summary (2)'!AU$8,Gusset!$B$8:$E$8,0),FALSE)</f>
        <v>#N/A</v>
      </c>
      <c r="AV38" s="591" t="e">
        <f>VLOOKUP($B38,Gusset!$B$10:$E$36,MATCH('Summary (2)'!AV$8,Gusset!$B$8:$E$8,0),FALSE)</f>
        <v>#N/A</v>
      </c>
      <c r="AW38" s="87">
        <f>VLOOKUP($B38,'Restrainer End'!$B$10:$J$36,MATCH('Summary (2)'!AW$8,'Restrainer End'!$B$8:$J$8,0),FALSE)</f>
        <v>10279</v>
      </c>
      <c r="AX38" s="87">
        <f>VLOOKUP($B38,'Restrainer End'!$B$10:$J$36,MATCH('Summary (2)'!AX$8,'Restrainer End'!$B$8:$J$8,0),FALSE)</f>
        <v>34906516.583333336</v>
      </c>
      <c r="AY38" s="87">
        <f>VLOOKUP($B38,'Restrainer End'!$B$10:$J$36,MATCH('Summary (2)'!AY$8,'Restrainer End'!$B$8:$J$8,0),FALSE)</f>
        <v>308.19565086300003</v>
      </c>
      <c r="BB38" s="62" t="e">
        <f t="shared" ca="1" si="85"/>
        <v>#NAME?</v>
      </c>
      <c r="BC38" s="199" t="e">
        <f t="shared" ca="1" si="23"/>
        <v>#NAME?</v>
      </c>
      <c r="BD38" s="62" t="e">
        <f t="shared" ca="1" si="24"/>
        <v>#NAME?</v>
      </c>
      <c r="BE38" s="81" t="e">
        <f t="shared" ca="1" si="25"/>
        <v>#NAME?</v>
      </c>
      <c r="BF38" s="553" t="e">
        <f t="shared" ca="1" si="26"/>
        <v>#NAME?</v>
      </c>
      <c r="BG38" s="199" t="e">
        <f t="shared" ca="1" si="27"/>
        <v>#NAME?</v>
      </c>
      <c r="BH38" s="62" t="e">
        <f t="shared" ca="1" si="28"/>
        <v>#NAME?</v>
      </c>
      <c r="BI38" s="81" t="e">
        <f t="shared" ca="1" si="29"/>
        <v>#NAME?</v>
      </c>
      <c r="BJ38" s="553" t="e">
        <f t="shared" ca="1" si="30"/>
        <v>#NAME?</v>
      </c>
      <c r="BK38" s="199" t="e">
        <f t="shared" ca="1" si="31"/>
        <v>#NAME?</v>
      </c>
      <c r="BL38" s="62" t="e">
        <f t="shared" ca="1" si="32"/>
        <v>#NAME?</v>
      </c>
      <c r="BM38" s="63"/>
      <c r="BN38" s="137" t="e">
        <f t="shared" ca="1" si="86"/>
        <v>#NAME?</v>
      </c>
      <c r="BO38" s="137" t="e">
        <f t="shared" ca="1" si="87"/>
        <v>#NAME?</v>
      </c>
      <c r="BP38" s="137" t="e">
        <f t="shared" ca="1" si="33"/>
        <v>#NAME?</v>
      </c>
      <c r="BR38" s="62" t="e">
        <f ca="1">Ncr(Mp_Norm($AF38,$AD38),0,$AI38,BC38,BE38)*$BB38</f>
        <v>#NAME?</v>
      </c>
      <c r="BS38" s="199" t="e">
        <f t="shared" ca="1" si="34"/>
        <v>#NAME?</v>
      </c>
      <c r="BT38" s="62" t="e">
        <f ca="1">Ncr(Mp_Norm($AF38,$AD38),0,$AJ38,BG38,BI38)*$BB38</f>
        <v>#NAME?</v>
      </c>
      <c r="BU38" s="199" t="e">
        <f t="shared" ca="1" si="35"/>
        <v>#NAME?</v>
      </c>
      <c r="BV38" s="62" t="e">
        <f t="shared" ca="1" si="16"/>
        <v>#NAME?</v>
      </c>
      <c r="BW38" s="49" t="e">
        <f t="shared" ca="1" si="17"/>
        <v>#VALUE!</v>
      </c>
      <c r="BX38" s="206" t="e">
        <f t="shared" ca="1" si="36"/>
        <v>#VALUE!</v>
      </c>
      <c r="BZ38" s="62" t="e">
        <f t="shared" ca="1" si="37"/>
        <v>#NAME?</v>
      </c>
      <c r="CA38" s="137" t="e">
        <f t="shared" ca="1" si="88"/>
        <v>#NAME?</v>
      </c>
      <c r="CB38" s="137" t="e">
        <f t="shared" ca="1" si="89"/>
        <v>#NAME?</v>
      </c>
      <c r="CC38" s="63"/>
      <c r="CD38" s="62"/>
    </row>
    <row r="39" spans="1:82" s="46" customFormat="1" x14ac:dyDescent="0.25">
      <c r="A39" s="326"/>
      <c r="B39" s="430">
        <v>43</v>
      </c>
      <c r="C39" s="637"/>
      <c r="D39" s="46" t="s">
        <v>24</v>
      </c>
      <c r="E39" s="86">
        <f>VLOOKUP($B39,'Core Demand'!$B$8:$E$36,MATCH(E$8,'Core Demand'!$B$8:$E$8,0),FALSE)</f>
        <v>989</v>
      </c>
      <c r="F39" s="86">
        <f>VLOOKUP($B39,'Core Demand'!$B$8:$E$36,MATCH(F$8,'Core Demand'!$B$8:$E$8,0),FALSE)</f>
        <v>1502.6180400000001</v>
      </c>
      <c r="G39" s="485" t="e">
        <f ca="1">VLOOKUP($B39,'Equiv Connection'!$B$10:$H$36,MATCH('Summary (2)'!G$8,'Equiv Connection'!$B$8:$H$8,0),FALSE)</f>
        <v>#NAME?</v>
      </c>
      <c r="H39" s="87">
        <f>VLOOKUP($B39,'Restrainer End'!$B$10:$J$36,MATCH('Summary (2)'!H$8,'Restrainer End'!$B$8:$J$8,0),FALSE)</f>
        <v>7155.8358995833341</v>
      </c>
      <c r="I39" s="87">
        <f>VLOOKUP($B39,'Restrainer End'!$B$10:$J$36,MATCH('Summary (2)'!I$8,'Restrainer End'!$B$8:$J$8,0),FALSE)</f>
        <v>11919.16576</v>
      </c>
      <c r="J39" s="87" t="e">
        <f ca="1">VLOOKUP($B39,'Drift&amp;Imperfection'!$B$10:$G$36,MATCH('Summary (2)'!J$8,'Drift&amp;Imperfection'!$B$8:$G$8,0),FALSE)</f>
        <v>#NAME?</v>
      </c>
      <c r="K39" s="87" t="e">
        <f ca="1">VLOOKUP($B39,'Drift&amp;Imperfection'!$B$10:$G$36,MATCH('Summary (2)'!K$8,'Drift&amp;Imperfection'!$B$8:$G$8,0),FALSE)</f>
        <v>#NAME?</v>
      </c>
      <c r="L39" s="264" t="e">
        <f ca="1">VLOOKUP($B39,'Drift&amp;Imperfection'!$B$10:$G$36,MATCH('Summary (2)'!L$8,'Drift&amp;Imperfection'!$B$8:$G$8,0),FALSE)</f>
        <v>#NAME?</v>
      </c>
      <c r="M39" s="264">
        <f>VLOOKUP($B39,'Drift&amp;Imperfection'!$B$10:$G$36,MATCH('Summary (2)'!M$8,'Drift&amp;Imperfection'!$B$8:$G$8,0),FALSE)</f>
        <v>1.0526315789473684E-2</v>
      </c>
      <c r="N39" s="86" t="e">
        <f ca="1">VLOOKUP($B39,Framing!$B$20:$D$46,MATCH('Summary (2)'!N$8,Framing!$B$18:$D$18,0),FALSE)</f>
        <v>#NAME?</v>
      </c>
      <c r="O39" s="86">
        <f>VLOOKUP($B39,Gusset!$B$10:$E$36,MATCH('Summary (2)'!O$8,Gusset!$B$8:$E$8,0),FALSE)</f>
        <v>1246.6874046022758</v>
      </c>
      <c r="P39" s="86">
        <f>VLOOKUP($B39,Framing!$B$20:$D$46,MATCH('Summary (2)'!P$8,Framing!$B$18:$D$18,0),FALSE)</f>
        <v>79.152562160890199</v>
      </c>
      <c r="Q39" s="86">
        <f>VLOOKUP($B39,Gusset!$B$10:$E$36,MATCH('Summary (2)'!Q$8,Gusset!$B$8:$E$8,0),FALSE)</f>
        <v>1246.6874046022758</v>
      </c>
      <c r="R39" s="485" t="e">
        <f ca="1">VLOOKUP($B39,'Equiv Connection'!$B$10:$H$36,MATCH('Summary (2)'!R$8,'Equiv Connection'!$B$8:$H$8,0),FALSE)</f>
        <v>#NAME?</v>
      </c>
      <c r="S39" s="87" t="e">
        <f ca="1">VLOOKUP($B39,'Equiv Connection'!$B$10:$H$36,MATCH('Summary (2)'!S$8,'Equiv Connection'!$B$8:$H$8,0),FALSE)</f>
        <v>#NAME?</v>
      </c>
      <c r="T39" s="485" t="e">
        <f ca="1">VLOOKUP($B39,'Equiv Connection'!$B$10:$H$36,MATCH('Summary (2)'!T$8,'Equiv Connection'!$B$8:$H$8,0),FALSE)</f>
        <v>#NAME?</v>
      </c>
      <c r="U39" s="87" t="e">
        <f ca="1">VLOOKUP($B39,'Equiv Connection'!$B$10:$H$36,MATCH('Summary (2)'!U$8,'Equiv Connection'!$B$8:$H$8,0),FALSE)</f>
        <v>#NAME?</v>
      </c>
      <c r="V39" s="108">
        <f>VLOOKUP($B39,Gusset!$B$10:$E$36,MATCH('Summary (2)'!V$8,Gusset!$B$8:$E$8,0),FALSE)</f>
        <v>0</v>
      </c>
      <c r="W39" s="108">
        <f>VLOOKUP($B39,Gusset!$B$10:$I$36,MATCH('Summary (2)'!W$8,Gusset!$B$8:$I$8,0),FALSE)</f>
        <v>0</v>
      </c>
      <c r="X39" s="87" t="e">
        <f ca="1">VLOOKUP($B39,'Restrainer End'!$B$10:$J$36,MATCH('Summary (2)'!X$8,'Restrainer End'!$B$8:$J$8,0),FALSE)</f>
        <v>#NAME?</v>
      </c>
      <c r="Y39" s="108" t="e">
        <f ca="1">VLOOKUP($B39,'Restrainer End'!$B$10:$J$36,MATCH('Summary (2)'!Y$8,'Restrainer End'!$B$8:$J$8,0),FALSE)</f>
        <v>#NAME?</v>
      </c>
      <c r="Z39" s="455">
        <f>VLOOKUP($B39,'Restrainer End'!$B$10:$J$36,MATCH('Summary (2)'!Z$8,'Restrainer End'!$B$8:$J$8,0),FALSE)</f>
        <v>67.535062331344008</v>
      </c>
      <c r="AB39" s="156">
        <f t="shared" si="75"/>
        <v>0.60036382106521979</v>
      </c>
      <c r="AC39" s="156" t="e">
        <f t="shared" ca="1" si="76"/>
        <v>#NAME?</v>
      </c>
      <c r="AD39" s="156" t="e">
        <f t="shared" ca="1" si="77"/>
        <v>#NAME?</v>
      </c>
      <c r="AE39" s="156" t="e">
        <f t="shared" ca="1" si="78"/>
        <v>#NAME?</v>
      </c>
      <c r="AF39" s="155" t="e">
        <f t="shared" ca="1" si="4"/>
        <v>#NAME?</v>
      </c>
      <c r="AG39" s="155" t="e">
        <f t="shared" ca="1" si="5"/>
        <v>#NAME?</v>
      </c>
      <c r="AH39" s="155" t="e">
        <f t="shared" ca="1" si="79"/>
        <v>#NAME?</v>
      </c>
      <c r="AI39" s="155" t="e">
        <f t="shared" ca="1" si="21"/>
        <v>#NAME?</v>
      </c>
      <c r="AJ39" s="473" t="e">
        <f t="shared" ca="1" si="22"/>
        <v>#NAME?</v>
      </c>
      <c r="AK39" s="557">
        <f t="shared" si="80"/>
        <v>0.60036382106521979</v>
      </c>
      <c r="AL39" s="557" t="e">
        <f t="shared" ca="1" si="81"/>
        <v>#NAME?</v>
      </c>
      <c r="AM39" s="557" t="e">
        <f t="shared" ca="1" si="82"/>
        <v>#NAME?</v>
      </c>
      <c r="AN39" s="557" t="e">
        <f t="shared" ca="1" si="83"/>
        <v>#NAME?</v>
      </c>
      <c r="AO39" s="558" t="e">
        <f t="shared" ca="1" si="11"/>
        <v>#NAME?</v>
      </c>
      <c r="AP39" s="558" t="e">
        <f t="shared" ca="1" si="12"/>
        <v>#NAME?</v>
      </c>
      <c r="AQ39" s="558" t="e">
        <f t="shared" ca="1" si="84"/>
        <v>#NAME?</v>
      </c>
      <c r="AR39" s="473"/>
      <c r="AT39" s="87" t="e">
        <f>VLOOKUP($B39,Gusset!$B$10:$E$36,MATCH('Summary (2)'!AT$8,Gusset!$B$8:$E$8,0),FALSE)</f>
        <v>#N/A</v>
      </c>
      <c r="AU39" s="87" t="e">
        <f>VLOOKUP($B39,Gusset!$B$10:$E$36,MATCH('Summary (2)'!AU$8,Gusset!$B$8:$E$8,0),FALSE)</f>
        <v>#N/A</v>
      </c>
      <c r="AV39" s="591" t="e">
        <f>VLOOKUP($B39,Gusset!$B$10:$E$36,MATCH('Summary (2)'!AV$8,Gusset!$B$8:$E$8,0),FALSE)</f>
        <v>#N/A</v>
      </c>
      <c r="AW39" s="87">
        <f>VLOOKUP($B39,'Restrainer End'!$B$10:$J$36,MATCH('Summary (2)'!AW$8,'Restrainer End'!$B$8:$J$8,0),FALSE)</f>
        <v>10279</v>
      </c>
      <c r="AX39" s="87">
        <f>VLOOKUP($B39,'Restrainer End'!$B$10:$J$36,MATCH('Summary (2)'!AX$8,'Restrainer End'!$B$8:$J$8,0),FALSE)</f>
        <v>34906516.583333336</v>
      </c>
      <c r="AY39" s="87">
        <f>VLOOKUP($B39,'Restrainer End'!$B$10:$J$36,MATCH('Summary (2)'!AY$8,'Restrainer End'!$B$8:$J$8,0),FALSE)</f>
        <v>308.19565086300003</v>
      </c>
      <c r="BB39" s="62" t="e">
        <f t="shared" ca="1" si="85"/>
        <v>#NAME?</v>
      </c>
      <c r="BC39" s="199" t="e">
        <f t="shared" ca="1" si="23"/>
        <v>#NAME?</v>
      </c>
      <c r="BD39" s="62" t="e">
        <f t="shared" ca="1" si="24"/>
        <v>#NAME?</v>
      </c>
      <c r="BE39" s="81" t="e">
        <f t="shared" ca="1" si="25"/>
        <v>#NAME?</v>
      </c>
      <c r="BF39" s="553" t="e">
        <f t="shared" ca="1" si="26"/>
        <v>#NAME?</v>
      </c>
      <c r="BG39" s="199" t="e">
        <f t="shared" ca="1" si="27"/>
        <v>#NAME?</v>
      </c>
      <c r="BH39" s="62" t="e">
        <f t="shared" ca="1" si="28"/>
        <v>#NAME?</v>
      </c>
      <c r="BI39" s="81" t="e">
        <f t="shared" ca="1" si="29"/>
        <v>#NAME?</v>
      </c>
      <c r="BJ39" s="553" t="e">
        <f t="shared" ca="1" si="30"/>
        <v>#NAME?</v>
      </c>
      <c r="BK39" s="199" t="e">
        <f t="shared" ca="1" si="31"/>
        <v>#NAME?</v>
      </c>
      <c r="BL39" s="62" t="e">
        <f t="shared" ca="1" si="32"/>
        <v>#NAME?</v>
      </c>
      <c r="BM39" s="63"/>
      <c r="BN39" s="137" t="e">
        <f t="shared" ca="1" si="86"/>
        <v>#NAME?</v>
      </c>
      <c r="BO39" s="137" t="e">
        <f t="shared" ca="1" si="87"/>
        <v>#NAME?</v>
      </c>
      <c r="BP39" s="137" t="e">
        <f t="shared" ca="1" si="33"/>
        <v>#NAME?</v>
      </c>
      <c r="BR39" s="62" t="e">
        <f ca="1">Ncr(Mp_Norm($AF39,$AD39),0,$AI39,BC39,BE39)*$BB39</f>
        <v>#NAME?</v>
      </c>
      <c r="BS39" s="199" t="e">
        <f t="shared" ca="1" si="34"/>
        <v>#NAME?</v>
      </c>
      <c r="BT39" s="62" t="e">
        <f ca="1">Ncr(Mp_Norm($AF39,$AD39),0,$AJ39,BG39,BI39)*$BB39</f>
        <v>#NAME?</v>
      </c>
      <c r="BU39" s="199" t="e">
        <f t="shared" ca="1" si="35"/>
        <v>#NAME?</v>
      </c>
      <c r="BV39" s="62" t="e">
        <f t="shared" ca="1" si="16"/>
        <v>#NAME?</v>
      </c>
      <c r="BW39" s="49" t="e">
        <f t="shared" ca="1" si="17"/>
        <v>#VALUE!</v>
      </c>
      <c r="BX39" s="206" t="e">
        <f t="shared" ca="1" si="36"/>
        <v>#VALUE!</v>
      </c>
      <c r="BZ39" s="62" t="e">
        <f t="shared" ca="1" si="37"/>
        <v>#NAME?</v>
      </c>
      <c r="CA39" s="137" t="e">
        <f t="shared" ca="1" si="88"/>
        <v>#NAME?</v>
      </c>
      <c r="CB39" s="137" t="e">
        <f t="shared" ca="1" si="89"/>
        <v>#NAME?</v>
      </c>
      <c r="CC39" s="63"/>
      <c r="CD39" s="62"/>
    </row>
    <row r="40" spans="1:82" s="46" customFormat="1" x14ac:dyDescent="0.25">
      <c r="A40" s="326"/>
      <c r="B40" s="430">
        <v>44</v>
      </c>
      <c r="C40" s="637"/>
      <c r="D40" s="46" t="s">
        <v>172</v>
      </c>
      <c r="E40" s="86">
        <f>VLOOKUP($B40,'Core Demand'!$B$8:$E$36,MATCH(E$8,'Core Demand'!$B$8:$E$8,0),FALSE)</f>
        <v>1585</v>
      </c>
      <c r="F40" s="86">
        <f>VLOOKUP($B40,'Core Demand'!$B$8:$E$36,MATCH(F$8,'Core Demand'!$B$8:$E$8,0),FALSE)</f>
        <v>1502.6180400000001</v>
      </c>
      <c r="G40" s="485" t="e">
        <f ca="1">VLOOKUP($B40,'Equiv Connection'!$B$10:$H$36,MATCH('Summary (2)'!G$8,'Equiv Connection'!$B$8:$H$8,0),FALSE)</f>
        <v>#NAME?</v>
      </c>
      <c r="H40" s="87">
        <f>VLOOKUP($B40,'Restrainer End'!$B$10:$J$36,MATCH('Summary (2)'!H$8,'Restrainer End'!$B$8:$J$8,0),FALSE)</f>
        <v>7155.8358995833341</v>
      </c>
      <c r="I40" s="87">
        <f>VLOOKUP($B40,'Restrainer End'!$B$10:$J$36,MATCH('Summary (2)'!I$8,'Restrainer End'!$B$8:$J$8,0),FALSE)</f>
        <v>11919.16576</v>
      </c>
      <c r="J40" s="87" t="e">
        <f ca="1">VLOOKUP($B40,'Drift&amp;Imperfection'!$B$10:$G$36,MATCH('Summary (2)'!J$8,'Drift&amp;Imperfection'!$B$8:$G$8,0),FALSE)</f>
        <v>#NAME?</v>
      </c>
      <c r="K40" s="87" t="e">
        <f ca="1">VLOOKUP($B40,'Drift&amp;Imperfection'!$B$10:$G$36,MATCH('Summary (2)'!K$8,'Drift&amp;Imperfection'!$B$8:$G$8,0),FALSE)</f>
        <v>#NAME?</v>
      </c>
      <c r="L40" s="264" t="e">
        <f ca="1">VLOOKUP($B40,'Drift&amp;Imperfection'!$B$10:$G$36,MATCH('Summary (2)'!L$8,'Drift&amp;Imperfection'!$B$8:$G$8,0),FALSE)</f>
        <v>#NAME?</v>
      </c>
      <c r="M40" s="264">
        <f>VLOOKUP($B40,'Drift&amp;Imperfection'!$B$10:$G$36,MATCH('Summary (2)'!M$8,'Drift&amp;Imperfection'!$B$8:$G$8,0),FALSE)</f>
        <v>1.0526315789473684E-2</v>
      </c>
      <c r="N40" s="86" t="e">
        <f ca="1">VLOOKUP($B40,Framing!$B$20:$D$46,MATCH('Summary (2)'!N$8,Framing!$B$18:$D$18,0),FALSE)</f>
        <v>#NAME?</v>
      </c>
      <c r="O40" s="86">
        <f>VLOOKUP($B40,Gusset!$B$10:$E$36,MATCH('Summary (2)'!O$8,Gusset!$B$8:$E$8,0),FALSE)</f>
        <v>1246.6874046022758</v>
      </c>
      <c r="P40" s="86">
        <f>VLOOKUP($B40,Framing!$B$20:$D$46,MATCH('Summary (2)'!P$8,Framing!$B$18:$D$18,0),FALSE)</f>
        <v>79.152562160890199</v>
      </c>
      <c r="Q40" s="86">
        <f>VLOOKUP($B40,Gusset!$B$10:$E$36,MATCH('Summary (2)'!Q$8,Gusset!$B$8:$E$8,0),FALSE)</f>
        <v>1246.6874046022758</v>
      </c>
      <c r="R40" s="485" t="e">
        <f ca="1">VLOOKUP($B40,'Equiv Connection'!$B$10:$H$36,MATCH('Summary (2)'!R$8,'Equiv Connection'!$B$8:$H$8,0),FALSE)</f>
        <v>#NAME?</v>
      </c>
      <c r="S40" s="87" t="e">
        <f ca="1">VLOOKUP($B40,'Equiv Connection'!$B$10:$H$36,MATCH('Summary (2)'!S$8,'Equiv Connection'!$B$8:$H$8,0),FALSE)</f>
        <v>#NAME?</v>
      </c>
      <c r="T40" s="485" t="e">
        <f ca="1">VLOOKUP($B40,'Equiv Connection'!$B$10:$H$36,MATCH('Summary (2)'!T$8,'Equiv Connection'!$B$8:$H$8,0),FALSE)</f>
        <v>#NAME?</v>
      </c>
      <c r="U40" s="87" t="e">
        <f ca="1">VLOOKUP($B40,'Equiv Connection'!$B$10:$H$36,MATCH('Summary (2)'!U$8,'Equiv Connection'!$B$8:$H$8,0),FALSE)</f>
        <v>#NAME?</v>
      </c>
      <c r="V40" s="108">
        <f>VLOOKUP($B40,Gusset!$B$10:$E$36,MATCH('Summary (2)'!V$8,Gusset!$B$8:$E$8,0),FALSE)</f>
        <v>0</v>
      </c>
      <c r="W40" s="108">
        <f>VLOOKUP($B40,Gusset!$B$10:$I$36,MATCH('Summary (2)'!W$8,Gusset!$B$8:$I$8,0),FALSE)</f>
        <v>0</v>
      </c>
      <c r="X40" s="87" t="e">
        <f ca="1">VLOOKUP($B40,'Restrainer End'!$B$10:$J$36,MATCH('Summary (2)'!X$8,'Restrainer End'!$B$8:$J$8,0),FALSE)</f>
        <v>#NAME?</v>
      </c>
      <c r="Y40" s="108" t="e">
        <f ca="1">VLOOKUP($B40,'Restrainer End'!$B$10:$J$36,MATCH('Summary (2)'!Y$8,'Restrainer End'!$B$8:$J$8,0),FALSE)</f>
        <v>#NAME?</v>
      </c>
      <c r="Z40" s="455">
        <f>VLOOKUP($B40,'Restrainer End'!$B$10:$J$36,MATCH('Summary (2)'!Z$8,'Restrainer End'!$B$8:$J$8,0),FALSE)</f>
        <v>67.535062331344008</v>
      </c>
      <c r="AB40" s="156">
        <f t="shared" si="75"/>
        <v>0.60036382106521979</v>
      </c>
      <c r="AC40" s="156" t="e">
        <f t="shared" ca="1" si="76"/>
        <v>#NAME?</v>
      </c>
      <c r="AD40" s="156" t="e">
        <f t="shared" ca="1" si="77"/>
        <v>#NAME?</v>
      </c>
      <c r="AE40" s="156" t="e">
        <f t="shared" ca="1" si="78"/>
        <v>#NAME?</v>
      </c>
      <c r="AF40" s="155" t="e">
        <f t="shared" ca="1" si="4"/>
        <v>#NAME?</v>
      </c>
      <c r="AG40" s="155" t="e">
        <f t="shared" ca="1" si="5"/>
        <v>#NAME?</v>
      </c>
      <c r="AH40" s="155" t="e">
        <f t="shared" ca="1" si="79"/>
        <v>#NAME?</v>
      </c>
      <c r="AI40" s="155" t="e">
        <f t="shared" ca="1" si="21"/>
        <v>#NAME?</v>
      </c>
      <c r="AJ40" s="473" t="e">
        <f t="shared" ca="1" si="22"/>
        <v>#NAME?</v>
      </c>
      <c r="AK40" s="557">
        <f t="shared" si="80"/>
        <v>0.60036382106521979</v>
      </c>
      <c r="AL40" s="557" t="e">
        <f t="shared" ca="1" si="81"/>
        <v>#NAME?</v>
      </c>
      <c r="AM40" s="557" t="e">
        <f t="shared" ca="1" si="82"/>
        <v>#NAME?</v>
      </c>
      <c r="AN40" s="557" t="e">
        <f t="shared" ca="1" si="83"/>
        <v>#NAME?</v>
      </c>
      <c r="AO40" s="558" t="e">
        <f t="shared" ca="1" si="11"/>
        <v>#NAME?</v>
      </c>
      <c r="AP40" s="558" t="e">
        <f t="shared" ca="1" si="12"/>
        <v>#NAME?</v>
      </c>
      <c r="AQ40" s="558" t="e">
        <f t="shared" ca="1" si="84"/>
        <v>#NAME?</v>
      </c>
      <c r="AR40" s="473"/>
      <c r="AT40" s="87" t="e">
        <f>VLOOKUP($B40,Gusset!$B$10:$E$36,MATCH('Summary (2)'!AT$8,Gusset!$B$8:$E$8,0),FALSE)</f>
        <v>#N/A</v>
      </c>
      <c r="AU40" s="87" t="e">
        <f>VLOOKUP($B40,Gusset!$B$10:$E$36,MATCH('Summary (2)'!AU$8,Gusset!$B$8:$E$8,0),FALSE)</f>
        <v>#N/A</v>
      </c>
      <c r="AV40" s="591" t="e">
        <f>VLOOKUP($B40,Gusset!$B$10:$E$36,MATCH('Summary (2)'!AV$8,Gusset!$B$8:$E$8,0),FALSE)</f>
        <v>#N/A</v>
      </c>
      <c r="AW40" s="87">
        <f>VLOOKUP($B40,'Restrainer End'!$B$10:$J$36,MATCH('Summary (2)'!AW$8,'Restrainer End'!$B$8:$J$8,0),FALSE)</f>
        <v>10279</v>
      </c>
      <c r="AX40" s="87">
        <f>VLOOKUP($B40,'Restrainer End'!$B$10:$J$36,MATCH('Summary (2)'!AX$8,'Restrainer End'!$B$8:$J$8,0),FALSE)</f>
        <v>34906516.583333336</v>
      </c>
      <c r="AY40" s="87">
        <f>VLOOKUP($B40,'Restrainer End'!$B$10:$J$36,MATCH('Summary (2)'!AY$8,'Restrainer End'!$B$8:$J$8,0),FALSE)</f>
        <v>308.19565086300003</v>
      </c>
      <c r="BB40" s="62" t="e">
        <f t="shared" ca="1" si="85"/>
        <v>#NAME?</v>
      </c>
      <c r="BC40" s="199" t="e">
        <f t="shared" ca="1" si="23"/>
        <v>#NAME?</v>
      </c>
      <c r="BD40" s="62" t="e">
        <f t="shared" ca="1" si="24"/>
        <v>#NAME?</v>
      </c>
      <c r="BE40" s="81" t="e">
        <f t="shared" ca="1" si="25"/>
        <v>#NAME?</v>
      </c>
      <c r="BF40" s="553" t="e">
        <f t="shared" ca="1" si="26"/>
        <v>#NAME?</v>
      </c>
      <c r="BG40" s="199" t="e">
        <f t="shared" ca="1" si="27"/>
        <v>#NAME?</v>
      </c>
      <c r="BH40" s="62" t="e">
        <f t="shared" ca="1" si="28"/>
        <v>#NAME?</v>
      </c>
      <c r="BI40" s="81" t="e">
        <f t="shared" ca="1" si="29"/>
        <v>#NAME?</v>
      </c>
      <c r="BJ40" s="553" t="e">
        <f t="shared" ca="1" si="30"/>
        <v>#NAME?</v>
      </c>
      <c r="BK40" s="199" t="e">
        <f t="shared" ca="1" si="31"/>
        <v>#NAME?</v>
      </c>
      <c r="BL40" s="62" t="e">
        <f t="shared" ca="1" si="32"/>
        <v>#NAME?</v>
      </c>
      <c r="BM40" s="63"/>
      <c r="BN40" s="137" t="e">
        <f t="shared" ca="1" si="86"/>
        <v>#NAME?</v>
      </c>
      <c r="BO40" s="137" t="e">
        <f t="shared" ca="1" si="87"/>
        <v>#NAME?</v>
      </c>
      <c r="BP40" s="137" t="e">
        <f t="shared" ca="1" si="33"/>
        <v>#NAME?</v>
      </c>
      <c r="BR40" s="62" t="e">
        <f ca="1">Ncr(Mp_Norm($AF40,$AD40),0,$AI40,BC40,BE40)*$BB40</f>
        <v>#NAME?</v>
      </c>
      <c r="BS40" s="199" t="e">
        <f t="shared" ca="1" si="34"/>
        <v>#NAME?</v>
      </c>
      <c r="BT40" s="62" t="e">
        <f ca="1">Ncr(Mp_Norm($AF40,$AD40),0,$AJ40,BG40,BI40)*$BB40</f>
        <v>#NAME?</v>
      </c>
      <c r="BU40" s="199" t="e">
        <f t="shared" ca="1" si="35"/>
        <v>#NAME?</v>
      </c>
      <c r="BV40" s="62" t="e">
        <f t="shared" ca="1" si="16"/>
        <v>#NAME?</v>
      </c>
      <c r="BW40" s="49" t="e">
        <f t="shared" ca="1" si="17"/>
        <v>#VALUE!</v>
      </c>
      <c r="BX40" s="206" t="e">
        <f t="shared" ca="1" si="36"/>
        <v>#VALUE!</v>
      </c>
      <c r="BZ40" s="62" t="e">
        <f t="shared" ca="1" si="37"/>
        <v>#NAME?</v>
      </c>
      <c r="CA40" s="137" t="e">
        <f t="shared" ca="1" si="88"/>
        <v>#NAME?</v>
      </c>
      <c r="CB40" s="137" t="e">
        <f t="shared" ca="1" si="89"/>
        <v>#NAME?</v>
      </c>
      <c r="CC40" s="63"/>
      <c r="CD40" s="62"/>
    </row>
    <row r="41" spans="1:82" s="46" customFormat="1" x14ac:dyDescent="0.25">
      <c r="A41" s="326"/>
      <c r="B41" s="429">
        <v>45</v>
      </c>
      <c r="C41" s="638"/>
      <c r="D41" s="6" t="s">
        <v>86</v>
      </c>
      <c r="E41" s="18" t="str">
        <f>VLOOKUP($B41,'Core Demand'!$B$8:$E$36,MATCH(E$8,'Core Demand'!$B$8:$E$8,0),FALSE)</f>
        <v>-</v>
      </c>
      <c r="F41" s="18">
        <f>VLOOKUP($B41,'Core Demand'!$B$8:$E$36,MATCH(F$8,'Core Demand'!$B$8:$E$8,0),FALSE)</f>
        <v>1502.6180400000001</v>
      </c>
      <c r="G41" s="486" t="e">
        <f ca="1">VLOOKUP($B41,'Equiv Connection'!$B$10:$H$36,MATCH('Summary (2)'!G$8,'Equiv Connection'!$B$8:$H$8,0),FALSE)</f>
        <v>#NAME?</v>
      </c>
      <c r="H41" s="104">
        <f>VLOOKUP($B41,'Restrainer End'!$B$10:$J$36,MATCH('Summary (2)'!H$8,'Restrainer End'!$B$8:$J$8,0),FALSE)</f>
        <v>7155.8358995833341</v>
      </c>
      <c r="I41" s="104">
        <f>VLOOKUP($B41,'Restrainer End'!$B$10:$J$36,MATCH('Summary (2)'!I$8,'Restrainer End'!$B$8:$J$8,0),FALSE)</f>
        <v>11919.16576</v>
      </c>
      <c r="J41" s="104" t="e">
        <f ca="1">VLOOKUP($B41,'Drift&amp;Imperfection'!$B$10:$G$36,MATCH('Summary (2)'!J$8,'Drift&amp;Imperfection'!$B$8:$G$8,0),FALSE)</f>
        <v>#NAME?</v>
      </c>
      <c r="K41" s="104" t="e">
        <f ca="1">VLOOKUP($B41,'Drift&amp;Imperfection'!$B$10:$G$36,MATCH('Summary (2)'!K$8,'Drift&amp;Imperfection'!$B$8:$G$8,0),FALSE)</f>
        <v>#NAME?</v>
      </c>
      <c r="L41" s="265" t="e">
        <f ca="1">VLOOKUP($B41,'Drift&amp;Imperfection'!$B$10:$G$36,MATCH('Summary (2)'!L$8,'Drift&amp;Imperfection'!$B$8:$G$8,0),FALSE)</f>
        <v>#NAME?</v>
      </c>
      <c r="M41" s="265">
        <f>VLOOKUP($B41,'Drift&amp;Imperfection'!$B$10:$G$36,MATCH('Summary (2)'!M$8,'Drift&amp;Imperfection'!$B$8:$G$8,0),FALSE)</f>
        <v>1.0526315789473684E-2</v>
      </c>
      <c r="N41" s="18" t="e">
        <f ca="1">VLOOKUP($B41,Framing!$B$20:$D$46,MATCH('Summary (2)'!N$8,Framing!$B$18:$D$18,0),FALSE)</f>
        <v>#NAME?</v>
      </c>
      <c r="O41" s="18">
        <f>VLOOKUP($B41,Gusset!$B$10:$E$36,MATCH('Summary (2)'!O$8,Gusset!$B$8:$E$8,0),FALSE)</f>
        <v>1246.6874046022758</v>
      </c>
      <c r="P41" s="18">
        <f>VLOOKUP($B41,Framing!$B$20:$D$46,MATCH('Summary (2)'!P$8,Framing!$B$18:$D$18,0),FALSE)</f>
        <v>79.152562160890199</v>
      </c>
      <c r="Q41" s="18">
        <f>VLOOKUP($B41,Gusset!$B$10:$E$36,MATCH('Summary (2)'!Q$8,Gusset!$B$8:$E$8,0),FALSE)</f>
        <v>1246.6874046022758</v>
      </c>
      <c r="R41" s="486" t="e">
        <f ca="1">VLOOKUP($B41,'Equiv Connection'!$B$10:$H$36,MATCH('Summary (2)'!R$8,'Equiv Connection'!$B$8:$H$8,0),FALSE)</f>
        <v>#NAME?</v>
      </c>
      <c r="S41" s="104" t="e">
        <f ca="1">VLOOKUP($B41,'Equiv Connection'!$B$10:$H$36,MATCH('Summary (2)'!S$8,'Equiv Connection'!$B$8:$H$8,0),FALSE)</f>
        <v>#NAME?</v>
      </c>
      <c r="T41" s="486" t="e">
        <f ca="1">VLOOKUP($B41,'Equiv Connection'!$B$10:$H$36,MATCH('Summary (2)'!T$8,'Equiv Connection'!$B$8:$H$8,0),FALSE)</f>
        <v>#NAME?</v>
      </c>
      <c r="U41" s="104" t="e">
        <f ca="1">VLOOKUP($B41,'Equiv Connection'!$B$10:$H$36,MATCH('Summary (2)'!U$8,'Equiv Connection'!$B$8:$H$8,0),FALSE)</f>
        <v>#NAME?</v>
      </c>
      <c r="V41" s="111">
        <f>VLOOKUP($B41,Gusset!$B$10:$E$36,MATCH('Summary (2)'!V$8,Gusset!$B$8:$E$8,0),FALSE)</f>
        <v>0</v>
      </c>
      <c r="W41" s="111">
        <f>VLOOKUP($B41,Gusset!$B$10:$I$36,MATCH('Summary (2)'!W$8,Gusset!$B$8:$I$8,0),FALSE)</f>
        <v>0</v>
      </c>
      <c r="X41" s="104" t="e">
        <f ca="1">VLOOKUP($B41,'Restrainer End'!$B$10:$J$36,MATCH('Summary (2)'!X$8,'Restrainer End'!$B$8:$J$8,0),FALSE)</f>
        <v>#NAME?</v>
      </c>
      <c r="Y41" s="111" t="e">
        <f ca="1">VLOOKUP($B41,'Restrainer End'!$B$10:$J$36,MATCH('Summary (2)'!Y$8,'Restrainer End'!$B$8:$J$8,0),FALSE)</f>
        <v>#NAME?</v>
      </c>
      <c r="Z41" s="456">
        <f>VLOOKUP($B41,'Restrainer End'!$B$10:$J$36,MATCH('Summary (2)'!Z$8,'Restrainer End'!$B$8:$J$8,0),FALSE)</f>
        <v>67.535062331344008</v>
      </c>
      <c r="AA41" s="6"/>
      <c r="AB41" s="133">
        <f t="shared" si="75"/>
        <v>0.60036382106521979</v>
      </c>
      <c r="AC41" s="133" t="e">
        <f t="shared" ca="1" si="76"/>
        <v>#NAME?</v>
      </c>
      <c r="AD41" s="133" t="e">
        <f t="shared" ca="1" si="77"/>
        <v>#NAME?</v>
      </c>
      <c r="AE41" s="133" t="e">
        <f t="shared" ca="1" si="78"/>
        <v>#NAME?</v>
      </c>
      <c r="AF41" s="132" t="e">
        <f t="shared" ca="1" si="4"/>
        <v>#NAME?</v>
      </c>
      <c r="AG41" s="132" t="e">
        <f t="shared" ca="1" si="5"/>
        <v>#NAME?</v>
      </c>
      <c r="AH41" s="132" t="e">
        <f t="shared" ca="1" si="79"/>
        <v>#NAME?</v>
      </c>
      <c r="AI41" s="132" t="e">
        <f t="shared" ca="1" si="21"/>
        <v>#NAME?</v>
      </c>
      <c r="AJ41" s="474" t="e">
        <f t="shared" ca="1" si="22"/>
        <v>#NAME?</v>
      </c>
      <c r="AK41" s="559">
        <f t="shared" si="80"/>
        <v>0.60036382106521979</v>
      </c>
      <c r="AL41" s="559" t="e">
        <f t="shared" ca="1" si="81"/>
        <v>#NAME?</v>
      </c>
      <c r="AM41" s="559" t="e">
        <f t="shared" ca="1" si="82"/>
        <v>#NAME?</v>
      </c>
      <c r="AN41" s="559" t="e">
        <f t="shared" ca="1" si="83"/>
        <v>#NAME?</v>
      </c>
      <c r="AO41" s="560" t="e">
        <f t="shared" ca="1" si="11"/>
        <v>#NAME?</v>
      </c>
      <c r="AP41" s="560" t="e">
        <f t="shared" ca="1" si="12"/>
        <v>#NAME?</v>
      </c>
      <c r="AQ41" s="560" t="e">
        <f t="shared" ca="1" si="84"/>
        <v>#NAME?</v>
      </c>
      <c r="AR41" s="474"/>
      <c r="AS41" s="6"/>
      <c r="AT41" s="104" t="e">
        <f>VLOOKUP($B41,Gusset!$B$10:$E$36,MATCH('Summary (2)'!AT$8,Gusset!$B$8:$E$8,0),FALSE)</f>
        <v>#N/A</v>
      </c>
      <c r="AU41" s="104" t="e">
        <f>VLOOKUP($B41,Gusset!$B$10:$E$36,MATCH('Summary (2)'!AU$8,Gusset!$B$8:$E$8,0),FALSE)</f>
        <v>#N/A</v>
      </c>
      <c r="AV41" s="592" t="e">
        <f>VLOOKUP($B41,Gusset!$B$10:$E$36,MATCH('Summary (2)'!AV$8,Gusset!$B$8:$E$8,0),FALSE)</f>
        <v>#N/A</v>
      </c>
      <c r="AW41" s="104">
        <f>VLOOKUP($B41,'Restrainer End'!$B$10:$J$36,MATCH('Summary (2)'!AW$8,'Restrainer End'!$B$8:$J$8,0),FALSE)</f>
        <v>10279</v>
      </c>
      <c r="AX41" s="104">
        <f>VLOOKUP($B41,'Restrainer End'!$B$10:$J$36,MATCH('Summary (2)'!AX$8,'Restrainer End'!$B$8:$J$8,0),FALSE)</f>
        <v>34906516.583333336</v>
      </c>
      <c r="AY41" s="104">
        <f>VLOOKUP($B41,'Restrainer End'!$B$10:$J$36,MATCH('Summary (2)'!AY$8,'Restrainer End'!$B$8:$J$8,0),FALSE)</f>
        <v>308.19565086300003</v>
      </c>
      <c r="AZ41" s="6"/>
      <c r="BA41" s="6"/>
      <c r="BB41" s="30" t="e">
        <f t="shared" ca="1" si="85"/>
        <v>#NAME?</v>
      </c>
      <c r="BC41" s="215" t="e">
        <f t="shared" ca="1" si="23"/>
        <v>#NAME?</v>
      </c>
      <c r="BD41" s="30" t="e">
        <f t="shared" ca="1" si="24"/>
        <v>#NAME?</v>
      </c>
      <c r="BE41" s="53" t="e">
        <f t="shared" ca="1" si="25"/>
        <v>#NAME?</v>
      </c>
      <c r="BF41" s="554" t="e">
        <f t="shared" ca="1" si="26"/>
        <v>#NAME?</v>
      </c>
      <c r="BG41" s="215" t="e">
        <f t="shared" ca="1" si="27"/>
        <v>#NAME?</v>
      </c>
      <c r="BH41" s="30" t="e">
        <f t="shared" ca="1" si="28"/>
        <v>#NAME?</v>
      </c>
      <c r="BI41" s="53" t="e">
        <f t="shared" ca="1" si="29"/>
        <v>#NAME?</v>
      </c>
      <c r="BJ41" s="554" t="e">
        <f t="shared" ca="1" si="30"/>
        <v>#NAME?</v>
      </c>
      <c r="BK41" s="215" t="e">
        <f t="shared" ca="1" si="31"/>
        <v>#NAME?</v>
      </c>
      <c r="BL41" s="30" t="e">
        <f t="shared" ca="1" si="32"/>
        <v>#NAME?</v>
      </c>
      <c r="BM41" s="36"/>
      <c r="BN41" s="283" t="str">
        <f t="shared" si="86"/>
        <v>-</v>
      </c>
      <c r="BO41" s="283" t="e">
        <f t="shared" ca="1" si="87"/>
        <v>#NAME?</v>
      </c>
      <c r="BP41" s="283" t="e">
        <f t="shared" ca="1" si="33"/>
        <v>#NAME?</v>
      </c>
      <c r="BQ41" s="6"/>
      <c r="BR41" s="30" t="e">
        <f ca="1">Ncr(Mp_Norm($AF41,$AD41),0,$AI41,BC41,BE41)*$BB41</f>
        <v>#NAME?</v>
      </c>
      <c r="BS41" s="215" t="e">
        <f t="shared" ca="1" si="34"/>
        <v>#NAME?</v>
      </c>
      <c r="BT41" s="30" t="e">
        <f ca="1">Ncr(Mp_Norm($AF41,$AD41),0,$AJ41,BG41,BI41)*$BB41</f>
        <v>#NAME?</v>
      </c>
      <c r="BU41" s="215" t="e">
        <f t="shared" ca="1" si="35"/>
        <v>#NAME?</v>
      </c>
      <c r="BV41" s="30" t="e">
        <f t="shared" ca="1" si="16"/>
        <v>#NAME?</v>
      </c>
      <c r="BW41" s="7" t="e">
        <f t="shared" ca="1" si="17"/>
        <v>#VALUE!</v>
      </c>
      <c r="BX41" s="207" t="e">
        <f t="shared" ca="1" si="36"/>
        <v>#VALUE!</v>
      </c>
      <c r="BY41" s="6"/>
      <c r="BZ41" s="30" t="e">
        <f t="shared" ca="1" si="37"/>
        <v>#NAME?</v>
      </c>
      <c r="CA41" s="283" t="str">
        <f t="shared" si="88"/>
        <v>-</v>
      </c>
      <c r="CB41" s="283" t="e">
        <f t="shared" ca="1" si="89"/>
        <v>#NAME?</v>
      </c>
      <c r="CC41" s="63"/>
      <c r="CD41" s="62"/>
    </row>
    <row r="42" spans="1:82" s="46" customFormat="1" x14ac:dyDescent="0.25">
      <c r="B42" s="564">
        <v>46</v>
      </c>
      <c r="C42" s="636" t="s">
        <v>520</v>
      </c>
      <c r="D42" s="289" t="s">
        <v>21</v>
      </c>
      <c r="E42" s="315">
        <f>VLOOKUP($B42,'Core Demand'!$B$8:$E$36,MATCH(E$8,'Core Demand'!$B$8:$E$8,0),FALSE)</f>
        <v>1156</v>
      </c>
      <c r="F42" s="315">
        <f>VLOOKUP($B42,'Core Demand'!$B$8:$E$36,MATCH(F$8,'Core Demand'!$B$8:$E$8,0),FALSE)</f>
        <v>1502.6180400000001</v>
      </c>
      <c r="G42" s="565" t="e">
        <f ca="1">VLOOKUP($B42,'Equiv Connection'!$B$10:$H$36,MATCH('Summary (2)'!G$8,'Equiv Connection'!$B$8:$H$8,0),FALSE)</f>
        <v>#NAME?</v>
      </c>
      <c r="H42" s="411">
        <f>VLOOKUP($B42,'Restrainer End'!$B$10:$J$36,MATCH('Summary (2)'!H$8,'Restrainer End'!$B$8:$J$8,0),FALSE)</f>
        <v>7155.8358995833341</v>
      </c>
      <c r="I42" s="411">
        <f>VLOOKUP($B42,'Restrainer End'!$B$10:$J$36,MATCH('Summary (2)'!I$8,'Restrainer End'!$B$8:$J$8,0),FALSE)</f>
        <v>11919.16576</v>
      </c>
      <c r="J42" s="411" t="e">
        <f ca="1">VLOOKUP($B42,'Drift&amp;Imperfection'!$B$10:$G$36,MATCH('Summary (2)'!J$8,'Drift&amp;Imperfection'!$B$8:$G$8,0),FALSE)</f>
        <v>#NAME?</v>
      </c>
      <c r="K42" s="411" t="e">
        <f ca="1">VLOOKUP($B42,'Drift&amp;Imperfection'!$B$10:$G$36,MATCH('Summary (2)'!K$8,'Drift&amp;Imperfection'!$B$8:$G$8,0),FALSE)</f>
        <v>#NAME?</v>
      </c>
      <c r="L42" s="264">
        <f>VLOOKUP($B42,'Drift&amp;Imperfection'!$B$10:$G$36,MATCH('Summary (2)'!L$8,'Drift&amp;Imperfection'!$B$8:$G$8,0),FALSE)</f>
        <v>0</v>
      </c>
      <c r="M42" s="264">
        <f>VLOOKUP($B42,'Drift&amp;Imperfection'!$B$10:$G$36,MATCH('Summary (2)'!M$8,'Drift&amp;Imperfection'!$B$8:$G$8,0),FALSE)</f>
        <v>0</v>
      </c>
      <c r="N42" s="315" t="e">
        <f ca="1">VLOOKUP($B42,Framing!$B$20:$D$46,MATCH('Summary (2)'!N$8,Framing!$B$18:$D$18,0),FALSE)</f>
        <v>#NAME?</v>
      </c>
      <c r="O42" s="315">
        <f>VLOOKUP($B42,Gusset!$B$10:$E$36,MATCH('Summary (2)'!O$8,Gusset!$B$8:$E$8,0),FALSE)</f>
        <v>1288.0168269230769</v>
      </c>
      <c r="P42" s="315">
        <f>VLOOKUP($B42,Framing!$B$20:$D$46,MATCH('Summary (2)'!P$8,Framing!$B$18:$D$18,0),FALSE)</f>
        <v>3957.6281080445096</v>
      </c>
      <c r="Q42" s="315">
        <f>VLOOKUP($B42,Gusset!$B$10:$E$36,MATCH('Summary (2)'!Q$8,Gusset!$B$8:$E$8,0),FALSE)</f>
        <v>1288.0168269230769</v>
      </c>
      <c r="R42" s="565" t="e">
        <f ca="1">VLOOKUP($B42,'Equiv Connection'!$B$10:$H$36,MATCH('Summary (2)'!R$8,'Equiv Connection'!$B$8:$H$8,0),FALSE)</f>
        <v>#NAME?</v>
      </c>
      <c r="S42" s="411" t="e">
        <f ca="1">VLOOKUP($B42,'Equiv Connection'!$B$10:$H$36,MATCH('Summary (2)'!S$8,'Equiv Connection'!$B$8:$H$8,0),FALSE)</f>
        <v>#NAME?</v>
      </c>
      <c r="T42" s="565" t="e">
        <f ca="1">VLOOKUP($B42,'Equiv Connection'!$B$10:$H$36,MATCH('Summary (2)'!T$8,'Equiv Connection'!$B$8:$H$8,0),FALSE)</f>
        <v>#NAME?</v>
      </c>
      <c r="U42" s="411" t="e">
        <f ca="1">VLOOKUP($B42,'Equiv Connection'!$B$10:$H$36,MATCH('Summary (2)'!U$8,'Equiv Connection'!$B$8:$H$8,0),FALSE)</f>
        <v>#NAME?</v>
      </c>
      <c r="V42" s="431">
        <f>VLOOKUP($B42,Gusset!$B$10:$E$36,MATCH('Summary (2)'!V$8,Gusset!$B$8:$E$8,0),FALSE)</f>
        <v>0</v>
      </c>
      <c r="W42" s="431">
        <f>VLOOKUP($B42,Gusset!$B$10:$I$36,MATCH('Summary (2)'!W$8,Gusset!$B$8:$I$8,0),FALSE)</f>
        <v>0</v>
      </c>
      <c r="X42" s="411" t="e">
        <f ca="1">VLOOKUP($B42,'Restrainer End'!$B$10:$J$36,MATCH('Summary (2)'!X$8,'Restrainer End'!$B$8:$J$8,0),FALSE)</f>
        <v>#NAME?</v>
      </c>
      <c r="Y42" s="431" t="e">
        <f ca="1">VLOOKUP($B42,'Restrainer End'!$B$10:$J$36,MATCH('Summary (2)'!Y$8,'Restrainer End'!$B$8:$J$8,0),FALSE)</f>
        <v>#NAME?</v>
      </c>
      <c r="Z42" s="566">
        <f>VLOOKUP($B42,'Restrainer End'!$B$10:$J$36,MATCH('Summary (2)'!Z$8,'Restrainer End'!$B$8:$J$8,0),FALSE)</f>
        <v>0</v>
      </c>
      <c r="AA42" s="289"/>
      <c r="AB42" s="567">
        <f t="shared" si="75"/>
        <v>0.60036382106521979</v>
      </c>
      <c r="AC42" s="567" t="e">
        <f t="shared" ca="1" si="76"/>
        <v>#NAME?</v>
      </c>
      <c r="AD42" s="567" t="e">
        <f t="shared" ca="1" si="77"/>
        <v>#NAME?</v>
      </c>
      <c r="AE42" s="567" t="e">
        <f t="shared" ca="1" si="78"/>
        <v>#NAME?</v>
      </c>
      <c r="AF42" s="568" t="e">
        <f t="shared" ca="1" si="4"/>
        <v>#NAME?</v>
      </c>
      <c r="AG42" s="568" t="e">
        <f t="shared" ca="1" si="5"/>
        <v>#NAME?</v>
      </c>
      <c r="AH42" s="568" t="e">
        <f t="shared" ca="1" si="79"/>
        <v>#NAME?</v>
      </c>
      <c r="AI42" s="568" t="e">
        <f t="shared" ca="1" si="21"/>
        <v>#NAME?</v>
      </c>
      <c r="AJ42" s="569" t="e">
        <f t="shared" ca="1" si="22"/>
        <v>#NAME?</v>
      </c>
      <c r="AK42" s="570">
        <f t="shared" si="80"/>
        <v>0.60036382106521979</v>
      </c>
      <c r="AL42" s="570" t="e">
        <f t="shared" ca="1" si="81"/>
        <v>#NAME?</v>
      </c>
      <c r="AM42" s="570" t="e">
        <f t="shared" ca="1" si="82"/>
        <v>#NAME?</v>
      </c>
      <c r="AN42" s="570" t="e">
        <f t="shared" ca="1" si="83"/>
        <v>#NAME?</v>
      </c>
      <c r="AO42" s="571" t="e">
        <f t="shared" ca="1" si="11"/>
        <v>#NAME?</v>
      </c>
      <c r="AP42" s="571" t="e">
        <f t="shared" ca="1" si="12"/>
        <v>#NAME?</v>
      </c>
      <c r="AQ42" s="571" t="e">
        <f t="shared" ca="1" si="84"/>
        <v>#NAME?</v>
      </c>
      <c r="AR42" s="569"/>
      <c r="AS42" s="289"/>
      <c r="AT42" s="411" t="e">
        <f>VLOOKUP($B42,Gusset!$B$10:$E$36,MATCH('Summary (2)'!AT$8,Gusset!$B$8:$E$8,0),FALSE)</f>
        <v>#N/A</v>
      </c>
      <c r="AU42" s="411" t="e">
        <f>VLOOKUP($B42,Gusset!$B$10:$E$36,MATCH('Summary (2)'!AU$8,Gusset!$B$8:$E$8,0),FALSE)</f>
        <v>#N/A</v>
      </c>
      <c r="AV42" s="593" t="e">
        <f>VLOOKUP($B42,Gusset!$B$10:$E$36,MATCH('Summary (2)'!AV$8,Gusset!$B$8:$E$8,0),FALSE)</f>
        <v>#N/A</v>
      </c>
      <c r="AW42" s="411">
        <f>VLOOKUP($B42,'Restrainer End'!$B$10:$J$36,MATCH('Summary (2)'!AW$8,'Restrainer End'!$B$8:$J$8,0),FALSE)</f>
        <v>0</v>
      </c>
      <c r="AX42" s="411">
        <f>VLOOKUP($B42,'Restrainer End'!$B$10:$J$36,MATCH('Summary (2)'!AX$8,'Restrainer End'!$B$8:$J$8,0),FALSE)</f>
        <v>0</v>
      </c>
      <c r="AY42" s="411">
        <f>VLOOKUP($B42,'Restrainer End'!$B$10:$J$36,MATCH('Summary (2)'!AY$8,'Restrainer End'!$B$8:$J$8,0),FALSE)</f>
        <v>0</v>
      </c>
      <c r="AZ42" s="289"/>
      <c r="BA42" s="289"/>
      <c r="BB42" s="572" t="e">
        <f t="shared" ca="1" si="85"/>
        <v>#NAME?</v>
      </c>
      <c r="BC42" s="573" t="e">
        <f t="shared" ca="1" si="23"/>
        <v>#NAME?</v>
      </c>
      <c r="BD42" s="572" t="e">
        <f t="shared" ref="BD42:BD47" ca="1" si="90">BB42*BC42</f>
        <v>#NAME?</v>
      </c>
      <c r="BE42" s="294" t="e">
        <f t="shared" ca="1" si="25"/>
        <v>#NAME?</v>
      </c>
      <c r="BF42" s="574" t="e">
        <f t="shared" ca="1" si="26"/>
        <v>#NAME?</v>
      </c>
      <c r="BG42" s="573" t="e">
        <f t="shared" ca="1" si="27"/>
        <v>#NAME?</v>
      </c>
      <c r="BH42" s="572" t="e">
        <f t="shared" ref="BH42:BH47" ca="1" si="91">BB42*BG42</f>
        <v>#NAME?</v>
      </c>
      <c r="BI42" s="294" t="e">
        <f t="shared" ca="1" si="29"/>
        <v>#NAME?</v>
      </c>
      <c r="BJ42" s="574" t="e">
        <f t="shared" ca="1" si="30"/>
        <v>#NAME?</v>
      </c>
      <c r="BK42" s="573" t="e">
        <f t="shared" ca="1" si="31"/>
        <v>#NAME?</v>
      </c>
      <c r="BL42" s="572" t="e">
        <f t="shared" ref="BL42:BL47" ca="1" si="92">BB42*BK42</f>
        <v>#NAME?</v>
      </c>
      <c r="BM42" s="575"/>
      <c r="BN42" s="295" t="e">
        <f t="shared" ca="1" si="86"/>
        <v>#NAME?</v>
      </c>
      <c r="BO42" s="295" t="e">
        <f t="shared" ca="1" si="87"/>
        <v>#NAME?</v>
      </c>
      <c r="BP42" s="295" t="e">
        <f t="shared" ref="BP42:BP47" ca="1" si="93">MIN(BD42,BH42)/BL42</f>
        <v>#NAME?</v>
      </c>
      <c r="BQ42" s="289"/>
      <c r="BR42" s="572" t="e">
        <f ca="1">Ncr(Mp_Norm($AF42,$AD42),0,$AI42,BC42,BE42)*$BB42</f>
        <v>#NAME?</v>
      </c>
      <c r="BS42" s="573" t="e">
        <f t="shared" ca="1" si="34"/>
        <v>#NAME?</v>
      </c>
      <c r="BT42" s="572" t="e">
        <f ca="1">Ncr(Mp_Norm($AF42,$AD42),0,$AJ42,BG42,BI42)*$BB42</f>
        <v>#NAME?</v>
      </c>
      <c r="BU42" s="573" t="e">
        <f t="shared" ref="BU42:BU47" ca="1" si="94">BT42/BH42</f>
        <v>#NAME?</v>
      </c>
      <c r="BV42" s="572" t="e">
        <f t="shared" ca="1" si="16"/>
        <v>#NAME?</v>
      </c>
      <c r="BW42" s="590" t="e">
        <f t="shared" ca="1" si="17"/>
        <v>#VALUE!</v>
      </c>
      <c r="BX42" s="296" t="e">
        <f t="shared" ca="1" si="36"/>
        <v>#VALUE!</v>
      </c>
      <c r="BY42" s="289"/>
      <c r="BZ42" s="572" t="e">
        <f t="shared" ca="1" si="37"/>
        <v>#NAME?</v>
      </c>
      <c r="CA42" s="295" t="e">
        <f t="shared" ca="1" si="88"/>
        <v>#NAME?</v>
      </c>
      <c r="CB42" s="295" t="e">
        <f t="shared" ca="1" si="89"/>
        <v>#NAME?</v>
      </c>
    </row>
    <row r="43" spans="1:82" s="46" customFormat="1" x14ac:dyDescent="0.25">
      <c r="B43" s="430">
        <v>47</v>
      </c>
      <c r="C43" s="637"/>
      <c r="D43" s="46" t="s">
        <v>22</v>
      </c>
      <c r="E43" s="86">
        <f>VLOOKUP($B43,'Core Demand'!$B$8:$E$36,MATCH(E$8,'Core Demand'!$B$8:$E$8,0),FALSE)</f>
        <v>1572</v>
      </c>
      <c r="F43" s="86">
        <f>VLOOKUP($B43,'Core Demand'!$B$8:$E$36,MATCH(F$8,'Core Demand'!$B$8:$E$8,0),FALSE)</f>
        <v>1502.6180400000001</v>
      </c>
      <c r="G43" s="485" t="e">
        <f ca="1">VLOOKUP($B43,'Equiv Connection'!$B$10:$H$36,MATCH('Summary (2)'!G$8,'Equiv Connection'!$B$8:$H$8,0),FALSE)</f>
        <v>#NAME?</v>
      </c>
      <c r="H43" s="87">
        <f>VLOOKUP($B43,'Restrainer End'!$B$10:$J$36,MATCH('Summary (2)'!H$8,'Restrainer End'!$B$8:$J$8,0),FALSE)</f>
        <v>7155.8358995833341</v>
      </c>
      <c r="I43" s="87">
        <f>VLOOKUP($B43,'Restrainer End'!$B$10:$J$36,MATCH('Summary (2)'!I$8,'Restrainer End'!$B$8:$J$8,0),FALSE)</f>
        <v>11919.16576</v>
      </c>
      <c r="J43" s="87" t="e">
        <f ca="1">VLOOKUP($B43,'Drift&amp;Imperfection'!$B$10:$G$36,MATCH('Summary (2)'!J$8,'Drift&amp;Imperfection'!$B$8:$G$8,0),FALSE)</f>
        <v>#NAME?</v>
      </c>
      <c r="K43" s="87" t="e">
        <f ca="1">VLOOKUP($B43,'Drift&amp;Imperfection'!$B$10:$G$36,MATCH('Summary (2)'!K$8,'Drift&amp;Imperfection'!$B$8:$G$8,0),FALSE)</f>
        <v>#NAME?</v>
      </c>
      <c r="L43" s="264">
        <f>VLOOKUP($B43,'Drift&amp;Imperfection'!$B$10:$G$36,MATCH('Summary (2)'!L$8,'Drift&amp;Imperfection'!$B$8:$G$8,0),FALSE)</f>
        <v>0</v>
      </c>
      <c r="M43" s="264">
        <f>VLOOKUP($B43,'Drift&amp;Imperfection'!$B$10:$G$36,MATCH('Summary (2)'!M$8,'Drift&amp;Imperfection'!$B$8:$G$8,0),FALSE)</f>
        <v>0</v>
      </c>
      <c r="N43" s="86" t="e">
        <f ca="1">VLOOKUP($B43,Framing!$B$20:$D$46,MATCH('Summary (2)'!N$8,Framing!$B$18:$D$18,0),FALSE)</f>
        <v>#NAME?</v>
      </c>
      <c r="O43" s="86">
        <f>VLOOKUP($B43,Gusset!$B$10:$E$36,MATCH('Summary (2)'!O$8,Gusset!$B$8:$E$8,0),FALSE)</f>
        <v>1246.6874046022758</v>
      </c>
      <c r="P43" s="86">
        <f>VLOOKUP($B43,Framing!$B$20:$D$46,MATCH('Summary (2)'!P$8,Framing!$B$18:$D$18,0),FALSE)</f>
        <v>3957.6281080445096</v>
      </c>
      <c r="Q43" s="86">
        <f>VLOOKUP($B43,Gusset!$B$10:$E$36,MATCH('Summary (2)'!Q$8,Gusset!$B$8:$E$8,0),FALSE)</f>
        <v>1246.6874046022758</v>
      </c>
      <c r="R43" s="485" t="e">
        <f ca="1">VLOOKUP($B43,'Equiv Connection'!$B$10:$H$36,MATCH('Summary (2)'!R$8,'Equiv Connection'!$B$8:$H$8,0),FALSE)</f>
        <v>#NAME?</v>
      </c>
      <c r="S43" s="87" t="e">
        <f ca="1">VLOOKUP($B43,'Equiv Connection'!$B$10:$H$36,MATCH('Summary (2)'!S$8,'Equiv Connection'!$B$8:$H$8,0),FALSE)</f>
        <v>#NAME?</v>
      </c>
      <c r="T43" s="485" t="e">
        <f ca="1">VLOOKUP($B43,'Equiv Connection'!$B$10:$H$36,MATCH('Summary (2)'!T$8,'Equiv Connection'!$B$8:$H$8,0),FALSE)</f>
        <v>#NAME?</v>
      </c>
      <c r="U43" s="87" t="e">
        <f ca="1">VLOOKUP($B43,'Equiv Connection'!$B$10:$H$36,MATCH('Summary (2)'!U$8,'Equiv Connection'!$B$8:$H$8,0),FALSE)</f>
        <v>#NAME?</v>
      </c>
      <c r="V43" s="108">
        <f>VLOOKUP($B43,Gusset!$B$10:$E$36,MATCH('Summary (2)'!V$8,Gusset!$B$8:$E$8,0),FALSE)</f>
        <v>0</v>
      </c>
      <c r="W43" s="108">
        <f>VLOOKUP($B43,Gusset!$B$10:$I$36,MATCH('Summary (2)'!W$8,Gusset!$B$8:$I$8,0),FALSE)</f>
        <v>0</v>
      </c>
      <c r="X43" s="87" t="e">
        <f ca="1">VLOOKUP($B43,'Restrainer End'!$B$10:$J$36,MATCH('Summary (2)'!X$8,'Restrainer End'!$B$8:$J$8,0),FALSE)</f>
        <v>#NAME?</v>
      </c>
      <c r="Y43" s="108" t="e">
        <f ca="1">VLOOKUP($B43,'Restrainer End'!$B$10:$J$36,MATCH('Summary (2)'!Y$8,'Restrainer End'!$B$8:$J$8,0),FALSE)</f>
        <v>#NAME?</v>
      </c>
      <c r="Z43" s="455">
        <f>VLOOKUP($B43,'Restrainer End'!$B$10:$J$36,MATCH('Summary (2)'!Z$8,'Restrainer End'!$B$8:$J$8,0),FALSE)</f>
        <v>0</v>
      </c>
      <c r="AB43" s="156">
        <f t="shared" si="75"/>
        <v>0.60036382106521979</v>
      </c>
      <c r="AC43" s="156" t="e">
        <f t="shared" ca="1" si="76"/>
        <v>#NAME?</v>
      </c>
      <c r="AD43" s="156" t="e">
        <f t="shared" ca="1" si="77"/>
        <v>#NAME?</v>
      </c>
      <c r="AE43" s="156" t="e">
        <f t="shared" ca="1" si="78"/>
        <v>#NAME?</v>
      </c>
      <c r="AF43" s="155" t="e">
        <f t="shared" ca="1" si="4"/>
        <v>#NAME?</v>
      </c>
      <c r="AG43" s="155" t="e">
        <f t="shared" ca="1" si="5"/>
        <v>#NAME?</v>
      </c>
      <c r="AH43" s="155" t="e">
        <f t="shared" ca="1" si="79"/>
        <v>#NAME?</v>
      </c>
      <c r="AI43" s="155" t="e">
        <f t="shared" ca="1" si="21"/>
        <v>#NAME?</v>
      </c>
      <c r="AJ43" s="473" t="e">
        <f t="shared" ca="1" si="22"/>
        <v>#NAME?</v>
      </c>
      <c r="AK43" s="557">
        <f t="shared" si="80"/>
        <v>0.60036382106521979</v>
      </c>
      <c r="AL43" s="557" t="e">
        <f t="shared" ca="1" si="81"/>
        <v>#NAME?</v>
      </c>
      <c r="AM43" s="557" t="e">
        <f t="shared" ca="1" si="82"/>
        <v>#NAME?</v>
      </c>
      <c r="AN43" s="557" t="e">
        <f t="shared" ca="1" si="83"/>
        <v>#NAME?</v>
      </c>
      <c r="AO43" s="558" t="e">
        <f t="shared" ca="1" si="11"/>
        <v>#NAME?</v>
      </c>
      <c r="AP43" s="558" t="e">
        <f t="shared" ca="1" si="12"/>
        <v>#NAME?</v>
      </c>
      <c r="AQ43" s="558" t="e">
        <f t="shared" ca="1" si="84"/>
        <v>#NAME?</v>
      </c>
      <c r="AR43" s="473"/>
      <c r="AT43" s="87" t="e">
        <f>VLOOKUP($B43,Gusset!$B$10:$E$36,MATCH('Summary (2)'!AT$8,Gusset!$B$8:$E$8,0),FALSE)</f>
        <v>#N/A</v>
      </c>
      <c r="AU43" s="87" t="e">
        <f>VLOOKUP($B43,Gusset!$B$10:$E$36,MATCH('Summary (2)'!AU$8,Gusset!$B$8:$E$8,0),FALSE)</f>
        <v>#N/A</v>
      </c>
      <c r="AV43" s="591" t="e">
        <f>VLOOKUP($B43,Gusset!$B$10:$E$36,MATCH('Summary (2)'!AV$8,Gusset!$B$8:$E$8,0),FALSE)</f>
        <v>#N/A</v>
      </c>
      <c r="AW43" s="87">
        <f>VLOOKUP($B43,'Restrainer End'!$B$10:$J$36,MATCH('Summary (2)'!AW$8,'Restrainer End'!$B$8:$J$8,0),FALSE)</f>
        <v>0</v>
      </c>
      <c r="AX43" s="87">
        <f>VLOOKUP($B43,'Restrainer End'!$B$10:$J$36,MATCH('Summary (2)'!AX$8,'Restrainer End'!$B$8:$J$8,0),FALSE)</f>
        <v>0</v>
      </c>
      <c r="AY43" s="87">
        <f>VLOOKUP($B43,'Restrainer End'!$B$10:$J$36,MATCH('Summary (2)'!AY$8,'Restrainer End'!$B$8:$J$8,0),FALSE)</f>
        <v>0</v>
      </c>
      <c r="BB43" s="62" t="e">
        <f t="shared" ca="1" si="85"/>
        <v>#NAME?</v>
      </c>
      <c r="BC43" s="199" t="e">
        <f t="shared" ca="1" si="23"/>
        <v>#NAME?</v>
      </c>
      <c r="BD43" s="62" t="e">
        <f t="shared" ca="1" si="90"/>
        <v>#NAME?</v>
      </c>
      <c r="BE43" s="81" t="e">
        <f t="shared" ca="1" si="25"/>
        <v>#NAME?</v>
      </c>
      <c r="BF43" s="553" t="e">
        <f t="shared" ca="1" si="26"/>
        <v>#NAME?</v>
      </c>
      <c r="BG43" s="199" t="e">
        <f t="shared" ca="1" si="27"/>
        <v>#NAME?</v>
      </c>
      <c r="BH43" s="62" t="e">
        <f t="shared" ca="1" si="91"/>
        <v>#NAME?</v>
      </c>
      <c r="BI43" s="81" t="e">
        <f t="shared" ca="1" si="29"/>
        <v>#NAME?</v>
      </c>
      <c r="BJ43" s="553" t="e">
        <f t="shared" ca="1" si="30"/>
        <v>#NAME?</v>
      </c>
      <c r="BK43" s="199" t="e">
        <f t="shared" ca="1" si="31"/>
        <v>#NAME?</v>
      </c>
      <c r="BL43" s="62" t="e">
        <f t="shared" ca="1" si="92"/>
        <v>#NAME?</v>
      </c>
      <c r="BM43" s="63"/>
      <c r="BN43" s="137" t="e">
        <f t="shared" ca="1" si="86"/>
        <v>#NAME?</v>
      </c>
      <c r="BO43" s="137" t="e">
        <f t="shared" ca="1" si="87"/>
        <v>#NAME?</v>
      </c>
      <c r="BP43" s="137" t="e">
        <f t="shared" ca="1" si="93"/>
        <v>#NAME?</v>
      </c>
      <c r="BR43" s="62" t="e">
        <f ca="1">Ncr(Mp_Norm($AF43,$AD43),0,$AI43,BC43,BE43)*$BB43</f>
        <v>#NAME?</v>
      </c>
      <c r="BS43" s="199" t="e">
        <f t="shared" ca="1" si="34"/>
        <v>#NAME?</v>
      </c>
      <c r="BT43" s="62" t="e">
        <f ca="1">Ncr(Mp_Norm($AF43,$AD43),0,$AJ43,BG43,BI43)*$BB43</f>
        <v>#NAME?</v>
      </c>
      <c r="BU43" s="199" t="e">
        <f t="shared" ca="1" si="94"/>
        <v>#NAME?</v>
      </c>
      <c r="BV43" s="62" t="e">
        <f t="shared" ca="1" si="16"/>
        <v>#NAME?</v>
      </c>
      <c r="BW43" s="49" t="e">
        <f t="shared" ca="1" si="17"/>
        <v>#VALUE!</v>
      </c>
      <c r="BX43" s="206" t="e">
        <f t="shared" ca="1" si="36"/>
        <v>#VALUE!</v>
      </c>
      <c r="BZ43" s="62" t="e">
        <f t="shared" ca="1" si="37"/>
        <v>#NAME?</v>
      </c>
      <c r="CA43" s="137" t="e">
        <f t="shared" ca="1" si="88"/>
        <v>#NAME?</v>
      </c>
      <c r="CB43" s="137" t="e">
        <f t="shared" ca="1" si="89"/>
        <v>#NAME?</v>
      </c>
    </row>
    <row r="44" spans="1:82" s="46" customFormat="1" x14ac:dyDescent="0.25">
      <c r="B44" s="430">
        <v>48</v>
      </c>
      <c r="C44" s="637"/>
      <c r="D44" s="46" t="s">
        <v>23</v>
      </c>
      <c r="E44" s="86">
        <f>VLOOKUP($B44,'Core Demand'!$B$8:$E$36,MATCH(E$8,'Core Demand'!$B$8:$E$8,0),FALSE)</f>
        <v>1541</v>
      </c>
      <c r="F44" s="86">
        <f>VLOOKUP($B44,'Core Demand'!$B$8:$E$36,MATCH(F$8,'Core Demand'!$B$8:$E$8,0),FALSE)</f>
        <v>1502.6180400000001</v>
      </c>
      <c r="G44" s="485" t="e">
        <f ca="1">VLOOKUP($B44,'Equiv Connection'!$B$10:$H$36,MATCH('Summary (2)'!G$8,'Equiv Connection'!$B$8:$H$8,0),FALSE)</f>
        <v>#NAME?</v>
      </c>
      <c r="H44" s="87">
        <f>VLOOKUP($B44,'Restrainer End'!$B$10:$J$36,MATCH('Summary (2)'!H$8,'Restrainer End'!$B$8:$J$8,0),FALSE)</f>
        <v>7155.8358995833341</v>
      </c>
      <c r="I44" s="87">
        <f>VLOOKUP($B44,'Restrainer End'!$B$10:$J$36,MATCH('Summary (2)'!I$8,'Restrainer End'!$B$8:$J$8,0),FALSE)</f>
        <v>11919.16576</v>
      </c>
      <c r="J44" s="87" t="e">
        <f ca="1">VLOOKUP($B44,'Drift&amp;Imperfection'!$B$10:$G$36,MATCH('Summary (2)'!J$8,'Drift&amp;Imperfection'!$B$8:$G$8,0),FALSE)</f>
        <v>#NAME?</v>
      </c>
      <c r="K44" s="87" t="e">
        <f ca="1">VLOOKUP($B44,'Drift&amp;Imperfection'!$B$10:$G$36,MATCH('Summary (2)'!K$8,'Drift&amp;Imperfection'!$B$8:$G$8,0),FALSE)</f>
        <v>#NAME?</v>
      </c>
      <c r="L44" s="264">
        <f>VLOOKUP($B44,'Drift&amp;Imperfection'!$B$10:$G$36,MATCH('Summary (2)'!L$8,'Drift&amp;Imperfection'!$B$8:$G$8,0),FALSE)</f>
        <v>0</v>
      </c>
      <c r="M44" s="264">
        <f>VLOOKUP($B44,'Drift&amp;Imperfection'!$B$10:$G$36,MATCH('Summary (2)'!M$8,'Drift&amp;Imperfection'!$B$8:$G$8,0),FALSE)</f>
        <v>0</v>
      </c>
      <c r="N44" s="86" t="e">
        <f ca="1">VLOOKUP($B44,Framing!$B$20:$D$46,MATCH('Summary (2)'!N$8,Framing!$B$18:$D$18,0),FALSE)</f>
        <v>#NAME?</v>
      </c>
      <c r="O44" s="86">
        <f>VLOOKUP($B44,Gusset!$B$10:$E$36,MATCH('Summary (2)'!O$8,Gusset!$B$8:$E$8,0),FALSE)</f>
        <v>1246.6874046022758</v>
      </c>
      <c r="P44" s="86">
        <f>VLOOKUP($B44,Framing!$B$20:$D$46,MATCH('Summary (2)'!P$8,Framing!$B$18:$D$18,0),FALSE)</f>
        <v>3957.6281080445096</v>
      </c>
      <c r="Q44" s="86">
        <f>VLOOKUP($B44,Gusset!$B$10:$E$36,MATCH('Summary (2)'!Q$8,Gusset!$B$8:$E$8,0),FALSE)</f>
        <v>1246.6874046022758</v>
      </c>
      <c r="R44" s="485" t="e">
        <f ca="1">VLOOKUP($B44,'Equiv Connection'!$B$10:$H$36,MATCH('Summary (2)'!R$8,'Equiv Connection'!$B$8:$H$8,0),FALSE)</f>
        <v>#NAME?</v>
      </c>
      <c r="S44" s="87" t="e">
        <f ca="1">VLOOKUP($B44,'Equiv Connection'!$B$10:$H$36,MATCH('Summary (2)'!S$8,'Equiv Connection'!$B$8:$H$8,0),FALSE)</f>
        <v>#NAME?</v>
      </c>
      <c r="T44" s="485" t="e">
        <f ca="1">VLOOKUP($B44,'Equiv Connection'!$B$10:$H$36,MATCH('Summary (2)'!T$8,'Equiv Connection'!$B$8:$H$8,0),FALSE)</f>
        <v>#NAME?</v>
      </c>
      <c r="U44" s="87" t="e">
        <f ca="1">VLOOKUP($B44,'Equiv Connection'!$B$10:$H$36,MATCH('Summary (2)'!U$8,'Equiv Connection'!$B$8:$H$8,0),FALSE)</f>
        <v>#NAME?</v>
      </c>
      <c r="V44" s="108">
        <f>VLOOKUP($B44,Gusset!$B$10:$E$36,MATCH('Summary (2)'!V$8,Gusset!$B$8:$E$8,0),FALSE)</f>
        <v>0</v>
      </c>
      <c r="W44" s="108">
        <f>VLOOKUP($B44,Gusset!$B$10:$I$36,MATCH('Summary (2)'!W$8,Gusset!$B$8:$I$8,0),FALSE)</f>
        <v>0</v>
      </c>
      <c r="X44" s="87" t="e">
        <f ca="1">VLOOKUP($B44,'Restrainer End'!$B$10:$J$36,MATCH('Summary (2)'!X$8,'Restrainer End'!$B$8:$J$8,0),FALSE)</f>
        <v>#NAME?</v>
      </c>
      <c r="Y44" s="108" t="e">
        <f ca="1">VLOOKUP($B44,'Restrainer End'!$B$10:$J$36,MATCH('Summary (2)'!Y$8,'Restrainer End'!$B$8:$J$8,0),FALSE)</f>
        <v>#NAME?</v>
      </c>
      <c r="Z44" s="455">
        <f>VLOOKUP($B44,'Restrainer End'!$B$10:$J$36,MATCH('Summary (2)'!Z$8,'Restrainer End'!$B$8:$J$8,0),FALSE)</f>
        <v>0</v>
      </c>
      <c r="AB44" s="156">
        <f t="shared" si="75"/>
        <v>0.60036382106521979</v>
      </c>
      <c r="AC44" s="156" t="e">
        <f t="shared" ca="1" si="76"/>
        <v>#NAME?</v>
      </c>
      <c r="AD44" s="156" t="e">
        <f t="shared" ca="1" si="77"/>
        <v>#NAME?</v>
      </c>
      <c r="AE44" s="156" t="e">
        <f t="shared" ca="1" si="78"/>
        <v>#NAME?</v>
      </c>
      <c r="AF44" s="155" t="e">
        <f t="shared" ca="1" si="4"/>
        <v>#NAME?</v>
      </c>
      <c r="AG44" s="155" t="e">
        <f t="shared" ca="1" si="5"/>
        <v>#NAME?</v>
      </c>
      <c r="AH44" s="155" t="e">
        <f t="shared" ca="1" si="79"/>
        <v>#NAME?</v>
      </c>
      <c r="AI44" s="155" t="e">
        <f t="shared" ca="1" si="21"/>
        <v>#NAME?</v>
      </c>
      <c r="AJ44" s="473" t="e">
        <f t="shared" ca="1" si="22"/>
        <v>#NAME?</v>
      </c>
      <c r="AK44" s="557">
        <f t="shared" si="80"/>
        <v>0.60036382106521979</v>
      </c>
      <c r="AL44" s="557" t="e">
        <f t="shared" ca="1" si="81"/>
        <v>#NAME?</v>
      </c>
      <c r="AM44" s="557" t="e">
        <f t="shared" ca="1" si="82"/>
        <v>#NAME?</v>
      </c>
      <c r="AN44" s="557" t="e">
        <f t="shared" ca="1" si="83"/>
        <v>#NAME?</v>
      </c>
      <c r="AO44" s="558" t="e">
        <f t="shared" ca="1" si="11"/>
        <v>#NAME?</v>
      </c>
      <c r="AP44" s="558" t="e">
        <f t="shared" ca="1" si="12"/>
        <v>#NAME?</v>
      </c>
      <c r="AQ44" s="558" t="e">
        <f t="shared" ca="1" si="84"/>
        <v>#NAME?</v>
      </c>
      <c r="AR44" s="473"/>
      <c r="AT44" s="87" t="e">
        <f>VLOOKUP($B44,Gusset!$B$10:$E$36,MATCH('Summary (2)'!AT$8,Gusset!$B$8:$E$8,0),FALSE)</f>
        <v>#N/A</v>
      </c>
      <c r="AU44" s="87" t="e">
        <f>VLOOKUP($B44,Gusset!$B$10:$E$36,MATCH('Summary (2)'!AU$8,Gusset!$B$8:$E$8,0),FALSE)</f>
        <v>#N/A</v>
      </c>
      <c r="AV44" s="591" t="e">
        <f>VLOOKUP($B44,Gusset!$B$10:$E$36,MATCH('Summary (2)'!AV$8,Gusset!$B$8:$E$8,0),FALSE)</f>
        <v>#N/A</v>
      </c>
      <c r="AW44" s="87">
        <f>VLOOKUP($B44,'Restrainer End'!$B$10:$J$36,MATCH('Summary (2)'!AW$8,'Restrainer End'!$B$8:$J$8,0),FALSE)</f>
        <v>0</v>
      </c>
      <c r="AX44" s="87">
        <f>VLOOKUP($B44,'Restrainer End'!$B$10:$J$36,MATCH('Summary (2)'!AX$8,'Restrainer End'!$B$8:$J$8,0),FALSE)</f>
        <v>0</v>
      </c>
      <c r="AY44" s="87">
        <f>VLOOKUP($B44,'Restrainer End'!$B$10:$J$36,MATCH('Summary (2)'!AY$8,'Restrainer End'!$B$8:$J$8,0),FALSE)</f>
        <v>0</v>
      </c>
      <c r="BB44" s="62" t="e">
        <f t="shared" ca="1" si="85"/>
        <v>#NAME?</v>
      </c>
      <c r="BC44" s="199" t="e">
        <f t="shared" ca="1" si="23"/>
        <v>#NAME?</v>
      </c>
      <c r="BD44" s="62" t="e">
        <f t="shared" ca="1" si="90"/>
        <v>#NAME?</v>
      </c>
      <c r="BE44" s="81" t="e">
        <f t="shared" ca="1" si="25"/>
        <v>#NAME?</v>
      </c>
      <c r="BF44" s="553" t="e">
        <f t="shared" ca="1" si="26"/>
        <v>#NAME?</v>
      </c>
      <c r="BG44" s="199" t="e">
        <f t="shared" ca="1" si="27"/>
        <v>#NAME?</v>
      </c>
      <c r="BH44" s="62" t="e">
        <f t="shared" ca="1" si="91"/>
        <v>#NAME?</v>
      </c>
      <c r="BI44" s="81" t="e">
        <f t="shared" ca="1" si="29"/>
        <v>#NAME?</v>
      </c>
      <c r="BJ44" s="553" t="e">
        <f t="shared" ca="1" si="30"/>
        <v>#NAME?</v>
      </c>
      <c r="BK44" s="199" t="e">
        <f t="shared" ca="1" si="31"/>
        <v>#NAME?</v>
      </c>
      <c r="BL44" s="62" t="e">
        <f t="shared" ca="1" si="92"/>
        <v>#NAME?</v>
      </c>
      <c r="BM44" s="63"/>
      <c r="BN44" s="137" t="e">
        <f t="shared" ca="1" si="86"/>
        <v>#NAME?</v>
      </c>
      <c r="BO44" s="137" t="e">
        <f t="shared" ca="1" si="87"/>
        <v>#NAME?</v>
      </c>
      <c r="BP44" s="137" t="e">
        <f t="shared" ca="1" si="93"/>
        <v>#NAME?</v>
      </c>
      <c r="BR44" s="62" t="e">
        <f ca="1">Ncr(Mp_Norm($AF44,$AD44),0,$AI44,BC44,BE44)*$BB44</f>
        <v>#NAME?</v>
      </c>
      <c r="BS44" s="199" t="e">
        <f t="shared" ca="1" si="34"/>
        <v>#NAME?</v>
      </c>
      <c r="BT44" s="62" t="e">
        <f ca="1">Ncr(Mp_Norm($AF44,$AD44),0,$AJ44,BG44,BI44)*$BB44</f>
        <v>#NAME?</v>
      </c>
      <c r="BU44" s="199" t="e">
        <f t="shared" ca="1" si="94"/>
        <v>#NAME?</v>
      </c>
      <c r="BV44" s="62" t="e">
        <f t="shared" ca="1" si="16"/>
        <v>#NAME?</v>
      </c>
      <c r="BW44" s="49" t="e">
        <f t="shared" ca="1" si="17"/>
        <v>#VALUE!</v>
      </c>
      <c r="BX44" s="206" t="e">
        <f t="shared" ca="1" si="36"/>
        <v>#VALUE!</v>
      </c>
      <c r="BZ44" s="62" t="e">
        <f t="shared" ca="1" si="37"/>
        <v>#NAME?</v>
      </c>
      <c r="CA44" s="137" t="e">
        <f t="shared" ca="1" si="88"/>
        <v>#NAME?</v>
      </c>
      <c r="CB44" s="137" t="e">
        <f t="shared" ca="1" si="89"/>
        <v>#NAME?</v>
      </c>
    </row>
    <row r="45" spans="1:82" s="46" customFormat="1" x14ac:dyDescent="0.25">
      <c r="B45" s="430">
        <v>49</v>
      </c>
      <c r="C45" s="637"/>
      <c r="D45" s="46" t="s">
        <v>24</v>
      </c>
      <c r="E45" s="86">
        <f>VLOOKUP($B45,'Core Demand'!$B$8:$E$36,MATCH(E$8,'Core Demand'!$B$8:$E$8,0),FALSE)</f>
        <v>989</v>
      </c>
      <c r="F45" s="86">
        <f>VLOOKUP($B45,'Core Demand'!$B$8:$E$36,MATCH(F$8,'Core Demand'!$B$8:$E$8,0),FALSE)</f>
        <v>1502.6180400000001</v>
      </c>
      <c r="G45" s="485" t="e">
        <f ca="1">VLOOKUP($B45,'Equiv Connection'!$B$10:$H$36,MATCH('Summary (2)'!G$8,'Equiv Connection'!$B$8:$H$8,0),FALSE)</f>
        <v>#NAME?</v>
      </c>
      <c r="H45" s="87">
        <f>VLOOKUP($B45,'Restrainer End'!$B$10:$J$36,MATCH('Summary (2)'!H$8,'Restrainer End'!$B$8:$J$8,0),FALSE)</f>
        <v>7155.8358995833341</v>
      </c>
      <c r="I45" s="87">
        <f>VLOOKUP($B45,'Restrainer End'!$B$10:$J$36,MATCH('Summary (2)'!I$8,'Restrainer End'!$B$8:$J$8,0),FALSE)</f>
        <v>11919.16576</v>
      </c>
      <c r="J45" s="87" t="e">
        <f ca="1">VLOOKUP($B45,'Drift&amp;Imperfection'!$B$10:$G$36,MATCH('Summary (2)'!J$8,'Drift&amp;Imperfection'!$B$8:$G$8,0),FALSE)</f>
        <v>#NAME?</v>
      </c>
      <c r="K45" s="87" t="e">
        <f ca="1">VLOOKUP($B45,'Drift&amp;Imperfection'!$B$10:$G$36,MATCH('Summary (2)'!K$8,'Drift&amp;Imperfection'!$B$8:$G$8,0),FALSE)</f>
        <v>#NAME?</v>
      </c>
      <c r="L45" s="264">
        <f>VLOOKUP($B45,'Drift&amp;Imperfection'!$B$10:$G$36,MATCH('Summary (2)'!L$8,'Drift&amp;Imperfection'!$B$8:$G$8,0),FALSE)</f>
        <v>0</v>
      </c>
      <c r="M45" s="264">
        <f>VLOOKUP($B45,'Drift&amp;Imperfection'!$B$10:$G$36,MATCH('Summary (2)'!M$8,'Drift&amp;Imperfection'!$B$8:$G$8,0),FALSE)</f>
        <v>0</v>
      </c>
      <c r="N45" s="86" t="e">
        <f ca="1">VLOOKUP($B45,Framing!$B$20:$D$46,MATCH('Summary (2)'!N$8,Framing!$B$18:$D$18,0),FALSE)</f>
        <v>#NAME?</v>
      </c>
      <c r="O45" s="86">
        <f>VLOOKUP($B45,Gusset!$B$10:$E$36,MATCH('Summary (2)'!O$8,Gusset!$B$8:$E$8,0),FALSE)</f>
        <v>1246.6874046022758</v>
      </c>
      <c r="P45" s="86">
        <f>VLOOKUP($B45,Framing!$B$20:$D$46,MATCH('Summary (2)'!P$8,Framing!$B$18:$D$18,0),FALSE)</f>
        <v>3957.6281080445096</v>
      </c>
      <c r="Q45" s="86">
        <f>VLOOKUP($B45,Gusset!$B$10:$E$36,MATCH('Summary (2)'!Q$8,Gusset!$B$8:$E$8,0),FALSE)</f>
        <v>1246.6874046022758</v>
      </c>
      <c r="R45" s="485" t="e">
        <f ca="1">VLOOKUP($B45,'Equiv Connection'!$B$10:$H$36,MATCH('Summary (2)'!R$8,'Equiv Connection'!$B$8:$H$8,0),FALSE)</f>
        <v>#NAME?</v>
      </c>
      <c r="S45" s="87" t="e">
        <f ca="1">VLOOKUP($B45,'Equiv Connection'!$B$10:$H$36,MATCH('Summary (2)'!S$8,'Equiv Connection'!$B$8:$H$8,0),FALSE)</f>
        <v>#NAME?</v>
      </c>
      <c r="T45" s="485" t="e">
        <f ca="1">VLOOKUP($B45,'Equiv Connection'!$B$10:$H$36,MATCH('Summary (2)'!T$8,'Equiv Connection'!$B$8:$H$8,0),FALSE)</f>
        <v>#NAME?</v>
      </c>
      <c r="U45" s="87" t="e">
        <f ca="1">VLOOKUP($B45,'Equiv Connection'!$B$10:$H$36,MATCH('Summary (2)'!U$8,'Equiv Connection'!$B$8:$H$8,0),FALSE)</f>
        <v>#NAME?</v>
      </c>
      <c r="V45" s="108">
        <f>VLOOKUP($B45,Gusset!$B$10:$E$36,MATCH('Summary (2)'!V$8,Gusset!$B$8:$E$8,0),FALSE)</f>
        <v>0</v>
      </c>
      <c r="W45" s="108">
        <f>VLOOKUP($B45,Gusset!$B$10:$I$36,MATCH('Summary (2)'!W$8,Gusset!$B$8:$I$8,0),FALSE)</f>
        <v>0</v>
      </c>
      <c r="X45" s="87" t="e">
        <f ca="1">VLOOKUP($B45,'Restrainer End'!$B$10:$J$36,MATCH('Summary (2)'!X$8,'Restrainer End'!$B$8:$J$8,0),FALSE)</f>
        <v>#NAME?</v>
      </c>
      <c r="Y45" s="108" t="e">
        <f ca="1">VLOOKUP($B45,'Restrainer End'!$B$10:$J$36,MATCH('Summary (2)'!Y$8,'Restrainer End'!$B$8:$J$8,0),FALSE)</f>
        <v>#NAME?</v>
      </c>
      <c r="Z45" s="455">
        <f>VLOOKUP($B45,'Restrainer End'!$B$10:$J$36,MATCH('Summary (2)'!Z$8,'Restrainer End'!$B$8:$J$8,0),FALSE)</f>
        <v>0</v>
      </c>
      <c r="AB45" s="156">
        <f t="shared" si="75"/>
        <v>0.60036382106521979</v>
      </c>
      <c r="AC45" s="156" t="e">
        <f t="shared" ca="1" si="76"/>
        <v>#NAME?</v>
      </c>
      <c r="AD45" s="156" t="e">
        <f t="shared" ca="1" si="77"/>
        <v>#NAME?</v>
      </c>
      <c r="AE45" s="156" t="e">
        <f t="shared" ca="1" si="78"/>
        <v>#NAME?</v>
      </c>
      <c r="AF45" s="155" t="e">
        <f t="shared" ca="1" si="4"/>
        <v>#NAME?</v>
      </c>
      <c r="AG45" s="155" t="e">
        <f t="shared" ca="1" si="5"/>
        <v>#NAME?</v>
      </c>
      <c r="AH45" s="155" t="e">
        <f t="shared" ca="1" si="79"/>
        <v>#NAME?</v>
      </c>
      <c r="AI45" s="155" t="e">
        <f t="shared" ca="1" si="21"/>
        <v>#NAME?</v>
      </c>
      <c r="AJ45" s="473" t="e">
        <f t="shared" ca="1" si="22"/>
        <v>#NAME?</v>
      </c>
      <c r="AK45" s="557">
        <f t="shared" si="80"/>
        <v>0.60036382106521979</v>
      </c>
      <c r="AL45" s="557" t="e">
        <f t="shared" ca="1" si="81"/>
        <v>#NAME?</v>
      </c>
      <c r="AM45" s="557" t="e">
        <f t="shared" ca="1" si="82"/>
        <v>#NAME?</v>
      </c>
      <c r="AN45" s="557" t="e">
        <f t="shared" ca="1" si="83"/>
        <v>#NAME?</v>
      </c>
      <c r="AO45" s="558" t="e">
        <f t="shared" ca="1" si="11"/>
        <v>#NAME?</v>
      </c>
      <c r="AP45" s="558" t="e">
        <f t="shared" ca="1" si="12"/>
        <v>#NAME?</v>
      </c>
      <c r="AQ45" s="558" t="e">
        <f t="shared" ca="1" si="84"/>
        <v>#NAME?</v>
      </c>
      <c r="AR45" s="473"/>
      <c r="AT45" s="87" t="e">
        <f>VLOOKUP($B45,Gusset!$B$10:$E$36,MATCH('Summary (2)'!AT$8,Gusset!$B$8:$E$8,0),FALSE)</f>
        <v>#N/A</v>
      </c>
      <c r="AU45" s="87" t="e">
        <f>VLOOKUP($B45,Gusset!$B$10:$E$36,MATCH('Summary (2)'!AU$8,Gusset!$B$8:$E$8,0),FALSE)</f>
        <v>#N/A</v>
      </c>
      <c r="AV45" s="591" t="e">
        <f>VLOOKUP($B45,Gusset!$B$10:$E$36,MATCH('Summary (2)'!AV$8,Gusset!$B$8:$E$8,0),FALSE)</f>
        <v>#N/A</v>
      </c>
      <c r="AW45" s="87">
        <f>VLOOKUP($B45,'Restrainer End'!$B$10:$J$36,MATCH('Summary (2)'!AW$8,'Restrainer End'!$B$8:$J$8,0),FALSE)</f>
        <v>0</v>
      </c>
      <c r="AX45" s="87">
        <f>VLOOKUP($B45,'Restrainer End'!$B$10:$J$36,MATCH('Summary (2)'!AX$8,'Restrainer End'!$B$8:$J$8,0),FALSE)</f>
        <v>0</v>
      </c>
      <c r="AY45" s="87">
        <f>VLOOKUP($B45,'Restrainer End'!$B$10:$J$36,MATCH('Summary (2)'!AY$8,'Restrainer End'!$B$8:$J$8,0),FALSE)</f>
        <v>0</v>
      </c>
      <c r="BB45" s="62" t="e">
        <f t="shared" ca="1" si="85"/>
        <v>#NAME?</v>
      </c>
      <c r="BC45" s="199" t="e">
        <f t="shared" ca="1" si="23"/>
        <v>#NAME?</v>
      </c>
      <c r="BD45" s="62" t="e">
        <f t="shared" ca="1" si="90"/>
        <v>#NAME?</v>
      </c>
      <c r="BE45" s="81" t="e">
        <f t="shared" ca="1" si="25"/>
        <v>#NAME?</v>
      </c>
      <c r="BF45" s="553" t="e">
        <f t="shared" ca="1" si="26"/>
        <v>#NAME?</v>
      </c>
      <c r="BG45" s="199" t="e">
        <f t="shared" ca="1" si="27"/>
        <v>#NAME?</v>
      </c>
      <c r="BH45" s="62" t="e">
        <f t="shared" ca="1" si="91"/>
        <v>#NAME?</v>
      </c>
      <c r="BI45" s="81" t="e">
        <f t="shared" ca="1" si="29"/>
        <v>#NAME?</v>
      </c>
      <c r="BJ45" s="553" t="e">
        <f t="shared" ca="1" si="30"/>
        <v>#NAME?</v>
      </c>
      <c r="BK45" s="199" t="e">
        <f t="shared" ca="1" si="31"/>
        <v>#NAME?</v>
      </c>
      <c r="BL45" s="62" t="e">
        <f t="shared" ca="1" si="92"/>
        <v>#NAME?</v>
      </c>
      <c r="BM45" s="63"/>
      <c r="BN45" s="137" t="e">
        <f t="shared" ca="1" si="86"/>
        <v>#NAME?</v>
      </c>
      <c r="BO45" s="137" t="e">
        <f t="shared" ca="1" si="87"/>
        <v>#NAME?</v>
      </c>
      <c r="BP45" s="137" t="e">
        <f t="shared" ca="1" si="93"/>
        <v>#NAME?</v>
      </c>
      <c r="BR45" s="62" t="e">
        <f ca="1">Ncr(Mp_Norm($AF45,$AD45),0,$AI45,BC45,BE45)*$BB45</f>
        <v>#NAME?</v>
      </c>
      <c r="BS45" s="199" t="e">
        <f t="shared" ca="1" si="34"/>
        <v>#NAME?</v>
      </c>
      <c r="BT45" s="62" t="e">
        <f ca="1">Ncr(Mp_Norm($AF45,$AD45),0,$AJ45,BG45,BI45)*$BB45</f>
        <v>#NAME?</v>
      </c>
      <c r="BU45" s="199" t="e">
        <f t="shared" ca="1" si="94"/>
        <v>#NAME?</v>
      </c>
      <c r="BV45" s="62" t="e">
        <f t="shared" ca="1" si="16"/>
        <v>#NAME?</v>
      </c>
      <c r="BW45" s="49" t="e">
        <f t="shared" ca="1" si="17"/>
        <v>#VALUE!</v>
      </c>
      <c r="BX45" s="206" t="e">
        <f t="shared" ca="1" si="36"/>
        <v>#VALUE!</v>
      </c>
      <c r="BZ45" s="62" t="e">
        <f t="shared" ca="1" si="37"/>
        <v>#NAME?</v>
      </c>
      <c r="CA45" s="137" t="e">
        <f t="shared" ca="1" si="88"/>
        <v>#NAME?</v>
      </c>
      <c r="CB45" s="137" t="e">
        <f t="shared" ca="1" si="89"/>
        <v>#NAME?</v>
      </c>
    </row>
    <row r="46" spans="1:82" s="46" customFormat="1" x14ac:dyDescent="0.25">
      <c r="B46" s="430">
        <v>50</v>
      </c>
      <c r="C46" s="637"/>
      <c r="D46" s="46" t="s">
        <v>172</v>
      </c>
      <c r="E46" s="86">
        <f>VLOOKUP($B46,'Core Demand'!$B$8:$E$36,MATCH(E$8,'Core Demand'!$B$8:$E$8,0),FALSE)</f>
        <v>1585</v>
      </c>
      <c r="F46" s="86">
        <f>VLOOKUP($B46,'Core Demand'!$B$8:$E$36,MATCH(F$8,'Core Demand'!$B$8:$E$8,0),FALSE)</f>
        <v>1502.6180400000001</v>
      </c>
      <c r="G46" s="485" t="e">
        <f ca="1">VLOOKUP($B46,'Equiv Connection'!$B$10:$H$36,MATCH('Summary (2)'!G$8,'Equiv Connection'!$B$8:$H$8,0),FALSE)</f>
        <v>#NAME?</v>
      </c>
      <c r="H46" s="87">
        <f>VLOOKUP($B46,'Restrainer End'!$B$10:$J$36,MATCH('Summary (2)'!H$8,'Restrainer End'!$B$8:$J$8,0),FALSE)</f>
        <v>7155.8358995833341</v>
      </c>
      <c r="I46" s="87">
        <f>VLOOKUP($B46,'Restrainer End'!$B$10:$J$36,MATCH('Summary (2)'!I$8,'Restrainer End'!$B$8:$J$8,0),FALSE)</f>
        <v>11919.16576</v>
      </c>
      <c r="J46" s="87" t="e">
        <f ca="1">VLOOKUP($B46,'Drift&amp;Imperfection'!$B$10:$G$36,MATCH('Summary (2)'!J$8,'Drift&amp;Imperfection'!$B$8:$G$8,0),FALSE)</f>
        <v>#NAME?</v>
      </c>
      <c r="K46" s="87" t="e">
        <f ca="1">VLOOKUP($B46,'Drift&amp;Imperfection'!$B$10:$G$36,MATCH('Summary (2)'!K$8,'Drift&amp;Imperfection'!$B$8:$G$8,0),FALSE)</f>
        <v>#NAME?</v>
      </c>
      <c r="L46" s="264">
        <f>VLOOKUP($B46,'Drift&amp;Imperfection'!$B$10:$G$36,MATCH('Summary (2)'!L$8,'Drift&amp;Imperfection'!$B$8:$G$8,0),FALSE)</f>
        <v>0</v>
      </c>
      <c r="M46" s="264">
        <f>VLOOKUP($B46,'Drift&amp;Imperfection'!$B$10:$G$36,MATCH('Summary (2)'!M$8,'Drift&amp;Imperfection'!$B$8:$G$8,0),FALSE)</f>
        <v>0</v>
      </c>
      <c r="N46" s="86" t="e">
        <f ca="1">VLOOKUP($B46,Framing!$B$20:$D$46,MATCH('Summary (2)'!N$8,Framing!$B$18:$D$18,0),FALSE)</f>
        <v>#NAME?</v>
      </c>
      <c r="O46" s="86">
        <f>VLOOKUP($B46,Gusset!$B$10:$E$36,MATCH('Summary (2)'!O$8,Gusset!$B$8:$E$8,0),FALSE)</f>
        <v>1246.6874046022758</v>
      </c>
      <c r="P46" s="86">
        <f>VLOOKUP($B46,Framing!$B$20:$D$46,MATCH('Summary (2)'!P$8,Framing!$B$18:$D$18,0),FALSE)</f>
        <v>3957.6281080445096</v>
      </c>
      <c r="Q46" s="86">
        <f>VLOOKUP($B46,Gusset!$B$10:$E$36,MATCH('Summary (2)'!Q$8,Gusset!$B$8:$E$8,0),FALSE)</f>
        <v>1246.6874046022758</v>
      </c>
      <c r="R46" s="485" t="e">
        <f ca="1">VLOOKUP($B46,'Equiv Connection'!$B$10:$H$36,MATCH('Summary (2)'!R$8,'Equiv Connection'!$B$8:$H$8,0),FALSE)</f>
        <v>#NAME?</v>
      </c>
      <c r="S46" s="87" t="e">
        <f ca="1">VLOOKUP($B46,'Equiv Connection'!$B$10:$H$36,MATCH('Summary (2)'!S$8,'Equiv Connection'!$B$8:$H$8,0),FALSE)</f>
        <v>#NAME?</v>
      </c>
      <c r="T46" s="485" t="e">
        <f ca="1">VLOOKUP($B46,'Equiv Connection'!$B$10:$H$36,MATCH('Summary (2)'!T$8,'Equiv Connection'!$B$8:$H$8,0),FALSE)</f>
        <v>#NAME?</v>
      </c>
      <c r="U46" s="87" t="e">
        <f ca="1">VLOOKUP($B46,'Equiv Connection'!$B$10:$H$36,MATCH('Summary (2)'!U$8,'Equiv Connection'!$B$8:$H$8,0),FALSE)</f>
        <v>#NAME?</v>
      </c>
      <c r="V46" s="108">
        <f>VLOOKUP($B46,Gusset!$B$10:$E$36,MATCH('Summary (2)'!V$8,Gusset!$B$8:$E$8,0),FALSE)</f>
        <v>0</v>
      </c>
      <c r="W46" s="108">
        <f>VLOOKUP($B46,Gusset!$B$10:$I$36,MATCH('Summary (2)'!W$8,Gusset!$B$8:$I$8,0),FALSE)</f>
        <v>0</v>
      </c>
      <c r="X46" s="87" t="e">
        <f ca="1">VLOOKUP($B46,'Restrainer End'!$B$10:$J$36,MATCH('Summary (2)'!X$8,'Restrainer End'!$B$8:$J$8,0),FALSE)</f>
        <v>#NAME?</v>
      </c>
      <c r="Y46" s="108" t="e">
        <f ca="1">VLOOKUP($B46,'Restrainer End'!$B$10:$J$36,MATCH('Summary (2)'!Y$8,'Restrainer End'!$B$8:$J$8,0),FALSE)</f>
        <v>#NAME?</v>
      </c>
      <c r="Z46" s="455">
        <f>VLOOKUP($B46,'Restrainer End'!$B$10:$J$36,MATCH('Summary (2)'!Z$8,'Restrainer End'!$B$8:$J$8,0),FALSE)</f>
        <v>0</v>
      </c>
      <c r="AB46" s="156">
        <f t="shared" si="75"/>
        <v>0.60036382106521979</v>
      </c>
      <c r="AC46" s="156" t="e">
        <f t="shared" ca="1" si="76"/>
        <v>#NAME?</v>
      </c>
      <c r="AD46" s="156" t="e">
        <f t="shared" ca="1" si="77"/>
        <v>#NAME?</v>
      </c>
      <c r="AE46" s="156" t="e">
        <f t="shared" ca="1" si="78"/>
        <v>#NAME?</v>
      </c>
      <c r="AF46" s="155" t="e">
        <f t="shared" ca="1" si="4"/>
        <v>#NAME?</v>
      </c>
      <c r="AG46" s="155" t="e">
        <f t="shared" ca="1" si="5"/>
        <v>#NAME?</v>
      </c>
      <c r="AH46" s="155" t="e">
        <f t="shared" ca="1" si="79"/>
        <v>#NAME?</v>
      </c>
      <c r="AI46" s="155" t="e">
        <f t="shared" ca="1" si="21"/>
        <v>#NAME?</v>
      </c>
      <c r="AJ46" s="473" t="e">
        <f t="shared" ca="1" si="22"/>
        <v>#NAME?</v>
      </c>
      <c r="AK46" s="557">
        <f t="shared" si="80"/>
        <v>0.60036382106521979</v>
      </c>
      <c r="AL46" s="557" t="e">
        <f t="shared" ca="1" si="81"/>
        <v>#NAME?</v>
      </c>
      <c r="AM46" s="557" t="e">
        <f t="shared" ca="1" si="82"/>
        <v>#NAME?</v>
      </c>
      <c r="AN46" s="557" t="e">
        <f t="shared" ca="1" si="83"/>
        <v>#NAME?</v>
      </c>
      <c r="AO46" s="558" t="e">
        <f t="shared" ca="1" si="11"/>
        <v>#NAME?</v>
      </c>
      <c r="AP46" s="558" t="e">
        <f t="shared" ca="1" si="12"/>
        <v>#NAME?</v>
      </c>
      <c r="AQ46" s="558" t="e">
        <f t="shared" ca="1" si="84"/>
        <v>#NAME?</v>
      </c>
      <c r="AR46" s="473"/>
      <c r="AT46" s="87" t="e">
        <f>VLOOKUP($B46,Gusset!$B$10:$E$36,MATCH('Summary (2)'!AT$8,Gusset!$B$8:$E$8,0),FALSE)</f>
        <v>#N/A</v>
      </c>
      <c r="AU46" s="87" t="e">
        <f>VLOOKUP($B46,Gusset!$B$10:$E$36,MATCH('Summary (2)'!AU$8,Gusset!$B$8:$E$8,0),FALSE)</f>
        <v>#N/A</v>
      </c>
      <c r="AV46" s="591" t="e">
        <f>VLOOKUP($B46,Gusset!$B$10:$E$36,MATCH('Summary (2)'!AV$8,Gusset!$B$8:$E$8,0),FALSE)</f>
        <v>#N/A</v>
      </c>
      <c r="AW46" s="87">
        <f>VLOOKUP($B46,'Restrainer End'!$B$10:$J$36,MATCH('Summary (2)'!AW$8,'Restrainer End'!$B$8:$J$8,0),FALSE)</f>
        <v>0</v>
      </c>
      <c r="AX46" s="87">
        <f>VLOOKUP($B46,'Restrainer End'!$B$10:$J$36,MATCH('Summary (2)'!AX$8,'Restrainer End'!$B$8:$J$8,0),FALSE)</f>
        <v>0</v>
      </c>
      <c r="AY46" s="87">
        <f>VLOOKUP($B46,'Restrainer End'!$B$10:$J$36,MATCH('Summary (2)'!AY$8,'Restrainer End'!$B$8:$J$8,0),FALSE)</f>
        <v>0</v>
      </c>
      <c r="BB46" s="62" t="e">
        <f t="shared" ca="1" si="85"/>
        <v>#NAME?</v>
      </c>
      <c r="BC46" s="199" t="e">
        <f t="shared" ca="1" si="23"/>
        <v>#NAME?</v>
      </c>
      <c r="BD46" s="62" t="e">
        <f t="shared" ca="1" si="90"/>
        <v>#NAME?</v>
      </c>
      <c r="BE46" s="81" t="e">
        <f t="shared" ca="1" si="25"/>
        <v>#NAME?</v>
      </c>
      <c r="BF46" s="553" t="e">
        <f t="shared" ca="1" si="26"/>
        <v>#NAME?</v>
      </c>
      <c r="BG46" s="199" t="e">
        <f t="shared" ca="1" si="27"/>
        <v>#NAME?</v>
      </c>
      <c r="BH46" s="62" t="e">
        <f t="shared" ca="1" si="91"/>
        <v>#NAME?</v>
      </c>
      <c r="BI46" s="81" t="e">
        <f t="shared" ca="1" si="29"/>
        <v>#NAME?</v>
      </c>
      <c r="BJ46" s="553" t="e">
        <f t="shared" ca="1" si="30"/>
        <v>#NAME?</v>
      </c>
      <c r="BK46" s="199" t="e">
        <f t="shared" ca="1" si="31"/>
        <v>#NAME?</v>
      </c>
      <c r="BL46" s="62" t="e">
        <f t="shared" ca="1" si="92"/>
        <v>#NAME?</v>
      </c>
      <c r="BM46" s="63"/>
      <c r="BN46" s="137" t="e">
        <f t="shared" ca="1" si="86"/>
        <v>#NAME?</v>
      </c>
      <c r="BO46" s="137" t="e">
        <f t="shared" ca="1" si="87"/>
        <v>#NAME?</v>
      </c>
      <c r="BP46" s="137" t="e">
        <f t="shared" ca="1" si="93"/>
        <v>#NAME?</v>
      </c>
      <c r="BR46" s="62" t="e">
        <f ca="1">Ncr(Mp_Norm($AF46,$AD46),0,$AI46,BC46,BE46)*$BB46</f>
        <v>#NAME?</v>
      </c>
      <c r="BS46" s="199" t="e">
        <f t="shared" ca="1" si="34"/>
        <v>#NAME?</v>
      </c>
      <c r="BT46" s="62" t="e">
        <f ca="1">Ncr(Mp_Norm($AF46,$AD46),0,$AJ46,BG46,BI46)*$BB46</f>
        <v>#NAME?</v>
      </c>
      <c r="BU46" s="199" t="e">
        <f t="shared" ca="1" si="94"/>
        <v>#NAME?</v>
      </c>
      <c r="BV46" s="62" t="e">
        <f t="shared" ca="1" si="16"/>
        <v>#NAME?</v>
      </c>
      <c r="BW46" s="49" t="e">
        <f t="shared" ca="1" si="17"/>
        <v>#VALUE!</v>
      </c>
      <c r="BX46" s="206" t="e">
        <f t="shared" ca="1" si="36"/>
        <v>#VALUE!</v>
      </c>
      <c r="BZ46" s="62" t="e">
        <f t="shared" ca="1" si="37"/>
        <v>#NAME?</v>
      </c>
      <c r="CA46" s="137" t="e">
        <f t="shared" ca="1" si="88"/>
        <v>#NAME?</v>
      </c>
      <c r="CB46" s="137" t="e">
        <f t="shared" ca="1" si="89"/>
        <v>#NAME?</v>
      </c>
    </row>
    <row r="47" spans="1:82" x14ac:dyDescent="0.25">
      <c r="B47" s="429">
        <v>51</v>
      </c>
      <c r="C47" s="638"/>
      <c r="D47" s="6" t="s">
        <v>86</v>
      </c>
      <c r="E47" s="18" t="str">
        <f>VLOOKUP($B47,'Core Demand'!$B$8:$E$36,MATCH(E$8,'Core Demand'!$B$8:$E$8,0),FALSE)</f>
        <v>-</v>
      </c>
      <c r="F47" s="18">
        <f>VLOOKUP($B47,'Core Demand'!$B$8:$E$36,MATCH(F$8,'Core Demand'!$B$8:$E$8,0),FALSE)</f>
        <v>1502.6180400000001</v>
      </c>
      <c r="G47" s="486" t="e">
        <f ca="1">VLOOKUP($B47,'Equiv Connection'!$B$10:$H$36,MATCH('Summary (2)'!G$8,'Equiv Connection'!$B$8:$H$8,0),FALSE)</f>
        <v>#NAME?</v>
      </c>
      <c r="H47" s="104">
        <f>VLOOKUP($B47,'Restrainer End'!$B$10:$J$36,MATCH('Summary (2)'!H$8,'Restrainer End'!$B$8:$J$8,0),FALSE)</f>
        <v>7155.8358995833341</v>
      </c>
      <c r="I47" s="104">
        <f>VLOOKUP($B47,'Restrainer End'!$B$10:$J$36,MATCH('Summary (2)'!I$8,'Restrainer End'!$B$8:$J$8,0),FALSE)</f>
        <v>11919.16576</v>
      </c>
      <c r="J47" s="104" t="e">
        <f ca="1">VLOOKUP($B47,'Drift&amp;Imperfection'!$B$10:$G$36,MATCH('Summary (2)'!J$8,'Drift&amp;Imperfection'!$B$8:$G$8,0),FALSE)</f>
        <v>#NAME?</v>
      </c>
      <c r="K47" s="104" t="e">
        <f ca="1">VLOOKUP($B47,'Drift&amp;Imperfection'!$B$10:$G$36,MATCH('Summary (2)'!K$8,'Drift&amp;Imperfection'!$B$8:$G$8,0),FALSE)</f>
        <v>#NAME?</v>
      </c>
      <c r="L47" s="265">
        <f>VLOOKUP($B47,'Drift&amp;Imperfection'!$B$10:$G$36,MATCH('Summary (2)'!L$8,'Drift&amp;Imperfection'!$B$8:$G$8,0),FALSE)</f>
        <v>0</v>
      </c>
      <c r="M47" s="265">
        <f>VLOOKUP($B47,'Drift&amp;Imperfection'!$B$10:$G$36,MATCH('Summary (2)'!M$8,'Drift&amp;Imperfection'!$B$8:$G$8,0),FALSE)</f>
        <v>0</v>
      </c>
      <c r="N47" s="18" t="e">
        <f ca="1">VLOOKUP($B47,Framing!$B$20:$D$46,MATCH('Summary (2)'!N$8,Framing!$B$18:$D$18,0),FALSE)</f>
        <v>#NAME?</v>
      </c>
      <c r="O47" s="18">
        <f>VLOOKUP($B47,Gusset!$B$10:$E$36,MATCH('Summary (2)'!O$8,Gusset!$B$8:$E$8,0),FALSE)</f>
        <v>1246.6874046022758</v>
      </c>
      <c r="P47" s="18">
        <f>VLOOKUP($B47,Framing!$B$20:$D$46,MATCH('Summary (2)'!P$8,Framing!$B$18:$D$18,0),FALSE)</f>
        <v>3957.6281080445096</v>
      </c>
      <c r="Q47" s="18">
        <f>VLOOKUP($B47,Gusset!$B$10:$E$36,MATCH('Summary (2)'!Q$8,Gusset!$B$8:$E$8,0),FALSE)</f>
        <v>1246.6874046022758</v>
      </c>
      <c r="R47" s="486" t="e">
        <f ca="1">VLOOKUP($B47,'Equiv Connection'!$B$10:$H$36,MATCH('Summary (2)'!R$8,'Equiv Connection'!$B$8:$H$8,0),FALSE)</f>
        <v>#NAME?</v>
      </c>
      <c r="S47" s="104" t="e">
        <f ca="1">VLOOKUP($B47,'Equiv Connection'!$B$10:$H$36,MATCH('Summary (2)'!S$8,'Equiv Connection'!$B$8:$H$8,0),FALSE)</f>
        <v>#NAME?</v>
      </c>
      <c r="T47" s="486" t="e">
        <f ca="1">VLOOKUP($B47,'Equiv Connection'!$B$10:$H$36,MATCH('Summary (2)'!T$8,'Equiv Connection'!$B$8:$H$8,0),FALSE)</f>
        <v>#NAME?</v>
      </c>
      <c r="U47" s="104" t="e">
        <f ca="1">VLOOKUP($B47,'Equiv Connection'!$B$10:$H$36,MATCH('Summary (2)'!U$8,'Equiv Connection'!$B$8:$H$8,0),FALSE)</f>
        <v>#NAME?</v>
      </c>
      <c r="V47" s="111">
        <f>VLOOKUP($B47,Gusset!$B$10:$E$36,MATCH('Summary (2)'!V$8,Gusset!$B$8:$E$8,0),FALSE)</f>
        <v>0</v>
      </c>
      <c r="W47" s="111">
        <f>VLOOKUP($B47,Gusset!$B$10:$I$36,MATCH('Summary (2)'!W$8,Gusset!$B$8:$I$8,0),FALSE)</f>
        <v>0</v>
      </c>
      <c r="X47" s="104" t="e">
        <f ca="1">VLOOKUP($B47,'Restrainer End'!$B$10:$J$36,MATCH('Summary (2)'!X$8,'Restrainer End'!$B$8:$J$8,0),FALSE)</f>
        <v>#NAME?</v>
      </c>
      <c r="Y47" s="111" t="e">
        <f ca="1">VLOOKUP($B47,'Restrainer End'!$B$10:$J$36,MATCH('Summary (2)'!Y$8,'Restrainer End'!$B$8:$J$8,0),FALSE)</f>
        <v>#NAME?</v>
      </c>
      <c r="Z47" s="456">
        <f>VLOOKUP($B47,'Restrainer End'!$B$10:$J$36,MATCH('Summary (2)'!Z$8,'Restrainer End'!$B$8:$J$8,0),FALSE)</f>
        <v>0</v>
      </c>
      <c r="AA47" s="6"/>
      <c r="AB47" s="133">
        <f t="shared" si="75"/>
        <v>0.60036382106521979</v>
      </c>
      <c r="AC47" s="133" t="e">
        <f t="shared" ca="1" si="76"/>
        <v>#NAME?</v>
      </c>
      <c r="AD47" s="133" t="e">
        <f t="shared" ca="1" si="77"/>
        <v>#NAME?</v>
      </c>
      <c r="AE47" s="133" t="e">
        <f t="shared" ca="1" si="78"/>
        <v>#NAME?</v>
      </c>
      <c r="AF47" s="132" t="e">
        <f t="shared" ca="1" si="4"/>
        <v>#NAME?</v>
      </c>
      <c r="AG47" s="132" t="e">
        <f t="shared" ca="1" si="5"/>
        <v>#NAME?</v>
      </c>
      <c r="AH47" s="132" t="e">
        <f t="shared" ca="1" si="79"/>
        <v>#NAME?</v>
      </c>
      <c r="AI47" s="132" t="e">
        <f t="shared" ca="1" si="21"/>
        <v>#NAME?</v>
      </c>
      <c r="AJ47" s="474" t="e">
        <f t="shared" ca="1" si="22"/>
        <v>#NAME?</v>
      </c>
      <c r="AK47" s="559">
        <f t="shared" si="80"/>
        <v>0.60036382106521979</v>
      </c>
      <c r="AL47" s="559" t="e">
        <f t="shared" ca="1" si="81"/>
        <v>#NAME?</v>
      </c>
      <c r="AM47" s="559" t="e">
        <f t="shared" ca="1" si="82"/>
        <v>#NAME?</v>
      </c>
      <c r="AN47" s="559" t="e">
        <f t="shared" ca="1" si="83"/>
        <v>#NAME?</v>
      </c>
      <c r="AO47" s="560" t="e">
        <f t="shared" ca="1" si="11"/>
        <v>#NAME?</v>
      </c>
      <c r="AP47" s="560" t="e">
        <f t="shared" ca="1" si="12"/>
        <v>#NAME?</v>
      </c>
      <c r="AQ47" s="560" t="e">
        <f t="shared" ca="1" si="84"/>
        <v>#NAME?</v>
      </c>
      <c r="AR47" s="474"/>
      <c r="AS47" s="6"/>
      <c r="AT47" s="104" t="e">
        <f>VLOOKUP($B47,Gusset!$B$10:$E$36,MATCH('Summary (2)'!AT$8,Gusset!$B$8:$E$8,0),FALSE)</f>
        <v>#N/A</v>
      </c>
      <c r="AU47" s="104" t="e">
        <f>VLOOKUP($B47,Gusset!$B$10:$E$36,MATCH('Summary (2)'!AU$8,Gusset!$B$8:$E$8,0),FALSE)</f>
        <v>#N/A</v>
      </c>
      <c r="AV47" s="592" t="e">
        <f>VLOOKUP($B47,Gusset!$B$10:$E$36,MATCH('Summary (2)'!AV$8,Gusset!$B$8:$E$8,0),FALSE)</f>
        <v>#N/A</v>
      </c>
      <c r="AW47" s="104">
        <f>VLOOKUP($B47,'Restrainer End'!$B$10:$J$36,MATCH('Summary (2)'!AW$8,'Restrainer End'!$B$8:$J$8,0),FALSE)</f>
        <v>0</v>
      </c>
      <c r="AX47" s="104">
        <f>VLOOKUP($B47,'Restrainer End'!$B$10:$J$36,MATCH('Summary (2)'!AX$8,'Restrainer End'!$B$8:$J$8,0),FALSE)</f>
        <v>0</v>
      </c>
      <c r="AY47" s="104">
        <f>VLOOKUP($B47,'Restrainer End'!$B$10:$J$36,MATCH('Summary (2)'!AY$8,'Restrainer End'!$B$8:$J$8,0),FALSE)</f>
        <v>0</v>
      </c>
      <c r="AZ47" s="6"/>
      <c r="BA47" s="6"/>
      <c r="BB47" s="30" t="e">
        <f t="shared" ca="1" si="85"/>
        <v>#NAME?</v>
      </c>
      <c r="BC47" s="215" t="e">
        <f t="shared" ca="1" si="23"/>
        <v>#NAME?</v>
      </c>
      <c r="BD47" s="30" t="e">
        <f t="shared" ca="1" si="90"/>
        <v>#NAME?</v>
      </c>
      <c r="BE47" s="53" t="e">
        <f t="shared" ca="1" si="25"/>
        <v>#NAME?</v>
      </c>
      <c r="BF47" s="554" t="e">
        <f t="shared" ca="1" si="26"/>
        <v>#NAME?</v>
      </c>
      <c r="BG47" s="215" t="e">
        <f t="shared" ca="1" si="27"/>
        <v>#NAME?</v>
      </c>
      <c r="BH47" s="30" t="e">
        <f t="shared" ca="1" si="91"/>
        <v>#NAME?</v>
      </c>
      <c r="BI47" s="53" t="e">
        <f t="shared" ca="1" si="29"/>
        <v>#NAME?</v>
      </c>
      <c r="BJ47" s="554" t="e">
        <f t="shared" ca="1" si="30"/>
        <v>#NAME?</v>
      </c>
      <c r="BK47" s="215" t="e">
        <f t="shared" ca="1" si="31"/>
        <v>#NAME?</v>
      </c>
      <c r="BL47" s="30" t="e">
        <f t="shared" ca="1" si="92"/>
        <v>#NAME?</v>
      </c>
      <c r="BM47" s="36"/>
      <c r="BN47" s="283" t="str">
        <f t="shared" si="86"/>
        <v>-</v>
      </c>
      <c r="BO47" s="283" t="e">
        <f t="shared" ca="1" si="87"/>
        <v>#NAME?</v>
      </c>
      <c r="BP47" s="283" t="e">
        <f t="shared" ca="1" si="93"/>
        <v>#NAME?</v>
      </c>
      <c r="BQ47" s="6"/>
      <c r="BR47" s="30" t="e">
        <f ca="1">Ncr(Mp_Norm($AF47,$AD47),0,$AI47,BC47,BE47)*$BB47</f>
        <v>#NAME?</v>
      </c>
      <c r="BS47" s="215" t="e">
        <f t="shared" ca="1" si="34"/>
        <v>#NAME?</v>
      </c>
      <c r="BT47" s="30" t="e">
        <f ca="1">Ncr(Mp_Norm($AF47,$AD47),0,$AJ47,BG47,BI47)*$BB47</f>
        <v>#NAME?</v>
      </c>
      <c r="BU47" s="215" t="e">
        <f t="shared" ca="1" si="94"/>
        <v>#NAME?</v>
      </c>
      <c r="BV47" s="30" t="e">
        <f t="shared" ca="1" si="16"/>
        <v>#NAME?</v>
      </c>
      <c r="BW47" s="7" t="e">
        <f t="shared" ca="1" si="17"/>
        <v>#VALUE!</v>
      </c>
      <c r="BX47" s="207" t="e">
        <f t="shared" ca="1" si="36"/>
        <v>#VALUE!</v>
      </c>
      <c r="BY47" s="6"/>
      <c r="BZ47" s="30" t="e">
        <f t="shared" ca="1" si="37"/>
        <v>#NAME?</v>
      </c>
      <c r="CA47" s="283" t="str">
        <f t="shared" si="88"/>
        <v>-</v>
      </c>
      <c r="CB47" s="283" t="e">
        <f t="shared" ca="1" si="89"/>
        <v>#NAME?</v>
      </c>
    </row>
    <row r="51" spans="7:27" x14ac:dyDescent="0.25">
      <c r="W51" s="1" t="s">
        <v>225</v>
      </c>
      <c r="X51" s="1" t="s">
        <v>226</v>
      </c>
      <c r="Y51" s="1" t="s">
        <v>35</v>
      </c>
      <c r="Z51" s="1" t="s">
        <v>33</v>
      </c>
      <c r="AA51" s="1" t="s">
        <v>34</v>
      </c>
    </row>
    <row r="52" spans="7:27" x14ac:dyDescent="0.25">
      <c r="Y52" s="1" t="s">
        <v>38</v>
      </c>
      <c r="Z52" s="1" t="s">
        <v>40</v>
      </c>
      <c r="AA52" s="1" t="s">
        <v>40</v>
      </c>
    </row>
    <row r="53" spans="7:27" x14ac:dyDescent="0.25">
      <c r="G53" s="367"/>
      <c r="H53" s="367"/>
      <c r="I53" s="367"/>
      <c r="P53" s="367"/>
      <c r="Q53" s="367"/>
      <c r="R53" s="367"/>
      <c r="S53" s="367"/>
      <c r="W53" s="367">
        <v>806</v>
      </c>
      <c r="X53" s="367">
        <v>506</v>
      </c>
      <c r="Y53" s="367">
        <v>90</v>
      </c>
      <c r="Z53" s="605">
        <v>0.01</v>
      </c>
      <c r="AA53" s="605">
        <v>5.0000000000000001E-4</v>
      </c>
    </row>
    <row r="54" spans="7:27" x14ac:dyDescent="0.25">
      <c r="G54" s="367"/>
      <c r="H54" s="367"/>
      <c r="I54" s="367"/>
      <c r="P54" s="367"/>
      <c r="Q54" s="367"/>
      <c r="R54" s="367"/>
      <c r="S54" s="367"/>
      <c r="W54" s="367">
        <v>896</v>
      </c>
      <c r="X54" s="367">
        <v>596</v>
      </c>
      <c r="Y54" s="367">
        <v>180</v>
      </c>
      <c r="Z54" s="605">
        <v>0.01</v>
      </c>
      <c r="AA54" s="605">
        <v>5.0000000000000001E-4</v>
      </c>
    </row>
    <row r="55" spans="7:27" x14ac:dyDescent="0.25">
      <c r="G55" s="367"/>
      <c r="H55" s="367"/>
      <c r="I55" s="367"/>
      <c r="P55" s="367"/>
      <c r="Q55" s="367"/>
      <c r="R55" s="367"/>
      <c r="S55" s="367"/>
      <c r="W55" s="367">
        <v>896</v>
      </c>
      <c r="X55" s="367">
        <v>596</v>
      </c>
      <c r="Y55" s="367">
        <v>180</v>
      </c>
      <c r="Z55" s="605">
        <v>0.01</v>
      </c>
      <c r="AA55" s="605">
        <v>5.0000000000000001E-4</v>
      </c>
    </row>
    <row r="56" spans="7:27" x14ac:dyDescent="0.25">
      <c r="G56" s="367"/>
      <c r="H56" s="367"/>
      <c r="I56" s="367"/>
      <c r="P56" s="367"/>
      <c r="Q56" s="367"/>
      <c r="R56" s="367"/>
      <c r="S56" s="367"/>
      <c r="W56" s="367">
        <v>896</v>
      </c>
      <c r="X56" s="367">
        <v>596</v>
      </c>
      <c r="Y56" s="367">
        <v>180</v>
      </c>
      <c r="Z56" s="605">
        <v>0.01</v>
      </c>
      <c r="AA56" s="605">
        <v>5.0000000000000001E-4</v>
      </c>
    </row>
    <row r="57" spans="7:27" x14ac:dyDescent="0.25">
      <c r="G57" s="367"/>
      <c r="H57" s="367"/>
      <c r="I57" s="367"/>
      <c r="P57" s="367"/>
      <c r="Q57" s="367"/>
      <c r="R57" s="367"/>
      <c r="S57" s="367"/>
      <c r="W57" s="367">
        <v>806</v>
      </c>
      <c r="X57" s="367">
        <v>506</v>
      </c>
      <c r="Y57" s="367">
        <v>90</v>
      </c>
      <c r="Z57" s="605">
        <v>0.01</v>
      </c>
      <c r="AA57" s="605">
        <v>5.0000000000000001E-4</v>
      </c>
    </row>
    <row r="58" spans="7:27" x14ac:dyDescent="0.25">
      <c r="G58" s="367"/>
      <c r="H58" s="367"/>
      <c r="I58" s="367"/>
      <c r="P58" s="367"/>
      <c r="Q58" s="367"/>
      <c r="R58" s="367"/>
      <c r="S58" s="367"/>
      <c r="W58" s="367">
        <v>806</v>
      </c>
      <c r="X58" s="367">
        <v>506</v>
      </c>
      <c r="Y58" s="367">
        <v>90</v>
      </c>
      <c r="Z58" s="605">
        <v>0.01</v>
      </c>
      <c r="AA58" s="605">
        <v>5.0000000000000001E-4</v>
      </c>
    </row>
    <row r="59" spans="7:27" x14ac:dyDescent="0.25">
      <c r="G59" s="367"/>
      <c r="H59" s="367"/>
      <c r="I59" s="367"/>
      <c r="P59" s="367"/>
      <c r="Q59" s="367"/>
      <c r="R59" s="367"/>
      <c r="S59" s="367"/>
      <c r="W59" s="367">
        <v>902</v>
      </c>
      <c r="X59" s="367">
        <v>602</v>
      </c>
      <c r="Y59" s="367">
        <v>180</v>
      </c>
      <c r="Z59" s="605">
        <v>0.01</v>
      </c>
      <c r="AA59" s="605">
        <v>5.0000000000000001E-4</v>
      </c>
    </row>
    <row r="60" spans="7:27" x14ac:dyDescent="0.25">
      <c r="G60" s="367"/>
      <c r="H60" s="367"/>
      <c r="I60" s="367"/>
      <c r="P60" s="367"/>
      <c r="Q60" s="367"/>
      <c r="R60" s="367"/>
      <c r="S60" s="367"/>
      <c r="W60" s="367">
        <v>902</v>
      </c>
      <c r="X60" s="367">
        <v>602</v>
      </c>
      <c r="Y60" s="367">
        <v>180</v>
      </c>
      <c r="Z60" s="605">
        <v>0.01</v>
      </c>
      <c r="AA60" s="605">
        <v>5.0000000000000001E-4</v>
      </c>
    </row>
    <row r="61" spans="7:27" x14ac:dyDescent="0.25">
      <c r="G61" s="367"/>
      <c r="H61" s="367"/>
      <c r="I61" s="367"/>
      <c r="P61" s="367"/>
      <c r="Q61" s="367"/>
      <c r="R61" s="367"/>
      <c r="S61" s="367"/>
      <c r="W61" s="367">
        <v>902</v>
      </c>
      <c r="X61" s="367">
        <v>602</v>
      </c>
      <c r="Y61" s="367">
        <v>180</v>
      </c>
      <c r="Z61" s="605">
        <v>0.01</v>
      </c>
      <c r="AA61" s="605">
        <v>5.0000000000000001E-4</v>
      </c>
    </row>
    <row r="62" spans="7:27" x14ac:dyDescent="0.25">
      <c r="G62" s="367"/>
      <c r="H62" s="367"/>
      <c r="I62" s="367"/>
      <c r="P62" s="367"/>
      <c r="Q62" s="367"/>
      <c r="R62" s="367"/>
      <c r="S62" s="367"/>
      <c r="W62" s="367">
        <v>902</v>
      </c>
      <c r="X62" s="367">
        <v>602</v>
      </c>
      <c r="Y62" s="367">
        <v>180</v>
      </c>
      <c r="Z62" s="605">
        <v>0.01</v>
      </c>
      <c r="AA62" s="605">
        <v>5.0000000000000001E-4</v>
      </c>
    </row>
    <row r="63" spans="7:27" x14ac:dyDescent="0.25">
      <c r="G63" s="367"/>
      <c r="H63" s="367"/>
      <c r="I63" s="367"/>
      <c r="P63" s="367"/>
      <c r="Q63" s="367"/>
      <c r="R63" s="367"/>
      <c r="S63" s="367"/>
      <c r="W63" s="367">
        <v>902</v>
      </c>
      <c r="X63" s="367">
        <v>602</v>
      </c>
      <c r="Y63" s="367">
        <v>180</v>
      </c>
      <c r="Z63" s="605">
        <v>0.01</v>
      </c>
      <c r="AA63" s="605">
        <v>5.0000000000000001E-4</v>
      </c>
    </row>
    <row r="64" spans="7:27" x14ac:dyDescent="0.25">
      <c r="G64" s="367"/>
      <c r="H64" s="367"/>
      <c r="I64" s="367"/>
      <c r="P64" s="367"/>
      <c r="Q64" s="367"/>
      <c r="R64" s="367"/>
      <c r="S64" s="367"/>
      <c r="W64" s="367">
        <v>902</v>
      </c>
      <c r="X64" s="367">
        <v>602</v>
      </c>
      <c r="Y64" s="367">
        <v>0</v>
      </c>
      <c r="Z64" s="605">
        <v>0.01</v>
      </c>
      <c r="AA64" s="605">
        <v>5.0000000000000001E-4</v>
      </c>
    </row>
  </sheetData>
  <mergeCells count="10">
    <mergeCell ref="AW7:AY7"/>
    <mergeCell ref="AT7:AV7"/>
    <mergeCell ref="BC8:BD8"/>
    <mergeCell ref="BG8:BH8"/>
    <mergeCell ref="BK8:BL8"/>
    <mergeCell ref="C42:C47"/>
    <mergeCell ref="C22:C27"/>
    <mergeCell ref="C34:C35"/>
    <mergeCell ref="C36:C41"/>
    <mergeCell ref="C10:C15"/>
  </mergeCells>
  <pageMargins left="0.70866141732283472" right="0.70866141732283472" top="0.74803149606299213" bottom="0.74803149606299213" header="0.31496062992125984" footer="0.31496062992125984"/>
  <pageSetup paperSize="8" scale="41" fitToWidth="3" fitToHeight="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B17"/>
  <sheetViews>
    <sheetView topLeftCell="T1" workbookViewId="0">
      <selection activeCell="AQ13" sqref="AQ13"/>
    </sheetView>
  </sheetViews>
  <sheetFormatPr defaultRowHeight="15" x14ac:dyDescent="0.25"/>
  <cols>
    <col min="32" max="35" width="9.140625" style="326"/>
    <col min="42" max="43" width="9.140625" style="326"/>
  </cols>
  <sheetData>
    <row r="1" spans="1:54" s="1" customFormat="1" x14ac:dyDescent="0.25">
      <c r="A1" s="326"/>
      <c r="B1" s="23" t="s">
        <v>283</v>
      </c>
      <c r="C1" s="326"/>
      <c r="D1" s="326"/>
      <c r="E1" s="326"/>
      <c r="F1" s="326"/>
    </row>
    <row r="2" spans="1:54" s="1" customFormat="1" x14ac:dyDescent="0.25">
      <c r="A2" s="326"/>
      <c r="B2" s="325" t="s">
        <v>123</v>
      </c>
      <c r="C2" s="326" t="s">
        <v>279</v>
      </c>
      <c r="D2" s="326"/>
      <c r="E2" s="326"/>
      <c r="F2" s="326"/>
    </row>
    <row r="3" spans="1:54" s="1" customFormat="1" x14ac:dyDescent="0.25">
      <c r="A3" s="326"/>
      <c r="B3" s="325" t="s">
        <v>30</v>
      </c>
      <c r="C3" s="326" t="s">
        <v>280</v>
      </c>
      <c r="D3" s="326"/>
      <c r="E3" s="326"/>
      <c r="F3" s="326"/>
    </row>
    <row r="4" spans="1:54" s="1" customFormat="1" x14ac:dyDescent="0.25">
      <c r="A4" s="326"/>
      <c r="B4" s="325" t="s">
        <v>259</v>
      </c>
      <c r="C4" s="326" t="s">
        <v>281</v>
      </c>
      <c r="D4" s="326"/>
      <c r="E4" s="326"/>
      <c r="F4" s="326"/>
    </row>
    <row r="5" spans="1:54" s="1" customFormat="1" x14ac:dyDescent="0.25">
      <c r="A5" s="326"/>
      <c r="B5" s="325" t="s">
        <v>101</v>
      </c>
      <c r="C5" s="326" t="s">
        <v>282</v>
      </c>
      <c r="D5" s="326"/>
      <c r="E5" s="326"/>
      <c r="F5" s="326"/>
    </row>
    <row r="6" spans="1:54" s="1" customFormat="1" x14ac:dyDescent="0.25">
      <c r="A6" s="326"/>
      <c r="B6" s="326"/>
      <c r="D6" s="326"/>
      <c r="E6" s="326"/>
      <c r="F6" s="326"/>
      <c r="G6" s="320"/>
      <c r="H6" s="320"/>
      <c r="X6" s="326"/>
      <c r="Y6" s="326"/>
      <c r="Z6" s="326"/>
      <c r="AJ6" s="1" t="s">
        <v>517</v>
      </c>
      <c r="AR6" s="75" t="s">
        <v>547</v>
      </c>
    </row>
    <row r="7" spans="1:54" s="1" customFormat="1" ht="15.75" thickBot="1" x14ac:dyDescent="0.3">
      <c r="A7" s="326"/>
      <c r="B7" s="427"/>
      <c r="C7" s="23" t="s">
        <v>277</v>
      </c>
      <c r="D7" s="281"/>
      <c r="E7" s="281"/>
      <c r="F7" s="281"/>
      <c r="G7" s="604"/>
      <c r="H7" s="470"/>
      <c r="I7" s="44"/>
      <c r="J7" s="44"/>
      <c r="K7" s="44"/>
      <c r="L7" s="44"/>
      <c r="M7" s="44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B7" s="388" t="s">
        <v>406</v>
      </c>
      <c r="AR7" s="603"/>
      <c r="AS7" s="388" t="s">
        <v>505</v>
      </c>
      <c r="AT7" s="552"/>
      <c r="AW7" s="388" t="s">
        <v>506</v>
      </c>
      <c r="BA7" s="1" t="s">
        <v>510</v>
      </c>
    </row>
    <row r="8" spans="1:54" s="603" customFormat="1" ht="18" x14ac:dyDescent="0.35">
      <c r="A8" s="326"/>
      <c r="B8" s="428" t="s">
        <v>284</v>
      </c>
      <c r="C8" s="40" t="s">
        <v>434</v>
      </c>
      <c r="D8" s="41" t="s">
        <v>2</v>
      </c>
      <c r="E8" s="41" t="s">
        <v>89</v>
      </c>
      <c r="F8" s="41" t="s">
        <v>475</v>
      </c>
      <c r="G8" s="41" t="s">
        <v>479</v>
      </c>
      <c r="H8" s="41" t="s">
        <v>480</v>
      </c>
      <c r="I8" s="41" t="s">
        <v>481</v>
      </c>
      <c r="J8" s="515" t="s">
        <v>493</v>
      </c>
      <c r="K8" s="515" t="s">
        <v>494</v>
      </c>
      <c r="L8" s="515" t="s">
        <v>563</v>
      </c>
      <c r="M8" s="515" t="s">
        <v>562</v>
      </c>
      <c r="N8" s="41" t="s">
        <v>482</v>
      </c>
      <c r="O8" s="41" t="s">
        <v>484</v>
      </c>
      <c r="P8" s="41" t="s">
        <v>483</v>
      </c>
      <c r="Q8" s="41" t="s">
        <v>485</v>
      </c>
      <c r="R8" s="41" t="s">
        <v>486</v>
      </c>
      <c r="S8" s="41" t="s">
        <v>484</v>
      </c>
      <c r="T8" s="41" t="s">
        <v>487</v>
      </c>
      <c r="U8" s="41" t="s">
        <v>485</v>
      </c>
      <c r="V8" s="41" t="s">
        <v>488</v>
      </c>
      <c r="W8" s="41" t="s">
        <v>489</v>
      </c>
      <c r="X8" s="41" t="s">
        <v>490</v>
      </c>
      <c r="Y8" s="41" t="s">
        <v>491</v>
      </c>
      <c r="Z8" s="42" t="s">
        <v>492</v>
      </c>
      <c r="AB8" s="1" t="s">
        <v>435</v>
      </c>
      <c r="AC8" s="3" t="s">
        <v>436</v>
      </c>
      <c r="AD8" s="1" t="s">
        <v>437</v>
      </c>
      <c r="AE8" s="1" t="s">
        <v>438</v>
      </c>
      <c r="AF8" s="1" t="s">
        <v>435</v>
      </c>
      <c r="AG8" s="3" t="s">
        <v>436</v>
      </c>
      <c r="AH8" s="1" t="s">
        <v>437</v>
      </c>
      <c r="AI8" s="1" t="s">
        <v>438</v>
      </c>
      <c r="AJ8" s="1" t="s">
        <v>439</v>
      </c>
      <c r="AK8" s="603" t="s">
        <v>440</v>
      </c>
      <c r="AL8" s="114" t="s">
        <v>513</v>
      </c>
      <c r="AM8" s="114" t="s">
        <v>560</v>
      </c>
      <c r="AN8" s="114" t="s">
        <v>561</v>
      </c>
      <c r="AR8" s="603" t="s">
        <v>501</v>
      </c>
      <c r="AS8" s="642" t="s">
        <v>504</v>
      </c>
      <c r="AT8" s="642"/>
      <c r="AU8" s="603" t="s">
        <v>502</v>
      </c>
      <c r="AV8" s="340" t="s">
        <v>503</v>
      </c>
      <c r="AW8" s="642" t="s">
        <v>504</v>
      </c>
      <c r="AX8" s="642"/>
      <c r="AY8" s="603" t="s">
        <v>502</v>
      </c>
      <c r="AZ8" s="340" t="s">
        <v>503</v>
      </c>
      <c r="BA8" s="642" t="s">
        <v>504</v>
      </c>
      <c r="BB8" s="642"/>
    </row>
    <row r="9" spans="1:54" s="63" customFormat="1" x14ac:dyDescent="0.25">
      <c r="A9" s="326"/>
      <c r="B9" s="453"/>
      <c r="C9" s="195"/>
      <c r="D9" s="6"/>
      <c r="E9" s="6" t="s">
        <v>11</v>
      </c>
      <c r="F9" s="6" t="s">
        <v>11</v>
      </c>
      <c r="G9" s="6" t="s">
        <v>109</v>
      </c>
      <c r="H9" s="6" t="s">
        <v>203</v>
      </c>
      <c r="I9" s="6" t="s">
        <v>203</v>
      </c>
      <c r="J9" s="6" t="s">
        <v>38</v>
      </c>
      <c r="K9" s="6" t="s">
        <v>38</v>
      </c>
      <c r="L9" s="6" t="s">
        <v>38</v>
      </c>
      <c r="M9" s="6" t="s">
        <v>38</v>
      </c>
      <c r="N9" s="6" t="s">
        <v>49</v>
      </c>
      <c r="O9" s="6" t="s">
        <v>49</v>
      </c>
      <c r="P9" s="6" t="s">
        <v>49</v>
      </c>
      <c r="Q9" s="6" t="s">
        <v>49</v>
      </c>
      <c r="R9" s="6" t="s">
        <v>109</v>
      </c>
      <c r="S9" s="6" t="s">
        <v>49</v>
      </c>
      <c r="T9" s="6" t="s">
        <v>109</v>
      </c>
      <c r="U9" s="6" t="s">
        <v>49</v>
      </c>
      <c r="V9" s="6" t="s">
        <v>39</v>
      </c>
      <c r="W9" s="6" t="s">
        <v>39</v>
      </c>
      <c r="X9" s="6" t="s">
        <v>49</v>
      </c>
      <c r="Y9" s="6" t="s">
        <v>39</v>
      </c>
      <c r="Z9" s="324" t="s">
        <v>39</v>
      </c>
      <c r="AA9" s="603"/>
      <c r="AB9" s="36" t="s">
        <v>58</v>
      </c>
      <c r="AC9" s="36" t="s">
        <v>58</v>
      </c>
      <c r="AD9" s="36" t="s">
        <v>58</v>
      </c>
      <c r="AE9" s="36" t="s">
        <v>58</v>
      </c>
      <c r="AF9" s="36"/>
      <c r="AG9" s="36"/>
      <c r="AH9" s="36"/>
      <c r="AI9" s="36"/>
      <c r="AJ9" s="36" t="s">
        <v>88</v>
      </c>
      <c r="AK9" s="36" t="s">
        <v>88</v>
      </c>
      <c r="AL9" s="36" t="s">
        <v>88</v>
      </c>
      <c r="AM9" s="36" t="s">
        <v>88</v>
      </c>
      <c r="AN9" s="36" t="s">
        <v>88</v>
      </c>
      <c r="AR9" s="36" t="s">
        <v>11</v>
      </c>
      <c r="AS9" s="36" t="s">
        <v>534</v>
      </c>
      <c r="AT9" s="36" t="s">
        <v>11</v>
      </c>
      <c r="AU9" s="36" t="s">
        <v>535</v>
      </c>
      <c r="AV9" s="454" t="s">
        <v>535</v>
      </c>
      <c r="AW9" s="36" t="s">
        <v>534</v>
      </c>
      <c r="AX9" s="36" t="s">
        <v>11</v>
      </c>
      <c r="AY9" s="36" t="s">
        <v>535</v>
      </c>
      <c r="AZ9" s="454" t="s">
        <v>535</v>
      </c>
      <c r="BA9" s="36" t="s">
        <v>534</v>
      </c>
      <c r="BB9" s="36" t="s">
        <v>11</v>
      </c>
    </row>
    <row r="10" spans="1:54" s="63" customFormat="1" x14ac:dyDescent="0.25">
      <c r="A10" s="326"/>
      <c r="B10" s="430">
        <v>11</v>
      </c>
      <c r="C10"/>
      <c r="D10" s="603" t="s">
        <v>15</v>
      </c>
      <c r="E10" s="86"/>
      <c r="F10" s="86"/>
      <c r="G10" s="485" t="e">
        <f ca="1">VLOOKUP($B10,'Equiv Connection'!$B$10:$H$36,MATCH('Summary (2)'!G$8,'Equiv Connection'!$B$8:$H$8,0),FALSE)</f>
        <v>#NAME?</v>
      </c>
      <c r="H10" s="87">
        <f>VLOOKUP($B10,'Restrainer End'!$B$10:$J$36,MATCH('Summary (2)'!H$8,'Restrainer End'!$B$8:$J$8,0),FALSE)</f>
        <v>1200.51936</v>
      </c>
      <c r="I10" s="87">
        <f>VLOOKUP($B10,'Restrainer End'!$B$10:$J$36,MATCH('Summary (2)'!I$8,'Restrainer End'!$B$8:$J$8,0),FALSE)</f>
        <v>580.86699184599911</v>
      </c>
      <c r="J10" s="87" t="e">
        <f ca="1">VLOOKUP($B10,'Drift&amp;Imperfection'!$B$10:$G$36,MATCH('Summary (2)'!J$8,'Drift&amp;Imperfection'!$B$8:$G$8,0),FALSE)</f>
        <v>#NAME?</v>
      </c>
      <c r="K10" s="87" t="e">
        <f ca="1">VLOOKUP($B10,'Drift&amp;Imperfection'!$B$10:$G$36,MATCH('Summary (2)'!K$8,'Drift&amp;Imperfection'!$B$8:$G$8,0),FALSE)</f>
        <v>#NAME?</v>
      </c>
      <c r="L10" s="264" t="e">
        <f ca="1">VLOOKUP($B10,'Drift&amp;Imperfection'!$B$10:$G$36,MATCH('Summary (2)'!L$8,'Drift&amp;Imperfection'!$B$8:$G$8,0),FALSE)</f>
        <v>#NAME?</v>
      </c>
      <c r="M10" s="264">
        <f>VLOOKUP($B10,'Drift&amp;Imperfection'!$B$10:$G$36,MATCH('Summary (2)'!M$8,'Drift&amp;Imperfection'!$B$8:$G$8,0),FALSE)</f>
        <v>1.1111111111111112E-2</v>
      </c>
      <c r="N10" s="86" t="e">
        <f ca="1">VLOOKUP($B10,Framing!$B$20:$D$46,MATCH('Summary (2)'!N$8,Framing!$B$18:$D$18,0),FALSE)</f>
        <v>#NAME?</v>
      </c>
      <c r="O10" s="86">
        <f>VLOOKUP($B10,Gusset!$B$10:$E$36,MATCH('Summary (2)'!O$8,Gusset!$B$8:$E$8,0),FALSE)</f>
        <v>51</v>
      </c>
      <c r="P10" s="86" t="str">
        <f>VLOOKUP($B10,Framing!$B$20:$D$46,MATCH('Summary (2)'!P$8,Framing!$B$18:$D$18,0),FALSE)</f>
        <v>∞</v>
      </c>
      <c r="Q10" s="86">
        <f>VLOOKUP($B10,Gusset!$B$10:$E$36,MATCH('Summary (2)'!Q$8,Gusset!$B$8:$E$8,0),FALSE)</f>
        <v>51</v>
      </c>
      <c r="R10" s="485" t="e">
        <f ca="1">VLOOKUP($B10,'Equiv Connection'!$B$10:$H$36,MATCH('Summary (2)'!R$8,'Equiv Connection'!$B$8:$H$8,0),FALSE)</f>
        <v>#NAME?</v>
      </c>
      <c r="S10" s="87" t="e">
        <f ca="1">VLOOKUP($B10,'Equiv Connection'!$B$10:$H$36,MATCH('Summary (2)'!S$8,'Equiv Connection'!$B$8:$H$8,0),FALSE)</f>
        <v>#NAME?</v>
      </c>
      <c r="T10" s="485" t="e">
        <f ca="1">VLOOKUP($B10,'Equiv Connection'!$B$10:$H$36,MATCH('Summary (2)'!T$8,'Equiv Connection'!$B$8:$H$8,0),FALSE)</f>
        <v>#NAME?</v>
      </c>
      <c r="U10" s="87" t="e">
        <f ca="1">VLOOKUP($B10,'Equiv Connection'!$B$10:$H$36,MATCH('Summary (2)'!U$8,'Equiv Connection'!$B$8:$H$8,0),FALSE)</f>
        <v>#NAME?</v>
      </c>
      <c r="V10" s="108">
        <f>VLOOKUP($B10,Gusset!$B$10:$E$36,MATCH('Summary (2)'!V$8,Gusset!$B$8:$E$8,0),FALSE)</f>
        <v>0</v>
      </c>
      <c r="W10" s="108">
        <f>VLOOKUP($B10,Gusset!$B$10:$I$36,MATCH('Summary (2)'!W$8,Gusset!$B$8:$I$8,0),FALSE)</f>
        <v>0</v>
      </c>
      <c r="X10" s="87">
        <f>VLOOKUP($B10,'Restrainer End'!$B$10:$J$36,MATCH('Summary (2)'!X$8,'Restrainer End'!$B$8:$J$8,0),FALSE)</f>
        <v>4043.4906169356791</v>
      </c>
      <c r="Y10" s="108" t="e">
        <f ca="1">VLOOKUP($B10,'Restrainer End'!$B$10:$J$36,MATCH('Summary (2)'!Y$8,'Restrainer End'!$B$8:$J$8,0),FALSE)</f>
        <v>#NAME?</v>
      </c>
      <c r="Z10" s="455">
        <f>VLOOKUP($B10,'Restrainer End'!$B$10:$J$36,MATCH('Summary (2)'!Z$8,'Restrainer End'!$B$8:$J$8,0),FALSE)</f>
        <v>6.6904849835565399</v>
      </c>
      <c r="AA10" s="603"/>
      <c r="AB10" s="156">
        <f t="shared" ref="AB10:AB11" si="0">H10/I10</f>
        <v>2.066771527479538</v>
      </c>
      <c r="AC10" s="156" t="e">
        <f t="shared" ref="AC10:AC11" ca="1" si="1">R10/G10</f>
        <v>#NAME?</v>
      </c>
      <c r="AD10" s="156" t="e">
        <f t="shared" ref="AD10:AD11" ca="1" si="2">X10*R10/H10</f>
        <v>#NAME?</v>
      </c>
      <c r="AE10" s="156" t="e">
        <f t="shared" ref="AE10:AE11" ca="1" si="3">S10*R10/H10</f>
        <v>#NAME?</v>
      </c>
      <c r="AF10" s="156"/>
      <c r="AG10" s="156"/>
      <c r="AH10" s="156"/>
      <c r="AI10" s="156"/>
      <c r="AJ10" s="155" t="e">
        <f t="shared" ref="AJ10:AJ11" ca="1" si="4">MIN(Y10:Z10)/X10</f>
        <v>#NAME?</v>
      </c>
      <c r="AK10" s="155" t="e">
        <f t="shared" ref="AK10:AK11" ca="1" si="5">V10/S10</f>
        <v>#NAME?</v>
      </c>
      <c r="AL10" s="155" t="e">
        <f t="shared" ref="AL10:AL11" ca="1" si="6">J10/10^3/R10</f>
        <v>#NAME?</v>
      </c>
      <c r="AM10" s="155" t="e">
        <f ca="1">L10+(3+AD10)/(3+1.5*AD10)*M10</f>
        <v>#NAME?</v>
      </c>
      <c r="AN10" s="473" t="e">
        <f ca="1">L10+(3+AD10)*(1-2*AC10)/(3+1.5*AD10-2*AD10*AC10)*M10</f>
        <v>#NAME?</v>
      </c>
      <c r="AR10" s="62" t="e">
        <f ca="1">Ncr0($H10,$R10)</f>
        <v>#NAME?</v>
      </c>
      <c r="AS10" s="199" t="e">
        <f ca="1">NcreSym($AB10,$AC10,$AE10,$AD10)</f>
        <v>#NAME?</v>
      </c>
      <c r="AT10" s="62" t="e">
        <f ca="1">AR10*AS10</f>
        <v>#NAME?</v>
      </c>
      <c r="AU10" s="81" t="e">
        <f ca="1">ABS(_xll.crSym(AS10,$AE10))</f>
        <v>#NAME?</v>
      </c>
      <c r="AV10" s="553" t="e">
        <f ca="1">ABS(_xll.cgSym(AS10,$AE10))</f>
        <v>#NAME?</v>
      </c>
      <c r="AW10" s="199" t="e">
        <f ca="1">Ncreasym($AB10,$AC10,$AE10,$AD10)</f>
        <v>#NAME?</v>
      </c>
      <c r="AX10" s="62" t="e">
        <f ca="1">AR10*AW10</f>
        <v>#NAME?</v>
      </c>
      <c r="AY10" s="81" t="e">
        <f ca="1">ABS(_xll.crAsym(AW10,$AE10,$AC10))</f>
        <v>#NAME?</v>
      </c>
      <c r="AZ10" s="553" t="e">
        <f ca="1">ABS(_xll.cgAsym(AW10,$AE10,$AC10))</f>
        <v>#NAME?</v>
      </c>
      <c r="BA10" s="199" t="e">
        <f ca="1">Ncreasym($AB10,$AC10,$AE10,0)</f>
        <v>#NAME?</v>
      </c>
      <c r="BB10" s="626" t="e">
        <f ca="1">AR10*BA10</f>
        <v>#NAME?</v>
      </c>
    </row>
    <row r="11" spans="1:54" s="63" customFormat="1" x14ac:dyDescent="0.25">
      <c r="A11" s="326"/>
      <c r="B11" s="430">
        <v>11</v>
      </c>
      <c r="C11"/>
      <c r="D11" s="603" t="s">
        <v>15</v>
      </c>
      <c r="E11" s="86"/>
      <c r="F11" s="86"/>
      <c r="G11" s="485" t="e">
        <f ca="1">VLOOKUP($B11,'Equiv Connection'!$B$10:$H$36,MATCH('Summary (2)'!G$8,'Equiv Connection'!$B$8:$H$8,0),FALSE)</f>
        <v>#NAME?</v>
      </c>
      <c r="H11" s="87">
        <f>VLOOKUP($B11,'Restrainer End'!$B$10:$J$36,MATCH('Summary (2)'!H$8,'Restrainer End'!$B$8:$J$8,0),FALSE)</f>
        <v>1200.51936</v>
      </c>
      <c r="I11" s="627">
        <v>8</v>
      </c>
      <c r="J11" s="87" t="e">
        <f ca="1">VLOOKUP($B11,'Drift&amp;Imperfection'!$B$10:$G$36,MATCH('Summary (2)'!J$8,'Drift&amp;Imperfection'!$B$8:$G$8,0),FALSE)</f>
        <v>#NAME?</v>
      </c>
      <c r="K11" s="87" t="e">
        <f ca="1">VLOOKUP($B11,'Drift&amp;Imperfection'!$B$10:$G$36,MATCH('Summary (2)'!K$8,'Drift&amp;Imperfection'!$B$8:$G$8,0),FALSE)</f>
        <v>#NAME?</v>
      </c>
      <c r="L11" s="264" t="e">
        <f ca="1">VLOOKUP($B11,'Drift&amp;Imperfection'!$B$10:$G$36,MATCH('Summary (2)'!L$8,'Drift&amp;Imperfection'!$B$8:$G$8,0),FALSE)</f>
        <v>#NAME?</v>
      </c>
      <c r="M11" s="264">
        <f>VLOOKUP($B11,'Drift&amp;Imperfection'!$B$10:$G$36,MATCH('Summary (2)'!M$8,'Drift&amp;Imperfection'!$B$8:$G$8,0),FALSE)</f>
        <v>1.1111111111111112E-2</v>
      </c>
      <c r="N11" s="86" t="e">
        <f ca="1">VLOOKUP($B11,Framing!$B$20:$D$46,MATCH('Summary (2)'!N$8,Framing!$B$18:$D$18,0),FALSE)</f>
        <v>#NAME?</v>
      </c>
      <c r="O11" s="86">
        <f>VLOOKUP($B11,Gusset!$B$10:$E$36,MATCH('Summary (2)'!O$8,Gusset!$B$8:$E$8,0),FALSE)</f>
        <v>51</v>
      </c>
      <c r="P11" s="86" t="str">
        <f>VLOOKUP($B11,Framing!$B$20:$D$46,MATCH('Summary (2)'!P$8,Framing!$B$18:$D$18,0),FALSE)</f>
        <v>∞</v>
      </c>
      <c r="Q11" s="86">
        <f>VLOOKUP($B11,Gusset!$B$10:$E$36,MATCH('Summary (2)'!Q$8,Gusset!$B$8:$E$8,0),FALSE)</f>
        <v>51</v>
      </c>
      <c r="R11" s="628" t="e">
        <f ca="1">(G11-1.2)/2</f>
        <v>#NAME?</v>
      </c>
      <c r="S11" s="87" t="e">
        <f ca="1">VLOOKUP($B11,'Equiv Connection'!$B$10:$H$36,MATCH('Summary (2)'!S$8,'Equiv Connection'!$B$8:$H$8,0),FALSE)</f>
        <v>#NAME?</v>
      </c>
      <c r="T11" s="628" t="e">
        <f ca="1">R11</f>
        <v>#NAME?</v>
      </c>
      <c r="U11" s="87" t="e">
        <f ca="1">VLOOKUP($B11,'Equiv Connection'!$B$10:$H$36,MATCH('Summary (2)'!U$8,'Equiv Connection'!$B$8:$H$8,0),FALSE)</f>
        <v>#NAME?</v>
      </c>
      <c r="V11" s="108">
        <f>VLOOKUP($B11,Gusset!$B$10:$E$36,MATCH('Summary (2)'!V$8,Gusset!$B$8:$E$8,0),FALSE)</f>
        <v>0</v>
      </c>
      <c r="W11" s="108">
        <f>VLOOKUP($B11,Gusset!$B$10:$I$36,MATCH('Summary (2)'!W$8,Gusset!$B$8:$I$8,0),FALSE)</f>
        <v>0</v>
      </c>
      <c r="X11" s="87">
        <f>VLOOKUP($B11,'Restrainer End'!$B$10:$J$36,MATCH('Summary (2)'!X$8,'Restrainer End'!$B$8:$J$8,0),FALSE)</f>
        <v>4043.4906169356791</v>
      </c>
      <c r="Y11" s="108" t="e">
        <f ca="1">VLOOKUP($B11,'Restrainer End'!$B$10:$J$36,MATCH('Summary (2)'!Y$8,'Restrainer End'!$B$8:$J$8,0),FALSE)</f>
        <v>#NAME?</v>
      </c>
      <c r="Z11" s="455">
        <f>VLOOKUP($B11,'Restrainer End'!$B$10:$J$36,MATCH('Summary (2)'!Z$8,'Restrainer End'!$B$8:$J$8,0),FALSE)</f>
        <v>6.6904849835565399</v>
      </c>
      <c r="AA11" s="603"/>
      <c r="AB11" s="156">
        <f t="shared" si="0"/>
        <v>150.06492</v>
      </c>
      <c r="AC11" s="156" t="e">
        <f t="shared" ca="1" si="1"/>
        <v>#NAME?</v>
      </c>
      <c r="AD11" s="156" t="e">
        <f t="shared" ca="1" si="2"/>
        <v>#NAME?</v>
      </c>
      <c r="AE11" s="156" t="e">
        <f t="shared" ca="1" si="3"/>
        <v>#NAME?</v>
      </c>
      <c r="AF11" s="156"/>
      <c r="AG11" s="156"/>
      <c r="AH11" s="156"/>
      <c r="AI11" s="156"/>
      <c r="AJ11" s="155" t="e">
        <f t="shared" ca="1" si="4"/>
        <v>#NAME?</v>
      </c>
      <c r="AK11" s="155" t="e">
        <f t="shared" ca="1" si="5"/>
        <v>#NAME?</v>
      </c>
      <c r="AL11" s="155" t="e">
        <f t="shared" ca="1" si="6"/>
        <v>#NAME?</v>
      </c>
      <c r="AM11" s="155" t="e">
        <f t="shared" ref="AM11" ca="1" si="7">L11+(3+AD11)/(3+1.5*AD11)*M11</f>
        <v>#NAME?</v>
      </c>
      <c r="AN11" s="473" t="e">
        <f t="shared" ref="AN11" ca="1" si="8">L11+(3+AD11)*(1-2*AC11)/(3+1.5*AD11-2*AD11*AC11)*M11</f>
        <v>#NAME?</v>
      </c>
      <c r="AR11" s="62" t="e">
        <f ca="1">Ncr0(H11,R11)</f>
        <v>#NAME?</v>
      </c>
      <c r="AS11" s="199" t="e">
        <f ca="1">NcreSym(AB11,AC11,AE11,AD11)</f>
        <v>#NAME?</v>
      </c>
      <c r="AT11" s="216" t="e">
        <f t="shared" ref="AT11" ca="1" si="9">AR11*AS11</f>
        <v>#NAME?</v>
      </c>
      <c r="AU11" s="81" t="e">
        <f t="shared" ref="AU11" ca="1" si="10">ABS(_xll.crSym(AS11,$AE11))</f>
        <v>#NAME?</v>
      </c>
      <c r="AV11" s="553" t="e">
        <f t="shared" ref="AV11" ca="1" si="11">ABS(_xll.cgSym(AS11,$AE11))</f>
        <v>#NAME?</v>
      </c>
      <c r="AW11" s="199" t="e">
        <f t="shared" ref="AW11:AW13" ca="1" si="12">Ncreasym($AB11,$AC11,$AE11,$AD11)</f>
        <v>#NAME?</v>
      </c>
      <c r="AX11" s="626" t="e">
        <f t="shared" ref="AX11" ca="1" si="13">AR11*AW11</f>
        <v>#NAME?</v>
      </c>
      <c r="AY11" s="81" t="e">
        <f t="shared" ref="AY11" ca="1" si="14">ABS(_xll.crAsym(AW11,$AE11,$AC11))</f>
        <v>#NAME?</v>
      </c>
      <c r="AZ11" s="553" t="e">
        <f t="shared" ref="AZ11" ca="1" si="15">ABS(_xll.cgAsym(AW11,$AE11,$AC11))</f>
        <v>#NAME?</v>
      </c>
      <c r="BA11" s="199" t="e">
        <f t="shared" ref="BA11:BA13" ca="1" si="16">Ncreasym($AB11,$AC11,$AE11,0)</f>
        <v>#NAME?</v>
      </c>
      <c r="BB11" s="62" t="e">
        <f t="shared" ref="BB11" ca="1" si="17">AR11*BA11</f>
        <v>#NAME?</v>
      </c>
    </row>
    <row r="12" spans="1:54" s="63" customFormat="1" x14ac:dyDescent="0.25">
      <c r="A12" s="326"/>
      <c r="B12" s="430">
        <v>11</v>
      </c>
      <c r="C12" s="326"/>
      <c r="D12" s="603" t="s">
        <v>15</v>
      </c>
      <c r="E12" s="86"/>
      <c r="F12" s="86"/>
      <c r="G12" s="485" t="e">
        <f ca="1">VLOOKUP($B12,'Equiv Connection'!$B$10:$H$36,MATCH('Summary (2)'!G$8,'Equiv Connection'!$B$8:$H$8,0),FALSE)</f>
        <v>#NAME?</v>
      </c>
      <c r="H12" s="87">
        <f>VLOOKUP($B12,'Restrainer End'!$B$10:$J$36,MATCH('Summary (2)'!H$8,'Restrainer End'!$B$8:$J$8,0),FALSE)</f>
        <v>1200.51936</v>
      </c>
      <c r="I12" s="627">
        <v>8</v>
      </c>
      <c r="J12" s="87" t="e">
        <f ca="1">VLOOKUP($B12,'Drift&amp;Imperfection'!$B$10:$G$36,MATCH('Summary (2)'!J$8,'Drift&amp;Imperfection'!$B$8:$G$8,0),FALSE)</f>
        <v>#NAME?</v>
      </c>
      <c r="K12" s="87" t="e">
        <f ca="1">VLOOKUP($B12,'Drift&amp;Imperfection'!$B$10:$G$36,MATCH('Summary (2)'!K$8,'Drift&amp;Imperfection'!$B$8:$G$8,0),FALSE)</f>
        <v>#NAME?</v>
      </c>
      <c r="L12" s="264" t="e">
        <f ca="1">VLOOKUP($B12,'Drift&amp;Imperfection'!$B$10:$G$36,MATCH('Summary (2)'!L$8,'Drift&amp;Imperfection'!$B$8:$G$8,0),FALSE)</f>
        <v>#NAME?</v>
      </c>
      <c r="M12" s="264">
        <f>VLOOKUP($B12,'Drift&amp;Imperfection'!$B$10:$G$36,MATCH('Summary (2)'!M$8,'Drift&amp;Imperfection'!$B$8:$G$8,0),FALSE)</f>
        <v>1.1111111111111112E-2</v>
      </c>
      <c r="N12" s="86" t="e">
        <f ca="1">VLOOKUP($B12,Framing!$B$20:$D$46,MATCH('Summary (2)'!N$8,Framing!$B$18:$D$18,0),FALSE)</f>
        <v>#NAME?</v>
      </c>
      <c r="O12" s="86">
        <f>VLOOKUP($B12,Gusset!$B$10:$E$36,MATCH('Summary (2)'!O$8,Gusset!$B$8:$E$8,0),FALSE)</f>
        <v>51</v>
      </c>
      <c r="P12" s="86" t="str">
        <f>VLOOKUP($B12,Framing!$B$20:$D$46,MATCH('Summary (2)'!P$8,Framing!$B$18:$D$18,0),FALSE)</f>
        <v>∞</v>
      </c>
      <c r="Q12" s="86">
        <f>VLOOKUP($B12,Gusset!$B$10:$E$36,MATCH('Summary (2)'!Q$8,Gusset!$B$8:$E$8,0),FALSE)</f>
        <v>51</v>
      </c>
      <c r="R12" s="628" t="e">
        <f ca="1">(G12-1.2)/2</f>
        <v>#NAME?</v>
      </c>
      <c r="S12" s="627">
        <v>150</v>
      </c>
      <c r="T12" s="628" t="e">
        <f ca="1">R12</f>
        <v>#NAME?</v>
      </c>
      <c r="U12" s="627">
        <v>150</v>
      </c>
      <c r="V12" s="108">
        <f>VLOOKUP($B12,Gusset!$B$10:$E$36,MATCH('Summary (2)'!V$8,Gusset!$B$8:$E$8,0),FALSE)</f>
        <v>0</v>
      </c>
      <c r="W12" s="108">
        <f>VLOOKUP($B12,Gusset!$B$10:$I$36,MATCH('Summary (2)'!W$8,Gusset!$B$8:$I$8,0),FALSE)</f>
        <v>0</v>
      </c>
      <c r="X12" s="87">
        <f>VLOOKUP($B12,'Restrainer End'!$B$10:$J$36,MATCH('Summary (2)'!X$8,'Restrainer End'!$B$8:$J$8,0),FALSE)</f>
        <v>4043.4906169356791</v>
      </c>
      <c r="Y12" s="108" t="e">
        <f ca="1">VLOOKUP($B12,'Restrainer End'!$B$10:$J$36,MATCH('Summary (2)'!Y$8,'Restrainer End'!$B$8:$J$8,0),FALSE)</f>
        <v>#NAME?</v>
      </c>
      <c r="Z12" s="455">
        <f>VLOOKUP($B12,'Restrainer End'!$B$10:$J$36,MATCH('Summary (2)'!Z$8,'Restrainer End'!$B$8:$J$8,0),FALSE)</f>
        <v>6.6904849835565399</v>
      </c>
      <c r="AA12" s="603"/>
      <c r="AB12" s="156">
        <f t="shared" ref="AB12" si="18">H12/I12</f>
        <v>150.06492</v>
      </c>
      <c r="AC12" s="156" t="e">
        <f t="shared" ref="AC12" ca="1" si="19">R12/G12</f>
        <v>#NAME?</v>
      </c>
      <c r="AD12" s="156" t="e">
        <f t="shared" ref="AD12" ca="1" si="20">X12*R12/H12</f>
        <v>#NAME?</v>
      </c>
      <c r="AE12" s="156" t="e">
        <f t="shared" ref="AE12" ca="1" si="21">S12*R12/H12</f>
        <v>#NAME?</v>
      </c>
      <c r="AF12" s="156"/>
      <c r="AG12" s="156"/>
      <c r="AH12" s="156"/>
      <c r="AI12" s="156"/>
      <c r="AJ12" s="155" t="e">
        <f t="shared" ref="AJ12" ca="1" si="22">MIN(Y12:Z12)/X12</f>
        <v>#NAME?</v>
      </c>
      <c r="AK12" s="155">
        <f t="shared" ref="AK12" si="23">V12/S12</f>
        <v>0</v>
      </c>
      <c r="AL12" s="155" t="e">
        <f t="shared" ref="AL12" ca="1" si="24">J12/10^3/R12</f>
        <v>#NAME?</v>
      </c>
      <c r="AM12" s="155" t="e">
        <f t="shared" ref="AM12" ca="1" si="25">L12+(3+AD12)/(3+1.5*AD12)*M12</f>
        <v>#NAME?</v>
      </c>
      <c r="AN12" s="473" t="e">
        <f t="shared" ref="AN12" ca="1" si="26">L12+(3+AD12)*(1-2*AC12)/(3+1.5*AD12-2*AD12*AC12)*M12</f>
        <v>#NAME?</v>
      </c>
      <c r="AR12" s="62" t="e">
        <f ca="1">Ncr0(H12,R12)</f>
        <v>#NAME?</v>
      </c>
      <c r="AS12" s="199" t="e">
        <f ca="1">NcreSym(AB12,AC12,AE12,AD12)</f>
        <v>#NAME?</v>
      </c>
      <c r="AT12" s="216" t="e">
        <f t="shared" ref="AT12" ca="1" si="27">AR12*AS12</f>
        <v>#NAME?</v>
      </c>
      <c r="AU12" s="81" t="e">
        <f t="shared" ref="AU12" ca="1" si="28">ABS(_xll.crSym(AS12,$AE12))</f>
        <v>#NAME?</v>
      </c>
      <c r="AV12" s="553" t="e">
        <f t="shared" ref="AV12" ca="1" si="29">ABS(_xll.cgSym(AS12,$AE12))</f>
        <v>#NAME?</v>
      </c>
      <c r="AW12" s="199" t="e">
        <f t="shared" ca="1" si="12"/>
        <v>#NAME?</v>
      </c>
      <c r="AX12" s="626" t="e">
        <f t="shared" ref="AX12" ca="1" si="30">AR12*AW12</f>
        <v>#NAME?</v>
      </c>
      <c r="AY12" s="81" t="e">
        <f t="shared" ref="AY12" ca="1" si="31">ABS(_xll.crAsym(AW12,$AE12,$AC12))</f>
        <v>#NAME?</v>
      </c>
      <c r="AZ12" s="553" t="e">
        <f t="shared" ref="AZ12" ca="1" si="32">ABS(_xll.cgAsym(AW12,$AE12,$AC12))</f>
        <v>#NAME?</v>
      </c>
      <c r="BA12" s="199" t="e">
        <f t="shared" ca="1" si="16"/>
        <v>#NAME?</v>
      </c>
      <c r="BB12" s="62" t="e">
        <f t="shared" ref="BB12" ca="1" si="33">AR12*BA12</f>
        <v>#NAME?</v>
      </c>
    </row>
    <row r="13" spans="1:54" x14ac:dyDescent="0.25">
      <c r="G13" s="485">
        <v>8</v>
      </c>
      <c r="H13" s="87">
        <v>5000</v>
      </c>
      <c r="I13" s="627">
        <v>10000</v>
      </c>
      <c r="J13" s="87"/>
      <c r="K13" s="87"/>
      <c r="L13" s="264"/>
      <c r="M13" s="264"/>
      <c r="N13" s="86"/>
      <c r="O13" s="86"/>
      <c r="P13" s="86"/>
      <c r="Q13" s="86"/>
      <c r="R13" s="628">
        <v>2</v>
      </c>
      <c r="S13" s="627">
        <v>1000</v>
      </c>
      <c r="T13" s="628">
        <v>1</v>
      </c>
      <c r="U13" s="627">
        <v>2000</v>
      </c>
      <c r="V13" s="108"/>
      <c r="W13" s="108"/>
      <c r="X13" s="87">
        <v>3000</v>
      </c>
      <c r="Y13" s="108"/>
      <c r="Z13" s="455"/>
      <c r="AA13" s="603"/>
      <c r="AB13" s="156">
        <f t="shared" ref="AB13" si="34">H13/I13</f>
        <v>0.5</v>
      </c>
      <c r="AC13" s="156">
        <f t="shared" ref="AC13" si="35">R13/G13</f>
        <v>0.25</v>
      </c>
      <c r="AD13" s="156">
        <f t="shared" ref="AD13" si="36">X13*R13/H13</f>
        <v>1.2</v>
      </c>
      <c r="AE13" s="156">
        <f t="shared" ref="AE13" si="37">S13*R13/H13</f>
        <v>0.4</v>
      </c>
      <c r="AF13" s="156">
        <f>H13/I13</f>
        <v>0.5</v>
      </c>
      <c r="AG13" s="156">
        <f>T13/G13</f>
        <v>0.125</v>
      </c>
      <c r="AH13" s="156">
        <f>X13*T13/H13</f>
        <v>0.6</v>
      </c>
      <c r="AI13" s="156">
        <f>U13*T13/H13</f>
        <v>0.4</v>
      </c>
      <c r="AJ13" s="155"/>
      <c r="AK13" s="155"/>
      <c r="AL13" s="155"/>
      <c r="AM13" s="155"/>
      <c r="AN13" s="473"/>
      <c r="AO13" s="63"/>
      <c r="AP13" s="63" t="e">
        <f ca="1">NcreChev(AB13,AF13,AC13,AG13,AE13,AI13,AD13,AH13)</f>
        <v>#NAME?</v>
      </c>
      <c r="AQ13" s="63" t="e">
        <f ca="1">AP13*AR13</f>
        <v>#NAME?</v>
      </c>
      <c r="AR13" s="62" t="e">
        <f ca="1">Ncr0(H13,R13)</f>
        <v>#NAME?</v>
      </c>
      <c r="AS13" s="199" t="e">
        <f ca="1">NcreSym(AB13,AC13,AE13,AD13)</f>
        <v>#NAME?</v>
      </c>
      <c r="AT13" s="216" t="e">
        <f t="shared" ref="AT13" ca="1" si="38">AR13*AS13</f>
        <v>#NAME?</v>
      </c>
      <c r="AU13" s="81" t="e">
        <f t="shared" ref="AU13" ca="1" si="39">ABS(_xll.crSym(AS13,$AE13))</f>
        <v>#NAME?</v>
      </c>
      <c r="AV13" s="553" t="e">
        <f t="shared" ref="AV13" ca="1" si="40">ABS(_xll.cgSym(AS13,$AE13))</f>
        <v>#NAME?</v>
      </c>
      <c r="AW13" s="199" t="e">
        <f t="shared" ca="1" si="12"/>
        <v>#NAME?</v>
      </c>
      <c r="AX13" s="626" t="e">
        <f t="shared" ref="AX13" ca="1" si="41">AR13*AW13</f>
        <v>#NAME?</v>
      </c>
      <c r="AY13" s="81" t="e">
        <f t="shared" ref="AY13" ca="1" si="42">ABS(_xll.crAsym(AW13,$AE13,$AC13))</f>
        <v>#NAME?</v>
      </c>
      <c r="AZ13" s="553" t="e">
        <f t="shared" ref="AZ13" ca="1" si="43">ABS(_xll.cgAsym(AW13,$AE13,$AC13))</f>
        <v>#NAME?</v>
      </c>
      <c r="BA13" s="199" t="e">
        <f t="shared" ca="1" si="16"/>
        <v>#NAME?</v>
      </c>
      <c r="BB13" s="62" t="e">
        <f t="shared" ref="BB13" ca="1" si="44">AR13*BA13</f>
        <v>#NAME?</v>
      </c>
    </row>
    <row r="14" spans="1:54" x14ac:dyDescent="0.25">
      <c r="F14" t="s">
        <v>65</v>
      </c>
    </row>
    <row r="15" spans="1:54" x14ac:dyDescent="0.25">
      <c r="E15" t="s">
        <v>26</v>
      </c>
      <c r="F15" t="s">
        <v>37</v>
      </c>
      <c r="G15">
        <f>250*12^3/12</f>
        <v>36000</v>
      </c>
    </row>
    <row r="16" spans="1:54" x14ac:dyDescent="0.25">
      <c r="E16" t="s">
        <v>25</v>
      </c>
      <c r="F16" t="s">
        <v>566</v>
      </c>
      <c r="G16">
        <v>205000</v>
      </c>
    </row>
    <row r="17" spans="5:7" x14ac:dyDescent="0.25">
      <c r="E17" t="s">
        <v>565</v>
      </c>
      <c r="F17" t="s">
        <v>203</v>
      </c>
      <c r="G17">
        <f>G15*G16/10^9</f>
        <v>7.38</v>
      </c>
    </row>
  </sheetData>
  <mergeCells count="3">
    <mergeCell ref="AS8:AT8"/>
    <mergeCell ref="AW8:AX8"/>
    <mergeCell ref="BA8:BB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Z46"/>
  <sheetViews>
    <sheetView workbookViewId="0"/>
  </sheetViews>
  <sheetFormatPr defaultRowHeight="15" x14ac:dyDescent="0.25"/>
  <cols>
    <col min="7" max="7" width="11.140625" bestFit="1" customWidth="1"/>
    <col min="8" max="9" width="11.140625" style="326" customWidth="1"/>
    <col min="10" max="10" width="15.42578125" style="1" customWidth="1"/>
    <col min="11" max="11" width="15.28515625" style="1" customWidth="1"/>
    <col min="12" max="12" width="11.85546875" style="1" customWidth="1"/>
    <col min="13" max="13" width="9.140625" style="367" customWidth="1"/>
    <col min="14" max="15" width="9.140625" style="1" customWidth="1"/>
    <col min="16" max="16" width="12.140625" style="368" customWidth="1"/>
    <col min="17" max="17" width="15.28515625" style="1" customWidth="1"/>
    <col min="18" max="18" width="11.85546875" style="1" customWidth="1"/>
    <col min="19" max="19" width="9.140625" style="367" customWidth="1"/>
    <col min="20" max="21" width="9.140625" style="1" customWidth="1"/>
    <col min="22" max="22" width="12.140625" style="368" customWidth="1"/>
    <col min="23" max="23" width="15.28515625" style="1" customWidth="1"/>
    <col min="24" max="24" width="11.85546875" style="1" customWidth="1"/>
    <col min="25" max="25" width="14.28515625" style="367" customWidth="1"/>
    <col min="26" max="27" width="9.140625" style="1" customWidth="1"/>
    <col min="28" max="28" width="12.140625" style="368" customWidth="1"/>
    <col min="29" max="29" width="15.28515625" style="1" customWidth="1"/>
    <col min="30" max="30" width="11.85546875" style="1" customWidth="1"/>
    <col min="31" max="31" width="9.140625" style="367" customWidth="1"/>
    <col min="32" max="34" width="9.140625" style="1" customWidth="1"/>
    <col min="35" max="35" width="12.140625" style="368" customWidth="1"/>
    <col min="36" max="36" width="15.28515625" style="1" customWidth="1"/>
    <col min="37" max="37" width="9.140625" style="367" customWidth="1"/>
    <col min="38" max="45" width="9.140625" style="1" customWidth="1"/>
    <col min="46" max="46" width="18" style="1" customWidth="1"/>
    <col min="47" max="49" width="9.140625" style="1" customWidth="1"/>
    <col min="50" max="51" width="12.140625" style="368" customWidth="1"/>
    <col min="52" max="53" width="9.140625" style="367" customWidth="1"/>
    <col min="54" max="55" width="9.140625" style="1" customWidth="1"/>
    <col min="56" max="56" width="17.85546875" style="368" customWidth="1"/>
    <col min="57" max="57" width="15.28515625" style="1" customWidth="1"/>
    <col min="58" max="58" width="11.85546875" style="1" customWidth="1"/>
    <col min="59" max="59" width="9.140625" style="367" customWidth="1"/>
    <col min="60" max="61" width="9.140625" style="1" customWidth="1"/>
    <col min="62" max="62" width="12.140625" style="368" customWidth="1"/>
    <col min="63" max="63" width="15.28515625" style="1" customWidth="1"/>
    <col min="64" max="64" width="11.85546875" style="1" customWidth="1"/>
    <col min="65" max="65" width="9.140625" style="367" customWidth="1"/>
    <col min="66" max="67" width="9.140625" style="1" customWidth="1"/>
    <col min="68" max="68" width="12.140625" style="368" customWidth="1"/>
    <col min="69" max="69" width="15.28515625" style="1" customWidth="1"/>
    <col min="70" max="70" width="11.85546875" style="1" customWidth="1"/>
    <col min="71" max="71" width="9.140625" style="367" customWidth="1"/>
    <col min="72" max="73" width="9.140625" style="1" customWidth="1"/>
    <col min="74" max="77" width="12.140625" style="368" customWidth="1"/>
    <col min="78" max="78" width="9.140625" style="173" customWidth="1"/>
    <col min="79" max="79" width="12.140625" style="368" customWidth="1"/>
    <col min="81" max="81" width="15.42578125" customWidth="1"/>
    <col min="82" max="82" width="15.28515625" customWidth="1"/>
    <col min="83" max="83" width="11.85546875" customWidth="1"/>
    <col min="84" max="86" width="9.140625" customWidth="1"/>
    <col min="87" max="87" width="12.140625" customWidth="1"/>
    <col min="88" max="88" width="15.28515625" customWidth="1"/>
    <col min="89" max="89" width="11.85546875" customWidth="1"/>
    <col min="90" max="92" width="9.140625" customWidth="1"/>
    <col min="93" max="93" width="9.140625" style="326" customWidth="1"/>
    <col min="94" max="94" width="12.140625" customWidth="1"/>
    <col min="95" max="122" width="12.140625" style="326" customWidth="1"/>
    <col min="123" max="123" width="15.28515625" customWidth="1"/>
    <col min="124" max="124" width="11.85546875" customWidth="1"/>
    <col min="125" max="127" width="9.140625" customWidth="1"/>
    <col min="128" max="128" width="12.140625" customWidth="1"/>
    <col min="129" max="129" width="15.28515625" customWidth="1"/>
    <col min="130" max="130" width="11.85546875" customWidth="1"/>
    <col min="131" max="133" width="9.140625" customWidth="1"/>
    <col min="134" max="134" width="12.140625" customWidth="1"/>
    <col min="135" max="135" width="15.28515625" customWidth="1"/>
    <col min="136" max="140" width="9.140625" customWidth="1"/>
    <col min="141" max="142" width="12.140625" customWidth="1"/>
    <col min="143" max="143" width="14.85546875" customWidth="1"/>
    <col min="144" max="144" width="15.28515625" customWidth="1"/>
    <col min="145" max="145" width="11.85546875" customWidth="1"/>
    <col min="146" max="148" width="9.140625" customWidth="1"/>
    <col min="149" max="149" width="12.140625" customWidth="1"/>
    <col min="150" max="150" width="15.28515625" customWidth="1"/>
    <col min="151" max="151" width="11.85546875" customWidth="1"/>
    <col min="152" max="154" width="9.140625" customWidth="1"/>
    <col min="155" max="155" width="12.140625" customWidth="1"/>
    <col min="156" max="156" width="15.28515625" customWidth="1"/>
    <col min="157" max="157" width="11.85546875" customWidth="1"/>
    <col min="158" max="160" width="9.140625" customWidth="1"/>
    <col min="161" max="161" width="12.140625" customWidth="1"/>
    <col min="162" max="162" width="15.28515625" customWidth="1"/>
    <col min="163" max="163" width="11.85546875" customWidth="1"/>
    <col min="164" max="166" width="9.140625" customWidth="1"/>
    <col min="167" max="170" width="12.140625" customWidth="1"/>
    <col min="171" max="171" width="9.140625" customWidth="1"/>
    <col min="172" max="172" width="12.140625" customWidth="1"/>
  </cols>
  <sheetData>
    <row r="1" spans="1:182" s="326" customFormat="1" x14ac:dyDescent="0.25">
      <c r="B1" s="23" t="s">
        <v>283</v>
      </c>
      <c r="K1" s="643" t="s">
        <v>367</v>
      </c>
      <c r="L1" s="270" t="s">
        <v>129</v>
      </c>
      <c r="M1" s="384" t="s">
        <v>128</v>
      </c>
      <c r="N1" s="270" t="s">
        <v>368</v>
      </c>
      <c r="O1" s="270" t="s">
        <v>369</v>
      </c>
      <c r="P1" s="384" t="s">
        <v>370</v>
      </c>
      <c r="Q1" s="384" t="s">
        <v>371</v>
      </c>
      <c r="R1" s="384" t="s">
        <v>372</v>
      </c>
      <c r="S1" s="384" t="s">
        <v>421</v>
      </c>
      <c r="T1" s="367"/>
      <c r="U1" s="643" t="s">
        <v>553</v>
      </c>
      <c r="V1" s="598" t="s">
        <v>129</v>
      </c>
      <c r="W1" s="384" t="s">
        <v>128</v>
      </c>
      <c r="X1" s="598" t="s">
        <v>368</v>
      </c>
      <c r="Y1" s="598" t="s">
        <v>369</v>
      </c>
      <c r="Z1" s="384" t="s">
        <v>370</v>
      </c>
      <c r="AA1" s="384" t="s">
        <v>371</v>
      </c>
      <c r="AB1" s="384"/>
      <c r="AC1" s="643" t="s">
        <v>373</v>
      </c>
      <c r="AD1" s="1" t="s">
        <v>129</v>
      </c>
      <c r="AE1" s="1" t="s">
        <v>99</v>
      </c>
      <c r="AF1" s="367" t="s">
        <v>87</v>
      </c>
      <c r="AG1" s="367" t="s">
        <v>372</v>
      </c>
      <c r="AH1" s="389"/>
      <c r="AI1" s="643" t="s">
        <v>374</v>
      </c>
      <c r="AJ1" s="1" t="s">
        <v>129</v>
      </c>
      <c r="AK1" s="1" t="s">
        <v>128</v>
      </c>
      <c r="AL1" s="1" t="s">
        <v>375</v>
      </c>
      <c r="AM1" s="1" t="s">
        <v>376</v>
      </c>
      <c r="AN1" s="367" t="s">
        <v>370</v>
      </c>
      <c r="AO1" s="367" t="s">
        <v>371</v>
      </c>
      <c r="AP1" s="367" t="s">
        <v>377</v>
      </c>
      <c r="AQ1" s="368"/>
      <c r="AR1" s="1"/>
      <c r="AS1" s="367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368"/>
      <c r="BH1" s="367"/>
      <c r="BI1" s="367"/>
      <c r="BJ1" s="1"/>
      <c r="BK1" s="1"/>
      <c r="BL1" s="368"/>
      <c r="BM1" s="1"/>
      <c r="BN1" s="1"/>
      <c r="BO1" s="367"/>
      <c r="BP1" s="1"/>
      <c r="BQ1" s="1"/>
      <c r="BR1" s="368"/>
      <c r="BS1" s="1"/>
      <c r="BT1" s="1"/>
      <c r="BU1" s="367"/>
      <c r="BV1" s="1"/>
      <c r="BW1" s="1"/>
      <c r="BX1" s="368"/>
      <c r="BY1" s="1"/>
      <c r="BZ1" s="1"/>
      <c r="CA1" s="367"/>
      <c r="CB1" s="1"/>
      <c r="CC1" s="1"/>
      <c r="CD1" s="368"/>
      <c r="CE1" s="368"/>
      <c r="CF1" s="368"/>
      <c r="CG1" s="368"/>
      <c r="CH1" s="173"/>
      <c r="CI1" s="368"/>
    </row>
    <row r="2" spans="1:182" s="326" customFormat="1" x14ac:dyDescent="0.25">
      <c r="B2" s="325" t="s">
        <v>48</v>
      </c>
      <c r="C2" s="326" t="s">
        <v>424</v>
      </c>
      <c r="J2" s="1"/>
      <c r="K2" s="643"/>
      <c r="L2" s="1" t="s">
        <v>38</v>
      </c>
      <c r="M2" s="367" t="s">
        <v>38</v>
      </c>
      <c r="N2" s="1" t="s">
        <v>38</v>
      </c>
      <c r="O2" s="1" t="s">
        <v>38</v>
      </c>
      <c r="P2" s="367" t="s">
        <v>381</v>
      </c>
      <c r="Q2" s="367" t="s">
        <v>381</v>
      </c>
      <c r="R2" s="367" t="s">
        <v>381</v>
      </c>
      <c r="S2" s="367" t="s">
        <v>422</v>
      </c>
      <c r="T2" s="367"/>
      <c r="U2" s="643"/>
      <c r="V2" s="1" t="s">
        <v>38</v>
      </c>
      <c r="W2" s="367" t="s">
        <v>38</v>
      </c>
      <c r="X2" s="1" t="s">
        <v>38</v>
      </c>
      <c r="Y2" s="1" t="s">
        <v>38</v>
      </c>
      <c r="Z2" s="367" t="s">
        <v>381</v>
      </c>
      <c r="AA2" s="367" t="s">
        <v>381</v>
      </c>
      <c r="AB2" s="384"/>
      <c r="AC2" s="643"/>
      <c r="AD2" s="1" t="s">
        <v>38</v>
      </c>
      <c r="AE2" s="1" t="s">
        <v>38</v>
      </c>
      <c r="AF2" s="367" t="s">
        <v>381</v>
      </c>
      <c r="AG2" s="367" t="s">
        <v>381</v>
      </c>
      <c r="AH2" s="389"/>
      <c r="AI2" s="643"/>
      <c r="AJ2" s="1" t="s">
        <v>38</v>
      </c>
      <c r="AK2" s="1" t="s">
        <v>38</v>
      </c>
      <c r="AL2" s="1" t="s">
        <v>38</v>
      </c>
      <c r="AM2" s="1" t="s">
        <v>38</v>
      </c>
      <c r="AN2" s="367" t="s">
        <v>381</v>
      </c>
      <c r="AO2" s="367" t="s">
        <v>381</v>
      </c>
      <c r="AP2" s="367" t="s">
        <v>381</v>
      </c>
      <c r="AQ2" s="368"/>
      <c r="AR2" s="1"/>
      <c r="AS2" s="367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368"/>
      <c r="BH2" s="367"/>
      <c r="BI2" s="367"/>
      <c r="BJ2" s="1"/>
      <c r="BK2" s="1"/>
      <c r="BL2" s="368"/>
      <c r="BM2" s="1"/>
      <c r="BN2" s="1"/>
      <c r="BO2" s="367"/>
      <c r="BP2" s="1"/>
      <c r="BQ2" s="1"/>
      <c r="BR2" s="368"/>
      <c r="BS2" s="1"/>
      <c r="BT2" s="1"/>
      <c r="BU2" s="367"/>
      <c r="BV2" s="1"/>
      <c r="BW2" s="1"/>
      <c r="BX2" s="368"/>
      <c r="BY2" s="1"/>
      <c r="BZ2" s="1"/>
      <c r="CA2" s="367"/>
      <c r="CB2" s="1"/>
      <c r="CC2" s="1"/>
      <c r="CD2" s="368"/>
      <c r="CE2" s="368"/>
      <c r="CF2" s="368"/>
      <c r="CG2" s="368"/>
      <c r="CH2" s="173"/>
      <c r="CI2" s="368"/>
    </row>
    <row r="3" spans="1:182" s="326" customFormat="1" x14ac:dyDescent="0.25">
      <c r="B3" s="325" t="s">
        <v>225</v>
      </c>
      <c r="C3" s="326" t="s">
        <v>425</v>
      </c>
      <c r="J3" s="1"/>
      <c r="K3" s="387" t="s">
        <v>234</v>
      </c>
      <c r="L3" s="387">
        <v>300</v>
      </c>
      <c r="M3" s="386">
        <v>200</v>
      </c>
      <c r="N3" s="387">
        <v>16</v>
      </c>
      <c r="O3" s="387">
        <v>9</v>
      </c>
      <c r="P3" s="357">
        <f>_xll.Iyy_ISection($L3,$N3,$M3,$O3)/10^4</f>
        <v>14362.275733333334</v>
      </c>
      <c r="Q3" s="357">
        <f>_xll.Izz_ISection($L3,$N3,$M3,$O3)/10^4</f>
        <v>2134.9614333333334</v>
      </c>
      <c r="R3" s="357">
        <f>_xll.J_ISection($L3,$N3,$M3,$O3)/10^4</f>
        <v>61.903333333333336</v>
      </c>
      <c r="S3" s="357">
        <f>_xll.Cw_ISection($L3,$N3,$M3,$O3)/10^6</f>
        <v>110122325.33333333</v>
      </c>
      <c r="U3" s="387" t="s">
        <v>554</v>
      </c>
      <c r="V3" s="387">
        <v>300</v>
      </c>
      <c r="W3" s="386">
        <v>50</v>
      </c>
      <c r="X3" s="387">
        <v>9</v>
      </c>
      <c r="Y3" s="387">
        <v>9</v>
      </c>
      <c r="Z3" s="357">
        <f>_xll.Iyy_Channel($V3,$X3,$W3,$Y3)/10^4</f>
        <v>3587.8625999999999</v>
      </c>
      <c r="AA3" s="357">
        <f>_xll.Izz_Channel($V3,$X3,$W3,$Y3)/10^4</f>
        <v>48.384471989528649</v>
      </c>
      <c r="AB3" s="384"/>
      <c r="AC3" s="387"/>
      <c r="AD3" s="387">
        <v>300</v>
      </c>
      <c r="AE3" s="387">
        <v>16</v>
      </c>
      <c r="AF3" s="357">
        <f>_xll.Iyy_CHS(AD3,AE3)/10^4</f>
        <v>14438.136543916216</v>
      </c>
      <c r="AG3" s="357">
        <f>_xll.J_CHS(AD3,AE3)/10^4</f>
        <v>28784.910546917796</v>
      </c>
      <c r="AH3" s="389"/>
      <c r="AI3" s="387" t="s">
        <v>477</v>
      </c>
      <c r="AJ3" s="387">
        <v>200</v>
      </c>
      <c r="AK3" s="387">
        <v>200</v>
      </c>
      <c r="AL3" s="387">
        <v>9</v>
      </c>
      <c r="AM3" s="387">
        <v>9</v>
      </c>
      <c r="AN3" s="357">
        <f>_xll.Iyy_RHS(AJ3,AL3,AK3,AM3)/10^4</f>
        <v>4190.0051999999996</v>
      </c>
      <c r="AO3" s="357">
        <f>_xll.Izz_RHS(AJ3,AL3,AK3,AM3)/10^4</f>
        <v>4190.0051999999996</v>
      </c>
      <c r="AP3" s="357">
        <f>_xll.J_RHS(AJ3,AL3,AK3,AM3)/10^4</f>
        <v>6271.0838999999996</v>
      </c>
      <c r="AQ3" s="368"/>
      <c r="AR3" s="1"/>
      <c r="AS3" s="367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368"/>
      <c r="BH3" s="367"/>
      <c r="BI3" s="367"/>
      <c r="BJ3" s="1"/>
      <c r="BK3" s="1"/>
      <c r="BL3" s="368"/>
      <c r="BM3" s="1"/>
      <c r="BN3" s="1"/>
      <c r="BO3" s="367"/>
      <c r="BP3" s="1"/>
      <c r="BQ3" s="1"/>
      <c r="BR3" s="368"/>
      <c r="BS3" s="1"/>
      <c r="BT3" s="1"/>
      <c r="BU3" s="367"/>
      <c r="BV3" s="1"/>
      <c r="BW3" s="1"/>
      <c r="BX3" s="368"/>
      <c r="BY3" s="1"/>
      <c r="BZ3" s="1"/>
      <c r="CA3" s="367"/>
      <c r="CB3" s="1"/>
      <c r="CC3" s="1"/>
      <c r="CD3" s="368"/>
      <c r="CE3" s="368"/>
      <c r="CF3" s="368"/>
      <c r="CG3" s="368"/>
      <c r="CH3" s="173"/>
      <c r="CI3" s="368"/>
    </row>
    <row r="4" spans="1:182" s="326" customFormat="1" x14ac:dyDescent="0.25">
      <c r="J4" s="1"/>
      <c r="K4" s="387"/>
      <c r="L4" s="387"/>
      <c r="M4" s="386"/>
      <c r="N4" s="387"/>
      <c r="O4" s="387"/>
      <c r="P4" s="357"/>
      <c r="Q4" s="357"/>
      <c r="R4" s="357"/>
      <c r="S4" s="357"/>
      <c r="T4" s="367"/>
      <c r="U4" s="387" t="s">
        <v>555</v>
      </c>
      <c r="V4" s="387">
        <v>150</v>
      </c>
      <c r="W4" s="386">
        <v>50</v>
      </c>
      <c r="X4" s="387">
        <v>9</v>
      </c>
      <c r="Y4" s="387">
        <v>9</v>
      </c>
      <c r="Z4" s="357">
        <f>_xll.Iyy_Channel($V4,$X4,$W4,$Y4)/10^4</f>
        <v>620.42759999999998</v>
      </c>
      <c r="AA4" s="357">
        <f>_xll.Izz_Channel($V4,$X4,$W4,$Y4)/10^4</f>
        <v>41.07159827586203</v>
      </c>
      <c r="AB4" s="384"/>
      <c r="AC4" s="387"/>
      <c r="AD4" s="387">
        <v>300</v>
      </c>
      <c r="AE4" s="387">
        <v>16</v>
      </c>
      <c r="AF4" s="357">
        <f t="shared" ref="AF4:AF7" si="0">_xll.Iyy_CHS(AD4,AE4)/10^4</f>
        <v>14438.136543916216</v>
      </c>
      <c r="AG4" s="357">
        <f t="shared" ref="AG4:AG7" si="1">_xll.J_CHS(AD4,AE4)/10^4</f>
        <v>28784.910546917796</v>
      </c>
      <c r="AH4" s="367"/>
      <c r="AI4" s="387"/>
      <c r="AJ4" s="387">
        <v>300</v>
      </c>
      <c r="AK4" s="387">
        <v>300</v>
      </c>
      <c r="AL4" s="387">
        <v>9</v>
      </c>
      <c r="AM4" s="387">
        <v>9</v>
      </c>
      <c r="AN4" s="357">
        <f t="shared" ref="AN4:AN7" si="2">_xll.Iyy_RHS(AJ4,AL4,AK4,AM4)/10^4</f>
        <v>14799.4452</v>
      </c>
      <c r="AO4" s="357">
        <f t="shared" ref="AO4:AO7" si="3">_xll.Izz_RHS(AJ4,AL4,AK4,AM4)/10^4</f>
        <v>14799.4452</v>
      </c>
      <c r="AP4" s="357">
        <f t="shared" ref="AP4:AP7" si="4">_xll.J_RHS(AJ4,AL4,AK4,AM4)/10^4</f>
        <v>22177.9539</v>
      </c>
      <c r="AQ4" s="383"/>
      <c r="AR4" s="1"/>
      <c r="AS4" s="367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368"/>
      <c r="BH4" s="367"/>
      <c r="BI4" s="367"/>
      <c r="BJ4" s="1"/>
      <c r="BK4" s="1"/>
      <c r="BL4" s="368"/>
      <c r="BM4" s="1"/>
      <c r="BN4" s="1"/>
      <c r="BO4" s="367"/>
      <c r="BP4" s="1"/>
      <c r="BQ4" s="1"/>
      <c r="BR4" s="368"/>
      <c r="BS4" s="1"/>
      <c r="BT4" s="1"/>
      <c r="BU4" s="367"/>
      <c r="BV4" s="1"/>
      <c r="BW4" s="1"/>
      <c r="BX4" s="368"/>
      <c r="BY4" s="1"/>
      <c r="BZ4" s="1"/>
      <c r="CA4" s="367"/>
      <c r="CB4" s="1"/>
      <c r="CC4" s="1"/>
      <c r="CD4" s="368"/>
      <c r="CE4" s="368"/>
      <c r="CF4" s="368"/>
      <c r="CG4" s="368"/>
      <c r="CH4" s="173"/>
      <c r="CI4" s="368"/>
    </row>
    <row r="5" spans="1:182" s="326" customFormat="1" x14ac:dyDescent="0.25">
      <c r="B5" s="388" t="s">
        <v>380</v>
      </c>
      <c r="J5" s="1"/>
      <c r="K5" s="9"/>
      <c r="L5" s="9"/>
      <c r="M5" s="104"/>
      <c r="N5" s="9"/>
      <c r="O5" s="9"/>
      <c r="P5" s="19"/>
      <c r="Q5" s="19"/>
      <c r="R5" s="19"/>
      <c r="S5" s="19"/>
      <c r="T5" s="367"/>
      <c r="U5" s="387"/>
      <c r="V5" s="387"/>
      <c r="W5" s="386"/>
      <c r="X5" s="387"/>
      <c r="Y5" s="387"/>
      <c r="Z5" s="357"/>
      <c r="AA5" s="357"/>
      <c r="AB5" s="384"/>
      <c r="AC5" s="387"/>
      <c r="AD5" s="387"/>
      <c r="AE5" s="385"/>
      <c r="AF5" s="357">
        <f t="shared" si="0"/>
        <v>0</v>
      </c>
      <c r="AG5" s="357">
        <f t="shared" si="1"/>
        <v>0</v>
      </c>
      <c r="AH5" s="367"/>
      <c r="AI5" s="387"/>
      <c r="AJ5" s="387"/>
      <c r="AK5" s="387"/>
      <c r="AL5" s="385"/>
      <c r="AM5" s="385"/>
      <c r="AN5" s="357">
        <f t="shared" si="2"/>
        <v>0</v>
      </c>
      <c r="AO5" s="357">
        <f t="shared" si="3"/>
        <v>0</v>
      </c>
      <c r="AP5" s="357" t="e">
        <f t="shared" si="4"/>
        <v>#NUM!</v>
      </c>
      <c r="AQ5" s="368"/>
      <c r="AR5" s="1"/>
      <c r="AS5" s="367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368"/>
      <c r="BH5" s="367"/>
      <c r="BI5" s="367"/>
      <c r="BJ5" s="1"/>
      <c r="BK5" s="1"/>
      <c r="BL5" s="368"/>
      <c r="BM5" s="1"/>
      <c r="BN5" s="1"/>
      <c r="BO5" s="367"/>
      <c r="BP5" s="1"/>
      <c r="BQ5" s="1"/>
      <c r="BR5" s="368"/>
      <c r="BS5" s="1"/>
      <c r="BT5" s="1"/>
      <c r="BU5" s="367"/>
      <c r="BV5" s="1"/>
      <c r="BW5" s="1"/>
      <c r="BX5" s="368"/>
      <c r="BY5" s="1"/>
      <c r="BZ5" s="1"/>
      <c r="CA5" s="367"/>
      <c r="CB5" s="1"/>
      <c r="CC5" s="1"/>
      <c r="CD5" s="368"/>
      <c r="CE5" s="368"/>
      <c r="CF5" s="368"/>
      <c r="CG5" s="368"/>
      <c r="CH5" s="173"/>
      <c r="CI5" s="368"/>
    </row>
    <row r="6" spans="1:182" s="326" customFormat="1" x14ac:dyDescent="0.25">
      <c r="B6" s="388" t="s">
        <v>379</v>
      </c>
      <c r="J6" s="1"/>
      <c r="K6" s="493" t="s">
        <v>232</v>
      </c>
      <c r="L6" s="493">
        <v>300</v>
      </c>
      <c r="M6" s="494">
        <v>150</v>
      </c>
      <c r="N6" s="493">
        <v>9</v>
      </c>
      <c r="O6" s="493">
        <v>6.5</v>
      </c>
      <c r="P6" s="495">
        <f t="shared" ref="P6:P9" si="5">_xll.Iyy_ISection($L6,$N6,$M6,$O6)/10^4</f>
        <v>6932.5191000000004</v>
      </c>
      <c r="Q6" s="495">
        <f t="shared" ref="Q6:Q9" si="6">_xll.Izz_ISection($L6,$N6,$M6,$O6)/10^4</f>
        <v>506.89536874999999</v>
      </c>
      <c r="R6" s="495">
        <f t="shared" ref="R6:R9" si="7">_xll.J_ISection($L6,$N6,$M6,$O6)/10^4</f>
        <v>10.036250000000001</v>
      </c>
      <c r="S6" s="495">
        <f t="shared" ref="S6:S9" si="8">_xll.Cw_ISection($L6,$N6,$M6,$O6)/10^6</f>
        <v>8681125.640625</v>
      </c>
      <c r="T6" s="367"/>
      <c r="U6" s="387"/>
      <c r="V6" s="387"/>
      <c r="W6" s="386"/>
      <c r="X6" s="387"/>
      <c r="Y6" s="387"/>
      <c r="Z6" s="357"/>
      <c r="AA6" s="357"/>
      <c r="AB6" s="384"/>
      <c r="AC6" s="387"/>
      <c r="AD6" s="387"/>
      <c r="AE6" s="385"/>
      <c r="AF6" s="357">
        <f t="shared" si="0"/>
        <v>0</v>
      </c>
      <c r="AG6" s="357">
        <f t="shared" si="1"/>
        <v>0</v>
      </c>
      <c r="AH6" s="367"/>
      <c r="AI6" s="387"/>
      <c r="AJ6" s="387"/>
      <c r="AK6" s="387"/>
      <c r="AL6" s="385"/>
      <c r="AM6" s="385"/>
      <c r="AN6" s="357">
        <f t="shared" si="2"/>
        <v>0</v>
      </c>
      <c r="AO6" s="357">
        <f t="shared" si="3"/>
        <v>0</v>
      </c>
      <c r="AP6" s="357" t="e">
        <f t="shared" si="4"/>
        <v>#NUM!</v>
      </c>
      <c r="AQ6" s="368"/>
      <c r="AR6" s="1"/>
      <c r="AS6" s="367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368"/>
      <c r="BH6" s="367"/>
      <c r="BI6" s="367"/>
      <c r="BJ6" s="1"/>
      <c r="BK6" s="1"/>
      <c r="BL6" s="368"/>
      <c r="BM6" s="1"/>
      <c r="BN6" s="1"/>
      <c r="BO6" s="367"/>
      <c r="BP6" s="1"/>
      <c r="BQ6" s="1"/>
      <c r="BR6" s="368"/>
      <c r="BS6" s="1"/>
      <c r="BT6" s="1"/>
      <c r="BU6" s="367"/>
      <c r="BV6" s="1"/>
      <c r="BW6" s="1"/>
      <c r="BX6" s="368"/>
      <c r="BY6" s="1"/>
      <c r="BZ6" s="1"/>
      <c r="CA6" s="367"/>
      <c r="CB6" s="1"/>
      <c r="CC6" s="1"/>
      <c r="CD6" s="368"/>
      <c r="CE6" s="368"/>
      <c r="CF6" s="368"/>
      <c r="CG6" s="368"/>
      <c r="CH6" s="173"/>
      <c r="CI6" s="368"/>
    </row>
    <row r="7" spans="1:182" s="326" customFormat="1" x14ac:dyDescent="0.25">
      <c r="B7" s="388" t="s">
        <v>378</v>
      </c>
      <c r="J7" s="1"/>
      <c r="K7" s="387" t="s">
        <v>239</v>
      </c>
      <c r="L7" s="387">
        <v>312</v>
      </c>
      <c r="M7" s="386">
        <v>305</v>
      </c>
      <c r="N7" s="387">
        <v>17</v>
      </c>
      <c r="O7" s="387">
        <v>10.9</v>
      </c>
      <c r="P7" s="357">
        <f t="shared" si="5"/>
        <v>24537.755473333327</v>
      </c>
      <c r="Q7" s="357">
        <f t="shared" si="6"/>
        <v>8041.910567183334</v>
      </c>
      <c r="R7" s="357">
        <f t="shared" si="7"/>
        <v>113.36596826666666</v>
      </c>
      <c r="S7" s="357">
        <f t="shared" si="8"/>
        <v>505451014.33502609</v>
      </c>
      <c r="T7" s="367"/>
      <c r="U7" s="387"/>
      <c r="V7" s="387"/>
      <c r="W7" s="386"/>
      <c r="X7" s="387"/>
      <c r="Y7" s="387"/>
      <c r="Z7" s="357"/>
      <c r="AA7" s="357"/>
      <c r="AB7" s="384"/>
      <c r="AC7" s="387"/>
      <c r="AD7" s="387"/>
      <c r="AE7" s="385"/>
      <c r="AF7" s="357">
        <f t="shared" si="0"/>
        <v>0</v>
      </c>
      <c r="AG7" s="357">
        <f t="shared" si="1"/>
        <v>0</v>
      </c>
      <c r="AH7" s="367"/>
      <c r="AI7" s="387"/>
      <c r="AJ7" s="387"/>
      <c r="AK7" s="387"/>
      <c r="AL7" s="385"/>
      <c r="AM7" s="385"/>
      <c r="AN7" s="357">
        <f t="shared" si="2"/>
        <v>0</v>
      </c>
      <c r="AO7" s="357">
        <f t="shared" si="3"/>
        <v>0</v>
      </c>
      <c r="AP7" s="357" t="e">
        <f t="shared" si="4"/>
        <v>#NUM!</v>
      </c>
      <c r="AQ7" s="368"/>
      <c r="AR7" s="1"/>
      <c r="AS7" s="367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368"/>
      <c r="BH7" s="367"/>
      <c r="BI7" s="367"/>
      <c r="BJ7" s="1"/>
      <c r="BK7" s="1"/>
      <c r="BL7" s="368"/>
      <c r="BM7" s="1"/>
      <c r="BN7" s="1"/>
      <c r="BO7" s="367"/>
      <c r="BP7" s="1"/>
      <c r="BQ7" s="1"/>
      <c r="BR7" s="368"/>
      <c r="BS7" s="1"/>
      <c r="BT7" s="1"/>
      <c r="BU7" s="367"/>
      <c r="BV7" s="1"/>
      <c r="BW7" s="1"/>
      <c r="BX7" s="368"/>
      <c r="BY7" s="1"/>
      <c r="BZ7" s="1"/>
      <c r="CA7" s="367"/>
      <c r="CB7" s="1"/>
      <c r="CC7" s="1"/>
      <c r="CD7" s="368"/>
      <c r="CE7" s="368"/>
      <c r="CF7" s="368"/>
      <c r="CG7" s="368"/>
      <c r="CH7" s="173"/>
      <c r="CI7" s="368"/>
    </row>
    <row r="8" spans="1:182" s="326" customFormat="1" x14ac:dyDescent="0.25">
      <c r="B8" s="396" t="s">
        <v>383</v>
      </c>
      <c r="J8" s="1"/>
      <c r="K8" s="387" t="s">
        <v>243</v>
      </c>
      <c r="L8" s="387">
        <v>409</v>
      </c>
      <c r="M8" s="386">
        <v>179</v>
      </c>
      <c r="N8" s="387">
        <v>14.4</v>
      </c>
      <c r="O8" s="387">
        <v>8.76</v>
      </c>
      <c r="P8" s="357">
        <f t="shared" si="5"/>
        <v>24088.688775784001</v>
      </c>
      <c r="Q8" s="357">
        <f t="shared" si="6"/>
        <v>1378.6111813929604</v>
      </c>
      <c r="R8" s="357">
        <f t="shared" si="7"/>
        <v>44.79736049280001</v>
      </c>
      <c r="S8" s="357">
        <f t="shared" si="8"/>
        <v>111109064.07693994</v>
      </c>
      <c r="T8" s="1"/>
      <c r="U8" s="387"/>
      <c r="V8" s="387"/>
      <c r="W8" s="386"/>
      <c r="X8" s="387"/>
      <c r="Y8" s="387"/>
      <c r="Z8" s="357"/>
      <c r="AA8" s="357"/>
      <c r="AB8" s="384"/>
      <c r="AC8" s="1"/>
      <c r="AD8" s="368"/>
      <c r="AE8" s="1"/>
      <c r="AF8" s="1"/>
      <c r="AG8" s="367"/>
      <c r="AH8" s="1"/>
      <c r="AI8" s="1"/>
      <c r="AJ8" s="368"/>
      <c r="AK8" s="1"/>
      <c r="AL8" s="1"/>
      <c r="AM8" s="367"/>
      <c r="AN8" s="1"/>
      <c r="AO8" s="1"/>
      <c r="AP8" s="368"/>
      <c r="AQ8" s="1"/>
      <c r="AR8" s="447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368"/>
      <c r="BE8" s="368"/>
      <c r="BF8" s="368"/>
      <c r="BG8" s="1"/>
      <c r="BH8" s="1"/>
      <c r="BI8" s="1"/>
      <c r="BJ8" s="1"/>
      <c r="BK8" s="368"/>
      <c r="BL8" s="1"/>
      <c r="BM8" s="1"/>
      <c r="BN8" s="367"/>
      <c r="BO8" s="1"/>
      <c r="BP8" s="1"/>
      <c r="BQ8" s="368"/>
      <c r="BR8" s="1"/>
      <c r="BS8" s="1"/>
      <c r="BT8" s="367"/>
      <c r="BU8" s="1"/>
      <c r="BV8" s="1"/>
      <c r="BW8" s="368"/>
      <c r="BX8" s="1"/>
      <c r="BY8" s="1"/>
      <c r="BZ8" s="367"/>
      <c r="CA8" s="1"/>
      <c r="CB8" s="1"/>
      <c r="CC8" s="368"/>
      <c r="CD8" s="368"/>
      <c r="CE8" s="368"/>
      <c r="CF8" s="368"/>
      <c r="CG8" s="173"/>
      <c r="CH8" s="368"/>
    </row>
    <row r="9" spans="1:182" s="326" customFormat="1" x14ac:dyDescent="0.25">
      <c r="B9" s="396" t="s">
        <v>384</v>
      </c>
      <c r="J9" s="1"/>
      <c r="K9" s="387" t="s">
        <v>410</v>
      </c>
      <c r="L9" s="387">
        <v>300</v>
      </c>
      <c r="M9" s="386">
        <f>200-2*80</f>
        <v>40</v>
      </c>
      <c r="N9" s="387">
        <v>16</v>
      </c>
      <c r="O9" s="387">
        <v>9</v>
      </c>
      <c r="P9" s="357">
        <f t="shared" si="5"/>
        <v>4027.3850666666663</v>
      </c>
      <c r="Q9" s="357">
        <f t="shared" si="6"/>
        <v>18.694766666666666</v>
      </c>
      <c r="R9" s="357">
        <f t="shared" si="7"/>
        <v>18.212666666666667</v>
      </c>
      <c r="S9" s="357">
        <f t="shared" si="8"/>
        <v>880978.60266666661</v>
      </c>
      <c r="T9" s="367"/>
      <c r="U9" s="387"/>
      <c r="V9" s="387"/>
      <c r="W9" s="386"/>
      <c r="X9" s="387"/>
      <c r="Y9" s="387"/>
      <c r="Z9" s="357"/>
      <c r="AA9" s="357"/>
      <c r="AB9" s="384"/>
      <c r="AC9" s="1"/>
      <c r="AD9" s="368"/>
      <c r="AE9" s="1"/>
      <c r="AF9" s="1"/>
      <c r="AG9" s="367"/>
      <c r="AH9" s="1"/>
      <c r="AI9" s="1"/>
      <c r="AJ9" s="368"/>
      <c r="AK9" s="1"/>
      <c r="AL9" s="1"/>
      <c r="AM9" s="367"/>
      <c r="AN9" s="1"/>
      <c r="AO9" s="1"/>
      <c r="AP9" s="368"/>
      <c r="AQ9" s="1"/>
      <c r="AR9" s="367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446"/>
      <c r="BE9" s="446"/>
      <c r="BF9" s="446"/>
      <c r="BG9" s="1"/>
      <c r="BH9" s="1"/>
      <c r="BI9" s="1"/>
      <c r="BJ9" s="1"/>
      <c r="BK9" s="368"/>
      <c r="BL9" s="1"/>
      <c r="BM9" s="1"/>
      <c r="BN9" s="367"/>
      <c r="BO9" s="1"/>
      <c r="BP9" s="1"/>
      <c r="BQ9" s="368"/>
      <c r="BR9" s="1"/>
      <c r="BS9" s="1"/>
      <c r="BT9" s="367"/>
      <c r="BU9" s="1"/>
      <c r="BV9" s="1"/>
      <c r="BW9" s="368"/>
      <c r="BX9" s="1"/>
      <c r="BY9" s="1"/>
      <c r="BZ9" s="367"/>
      <c r="CA9" s="1"/>
      <c r="CB9" s="1"/>
      <c r="CC9" s="368"/>
      <c r="CD9" s="368"/>
      <c r="CE9" s="368"/>
      <c r="CF9" s="368"/>
      <c r="CG9" s="173"/>
      <c r="CH9" s="368"/>
    </row>
    <row r="10" spans="1:182" s="326" customFormat="1" x14ac:dyDescent="0.25">
      <c r="B10" s="388" t="s">
        <v>394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368"/>
      <c r="W10" s="3"/>
      <c r="X10" s="3"/>
      <c r="Y10" s="367"/>
      <c r="Z10" s="1"/>
      <c r="AA10" s="1"/>
      <c r="AB10" s="384"/>
      <c r="AC10" s="368"/>
      <c r="AD10" s="1"/>
      <c r="AE10" s="1"/>
      <c r="AF10" s="367"/>
      <c r="AG10" s="1"/>
      <c r="AH10" s="1"/>
      <c r="AI10" s="1"/>
      <c r="AJ10" s="368"/>
      <c r="AK10" s="1"/>
      <c r="AL10" s="367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368"/>
      <c r="AZ10" s="368"/>
      <c r="BA10" s="367"/>
      <c r="BB10" s="367"/>
      <c r="BC10" s="1"/>
      <c r="BD10" s="1"/>
      <c r="BE10" s="368"/>
      <c r="BF10" s="1"/>
      <c r="BG10" s="1"/>
      <c r="BH10" s="367"/>
      <c r="BI10" s="1"/>
      <c r="BJ10" s="1"/>
      <c r="BK10" s="368"/>
      <c r="BL10" s="1"/>
      <c r="BM10" s="1"/>
      <c r="BN10" s="367"/>
      <c r="BO10" s="1"/>
      <c r="BP10" s="1"/>
      <c r="BQ10" s="368"/>
      <c r="BR10" s="1"/>
      <c r="BS10" s="1"/>
      <c r="BT10" s="367"/>
      <c r="BU10" s="1"/>
      <c r="BV10" s="1"/>
      <c r="BW10" s="368"/>
      <c r="BX10" s="368"/>
      <c r="BY10" s="368"/>
      <c r="BZ10" s="368"/>
      <c r="CA10" s="173"/>
      <c r="CB10" s="368"/>
    </row>
    <row r="11" spans="1:182" ht="15.75" thickBot="1" x14ac:dyDescent="0.3">
      <c r="A11" s="326"/>
      <c r="B11" s="388" t="s">
        <v>426</v>
      </c>
      <c r="C11" s="326"/>
      <c r="D11" s="326"/>
      <c r="E11" s="326"/>
      <c r="F11" s="326"/>
      <c r="G11" s="326"/>
      <c r="CH11" s="326"/>
    </row>
    <row r="12" spans="1:182" x14ac:dyDescent="0.25">
      <c r="A12" s="326"/>
      <c r="D12" s="326"/>
      <c r="E12" s="326"/>
      <c r="F12" s="326"/>
      <c r="G12" s="326"/>
      <c r="K12" s="376" t="s">
        <v>258</v>
      </c>
      <c r="L12" s="397">
        <v>205000</v>
      </c>
      <c r="N12" s="376" t="s">
        <v>364</v>
      </c>
      <c r="O12" s="377" t="s">
        <v>341</v>
      </c>
      <c r="CH12" s="326"/>
    </row>
    <row r="13" spans="1:182" ht="15.75" thickBot="1" x14ac:dyDescent="0.3">
      <c r="A13" s="326"/>
      <c r="C13" s="326"/>
      <c r="D13" s="326"/>
      <c r="E13" s="326"/>
      <c r="F13" s="326"/>
      <c r="G13" s="326"/>
      <c r="K13" s="398" t="s">
        <v>385</v>
      </c>
      <c r="L13" s="399">
        <f>L12/2/(1+0.3)</f>
        <v>78846.153846153844</v>
      </c>
      <c r="N13" s="309" t="s">
        <v>197</v>
      </c>
      <c r="O13" s="363">
        <v>3</v>
      </c>
    </row>
    <row r="14" spans="1:182" ht="15.75" thickBot="1" x14ac:dyDescent="0.3">
      <c r="A14" s="326"/>
      <c r="B14" s="325"/>
      <c r="C14" s="326"/>
      <c r="D14" s="326"/>
      <c r="E14" s="326"/>
      <c r="F14" s="326"/>
      <c r="G14" s="326"/>
      <c r="N14" s="310" t="s">
        <v>196</v>
      </c>
      <c r="O14" s="364">
        <v>4</v>
      </c>
      <c r="AB14" s="1"/>
      <c r="AC14" s="368"/>
      <c r="AE14" s="1"/>
      <c r="AF14" s="367"/>
      <c r="AI14" s="1"/>
      <c r="AJ14" s="368"/>
      <c r="AK14" s="1"/>
      <c r="AL14" s="367"/>
      <c r="AM14" s="367"/>
      <c r="AN14" s="367"/>
      <c r="AO14" s="367"/>
      <c r="AP14" s="367"/>
      <c r="AQ14" s="367"/>
      <c r="AR14" s="367"/>
      <c r="AS14" s="367"/>
      <c r="AZ14" s="368"/>
      <c r="BA14" s="368"/>
      <c r="BC14" s="367"/>
      <c r="BD14" s="1"/>
      <c r="BF14" s="368"/>
      <c r="BG14" s="1"/>
      <c r="BI14" s="367"/>
      <c r="BJ14" s="1"/>
      <c r="BL14" s="368"/>
      <c r="BM14" s="1"/>
      <c r="BO14" s="367"/>
      <c r="BP14" s="1"/>
      <c r="BR14" s="368"/>
      <c r="BS14" s="1"/>
      <c r="BU14" s="367"/>
      <c r="BV14" s="1"/>
      <c r="BW14" s="1"/>
      <c r="BZ14" s="368"/>
      <c r="CB14" s="173"/>
      <c r="CC14" s="368"/>
    </row>
    <row r="15" spans="1:182" x14ac:dyDescent="0.25">
      <c r="A15" s="326"/>
      <c r="B15" s="325"/>
      <c r="C15" s="326"/>
      <c r="D15" s="326"/>
      <c r="E15" s="326"/>
      <c r="F15" s="326"/>
      <c r="G15" s="326"/>
      <c r="AB15" s="1"/>
      <c r="AC15" s="368"/>
      <c r="AE15" s="1"/>
      <c r="AF15" s="367"/>
      <c r="AI15" s="1"/>
      <c r="AJ15" s="368"/>
      <c r="AK15" s="1"/>
      <c r="AL15" s="367"/>
      <c r="AM15" s="367"/>
      <c r="AN15" s="367"/>
      <c r="AO15" s="367"/>
      <c r="AP15" s="367"/>
      <c r="AQ15" s="367"/>
      <c r="AR15" s="367"/>
      <c r="AS15" s="367"/>
      <c r="AY15" s="1"/>
      <c r="AZ15" s="1"/>
      <c r="BA15" s="1"/>
      <c r="BD15" s="1"/>
      <c r="BE15" s="367"/>
      <c r="BG15" s="1"/>
      <c r="BH15" s="368"/>
      <c r="BJ15" s="1"/>
      <c r="BL15" s="367"/>
      <c r="BM15" s="1"/>
      <c r="BO15" s="368"/>
      <c r="BP15" s="1"/>
      <c r="BW15" s="1"/>
      <c r="BX15" s="1"/>
      <c r="BY15" s="1"/>
      <c r="BZ15" s="367"/>
      <c r="CA15" s="1"/>
      <c r="CB15" s="1"/>
      <c r="CC15" s="368"/>
      <c r="CD15" s="368"/>
      <c r="CE15" s="1"/>
      <c r="CF15" s="368"/>
      <c r="CG15" s="368"/>
      <c r="CH15" s="173"/>
      <c r="CI15" s="368"/>
    </row>
    <row r="16" spans="1:182" x14ac:dyDescent="0.25">
      <c r="A16" s="326"/>
      <c r="B16" s="326"/>
      <c r="C16" s="645" t="s">
        <v>454</v>
      </c>
      <c r="D16" s="645" t="s">
        <v>455</v>
      </c>
      <c r="E16" s="326"/>
      <c r="F16" s="326"/>
      <c r="G16" s="326"/>
      <c r="J16" s="644" t="s">
        <v>402</v>
      </c>
      <c r="K16" s="644"/>
      <c r="L16" s="644"/>
      <c r="P16" s="1"/>
      <c r="Q16" s="368"/>
      <c r="S16" s="1"/>
      <c r="T16" s="367"/>
      <c r="V16" s="1"/>
      <c r="X16" s="368"/>
      <c r="Y16" s="1"/>
      <c r="AA16" s="367"/>
      <c r="AB16" s="1"/>
      <c r="AE16" s="368"/>
      <c r="AH16" s="367"/>
      <c r="AI16" s="1"/>
      <c r="AK16" s="1"/>
      <c r="AL16" s="368"/>
      <c r="AM16" s="368"/>
      <c r="AN16" s="368"/>
      <c r="AO16" s="368"/>
      <c r="AP16" s="368"/>
      <c r="AQ16" s="368"/>
      <c r="AR16" s="368"/>
      <c r="AS16" s="368"/>
      <c r="AU16" s="367"/>
      <c r="AX16" s="1"/>
      <c r="AY16" s="1"/>
      <c r="AZ16" s="1"/>
      <c r="BA16" s="1"/>
      <c r="BB16" s="368"/>
      <c r="BC16" s="368"/>
      <c r="BD16" s="1"/>
      <c r="BJ16" s="1"/>
      <c r="BK16" s="368"/>
      <c r="BM16" s="1"/>
      <c r="BN16" s="367"/>
      <c r="BP16" s="1"/>
      <c r="BR16" s="368"/>
      <c r="BS16" s="1"/>
      <c r="BU16" s="367"/>
      <c r="BV16" s="1"/>
      <c r="BW16" s="1"/>
      <c r="BX16" s="1"/>
      <c r="BZ16" s="1"/>
      <c r="CA16" s="1"/>
      <c r="CB16" s="367"/>
      <c r="CC16" s="1"/>
      <c r="CD16" s="1"/>
      <c r="CE16" s="1"/>
      <c r="CF16" s="368"/>
      <c r="CG16" s="368"/>
      <c r="CH16" s="445"/>
      <c r="CI16" s="368"/>
      <c r="CJ16" s="173"/>
      <c r="CK16" s="368"/>
      <c r="CL16" s="326"/>
      <c r="CM16" s="644" t="s">
        <v>403</v>
      </c>
      <c r="CN16" s="644"/>
      <c r="CO16" s="644"/>
      <c r="CP16" s="644"/>
      <c r="CQ16" s="367"/>
      <c r="CR16" s="367"/>
      <c r="CS16" s="367"/>
      <c r="CT16" s="367"/>
      <c r="CU16" s="367"/>
      <c r="CV16" s="367"/>
      <c r="CW16" s="367"/>
      <c r="CX16" s="367"/>
      <c r="CY16" s="1"/>
      <c r="CZ16" s="1"/>
      <c r="DA16" s="1"/>
      <c r="DB16" s="368"/>
      <c r="DC16" s="1"/>
      <c r="DD16" s="1"/>
      <c r="DE16" s="367"/>
      <c r="DF16" s="1"/>
      <c r="DG16" s="1"/>
      <c r="DH16" s="1"/>
      <c r="DI16" s="368"/>
      <c r="DJ16" s="1"/>
      <c r="DK16" s="1"/>
      <c r="DL16" s="367"/>
      <c r="DM16" s="1"/>
      <c r="DN16" s="1"/>
      <c r="DO16" s="1"/>
      <c r="DP16" s="368"/>
      <c r="DQ16" s="1"/>
      <c r="DR16" s="1"/>
      <c r="DS16" s="367"/>
      <c r="DT16" s="1"/>
      <c r="DU16" s="1"/>
      <c r="DV16" s="1"/>
      <c r="DW16" s="368"/>
      <c r="DX16" s="1"/>
      <c r="DY16" s="367"/>
      <c r="DZ16" s="1"/>
      <c r="EA16" s="1"/>
      <c r="EB16" s="1"/>
      <c r="EC16" s="1"/>
      <c r="ED16" s="1"/>
      <c r="EE16" s="368"/>
      <c r="EF16" s="368"/>
      <c r="EG16" s="1"/>
      <c r="EH16" s="1"/>
      <c r="EI16" s="1"/>
      <c r="EJ16" s="367"/>
      <c r="EK16" s="1"/>
      <c r="EL16" s="1"/>
      <c r="EM16" s="1"/>
      <c r="EN16" s="368"/>
      <c r="EO16" s="1"/>
      <c r="EP16" s="1"/>
      <c r="EQ16" s="367"/>
      <c r="ER16" s="1"/>
      <c r="ES16" s="1"/>
      <c r="ET16" s="1"/>
      <c r="EU16" s="368"/>
      <c r="EV16" s="1"/>
      <c r="EW16" s="1"/>
      <c r="EX16" s="367"/>
      <c r="EY16" s="1"/>
      <c r="EZ16" s="1"/>
      <c r="FA16" s="1"/>
      <c r="FB16" s="368"/>
      <c r="FC16" s="1"/>
      <c r="FD16" s="1"/>
      <c r="FE16" s="367"/>
      <c r="FF16" s="1"/>
      <c r="FG16" s="1"/>
      <c r="FH16" s="1"/>
      <c r="FI16" s="368"/>
      <c r="FJ16" s="368"/>
      <c r="FK16" s="445"/>
      <c r="FL16" s="368"/>
      <c r="FM16" s="173"/>
      <c r="FN16" s="1"/>
      <c r="FO16" s="368"/>
      <c r="FP16" s="1"/>
      <c r="FQ16" s="1"/>
      <c r="FR16" s="367"/>
      <c r="FS16" s="1"/>
      <c r="FT16" s="1"/>
      <c r="FU16" s="368"/>
      <c r="FV16" s="368"/>
      <c r="FW16" s="368"/>
      <c r="FX16" s="368"/>
      <c r="FY16" s="173"/>
      <c r="FZ16" s="368"/>
    </row>
    <row r="17" spans="1:182" ht="15.75" thickBot="1" x14ac:dyDescent="0.3">
      <c r="A17" s="326"/>
      <c r="B17" s="427"/>
      <c r="C17" s="646"/>
      <c r="D17" s="646"/>
      <c r="E17" s="326"/>
      <c r="F17" s="23" t="s">
        <v>277</v>
      </c>
      <c r="G17" s="326"/>
      <c r="J17" s="400" t="s">
        <v>390</v>
      </c>
      <c r="K17" s="29" t="s">
        <v>387</v>
      </c>
      <c r="P17" s="1"/>
      <c r="Q17" s="368"/>
      <c r="S17" s="1"/>
      <c r="T17" s="367"/>
      <c r="V17" s="1"/>
      <c r="X17" s="368"/>
      <c r="Y17" s="29" t="s">
        <v>386</v>
      </c>
      <c r="AA17" s="367"/>
      <c r="AB17" s="1"/>
      <c r="AE17" s="368"/>
      <c r="AH17" s="367"/>
      <c r="AI17" s="1"/>
      <c r="AK17" s="1"/>
      <c r="AL17" s="368"/>
      <c r="AM17" s="29" t="s">
        <v>388</v>
      </c>
      <c r="AN17" s="368"/>
      <c r="AO17" s="368"/>
      <c r="AP17" s="368"/>
      <c r="AQ17" s="368"/>
      <c r="AR17" s="368"/>
      <c r="AS17" s="368"/>
      <c r="AU17" s="367"/>
      <c r="AX17" s="400" t="s">
        <v>393</v>
      </c>
      <c r="AY17" s="1"/>
      <c r="AZ17" s="1"/>
      <c r="BA17" s="1"/>
      <c r="BB17" s="368"/>
      <c r="BC17" s="368"/>
      <c r="BD17" s="29" t="s">
        <v>389</v>
      </c>
      <c r="BE17" s="29" t="s">
        <v>391</v>
      </c>
      <c r="BJ17" s="1"/>
      <c r="BK17" s="368"/>
      <c r="BM17" s="1"/>
      <c r="BN17" s="367"/>
      <c r="BP17" s="1"/>
      <c r="BR17" s="368"/>
      <c r="BS17" s="29" t="s">
        <v>392</v>
      </c>
      <c r="BU17" s="367"/>
      <c r="BV17" s="1"/>
      <c r="BW17" s="1"/>
      <c r="BX17" s="1"/>
      <c r="BZ17" s="1"/>
      <c r="CA17" s="1"/>
      <c r="CB17" s="367"/>
      <c r="CC17" s="1"/>
      <c r="CD17" s="1"/>
      <c r="CE17" s="1"/>
      <c r="CF17" s="368"/>
      <c r="CG17" s="368"/>
      <c r="CH17" s="368"/>
      <c r="CI17" s="368"/>
      <c r="CJ17" s="173"/>
      <c r="CK17" s="368"/>
      <c r="CM17" s="400" t="s">
        <v>390</v>
      </c>
      <c r="CN17" s="29" t="s">
        <v>387</v>
      </c>
      <c r="CO17" s="1"/>
      <c r="CP17" s="367"/>
      <c r="CQ17" s="1"/>
      <c r="CR17" s="1"/>
      <c r="CS17" s="1"/>
      <c r="CT17" s="368"/>
      <c r="CU17" s="1"/>
      <c r="CV17" s="1"/>
      <c r="CW17" s="367"/>
      <c r="CX17" s="1"/>
      <c r="CY17" s="1"/>
      <c r="CZ17" s="1"/>
      <c r="DA17" s="368"/>
      <c r="DB17" s="29" t="s">
        <v>386</v>
      </c>
      <c r="DC17" s="1"/>
      <c r="DD17" s="367"/>
      <c r="DE17" s="1"/>
      <c r="DF17" s="1"/>
      <c r="DG17" s="1"/>
      <c r="DH17" s="368"/>
      <c r="DI17" s="1"/>
      <c r="DJ17" s="1"/>
      <c r="DK17" s="367"/>
      <c r="DL17" s="1"/>
      <c r="DM17" s="1"/>
      <c r="DN17" s="1"/>
      <c r="DO17" s="368"/>
      <c r="DP17" s="29" t="s">
        <v>388</v>
      </c>
      <c r="DQ17" s="368"/>
      <c r="DR17" s="368"/>
      <c r="DS17" s="368"/>
      <c r="DT17" s="368"/>
      <c r="DU17" s="368"/>
      <c r="DV17" s="368"/>
      <c r="DW17" s="1"/>
      <c r="DX17" s="367"/>
      <c r="DY17" s="1"/>
      <c r="DZ17" s="1"/>
      <c r="EA17" s="400" t="s">
        <v>393</v>
      </c>
      <c r="EB17" s="1"/>
      <c r="EC17" s="1"/>
      <c r="ED17" s="1"/>
      <c r="EE17" s="368"/>
      <c r="EF17" s="368"/>
      <c r="EG17" s="29" t="s">
        <v>389</v>
      </c>
      <c r="EH17" s="29" t="s">
        <v>391</v>
      </c>
      <c r="EI17" s="1"/>
      <c r="EJ17" s="367"/>
      <c r="EK17" s="1"/>
      <c r="EL17" s="1"/>
      <c r="EM17" s="1"/>
      <c r="EN17" s="368"/>
      <c r="EO17" s="1"/>
      <c r="EP17" s="1"/>
      <c r="EQ17" s="367"/>
      <c r="ER17" s="1"/>
      <c r="ES17" s="1"/>
      <c r="ET17" s="1"/>
      <c r="EU17" s="368"/>
      <c r="EV17" s="29" t="s">
        <v>392</v>
      </c>
      <c r="EW17" s="1"/>
      <c r="EX17" s="367"/>
      <c r="EY17" s="1"/>
      <c r="EZ17" s="1"/>
      <c r="FA17" s="1"/>
      <c r="FB17" s="368"/>
      <c r="FC17" s="1"/>
      <c r="FD17" s="1"/>
      <c r="FE17" s="367"/>
      <c r="FF17" s="1"/>
      <c r="FG17" s="1"/>
      <c r="FH17" s="1"/>
      <c r="FI17" s="368"/>
      <c r="FJ17" s="368"/>
      <c r="FK17" s="368"/>
      <c r="FL17" s="368"/>
      <c r="FM17" s="173"/>
      <c r="FN17" s="1"/>
      <c r="FO17" s="368"/>
      <c r="FP17" s="1"/>
      <c r="FQ17" s="1"/>
      <c r="FR17" s="367"/>
      <c r="FS17" s="1"/>
      <c r="FT17" s="1"/>
      <c r="FU17" s="368"/>
      <c r="FV17" s="368"/>
      <c r="FW17" s="368"/>
      <c r="FX17" s="368"/>
      <c r="FY17" s="173"/>
      <c r="FZ17" s="368"/>
    </row>
    <row r="18" spans="1:182" x14ac:dyDescent="0.25">
      <c r="A18" s="326"/>
      <c r="B18" s="428" t="s">
        <v>284</v>
      </c>
      <c r="C18" s="41" t="s">
        <v>397</v>
      </c>
      <c r="D18" s="42" t="s">
        <v>398</v>
      </c>
      <c r="E18" s="326"/>
      <c r="F18" s="40" t="s">
        <v>1</v>
      </c>
      <c r="G18" s="41" t="s">
        <v>2</v>
      </c>
      <c r="H18" s="41" t="s">
        <v>83</v>
      </c>
      <c r="I18" s="196" t="s">
        <v>41</v>
      </c>
      <c r="J18" s="390" t="s">
        <v>236</v>
      </c>
      <c r="K18" s="370" t="s">
        <v>107</v>
      </c>
      <c r="L18" s="370" t="s">
        <v>240</v>
      </c>
      <c r="M18" s="369" t="s">
        <v>87</v>
      </c>
      <c r="N18" s="370" t="s">
        <v>364</v>
      </c>
      <c r="O18" s="370" t="s">
        <v>100</v>
      </c>
      <c r="P18" s="370" t="s">
        <v>420</v>
      </c>
      <c r="Q18" s="369" t="s">
        <v>116</v>
      </c>
      <c r="R18" s="370" t="s">
        <v>110</v>
      </c>
      <c r="S18" s="370" t="s">
        <v>240</v>
      </c>
      <c r="T18" s="369" t="s">
        <v>87</v>
      </c>
      <c r="U18" s="370" t="s">
        <v>364</v>
      </c>
      <c r="V18" s="370" t="s">
        <v>100</v>
      </c>
      <c r="W18" s="370" t="s">
        <v>420</v>
      </c>
      <c r="X18" s="369" t="s">
        <v>116</v>
      </c>
      <c r="Y18" s="370" t="s">
        <v>111</v>
      </c>
      <c r="Z18" s="370" t="s">
        <v>240</v>
      </c>
      <c r="AA18" s="369" t="s">
        <v>87</v>
      </c>
      <c r="AB18" s="370" t="s">
        <v>364</v>
      </c>
      <c r="AC18" s="370" t="s">
        <v>100</v>
      </c>
      <c r="AD18" s="370" t="s">
        <v>420</v>
      </c>
      <c r="AE18" s="369" t="s">
        <v>116</v>
      </c>
      <c r="AF18" s="370" t="s">
        <v>112</v>
      </c>
      <c r="AG18" s="370" t="s">
        <v>240</v>
      </c>
      <c r="AH18" s="369" t="s">
        <v>87</v>
      </c>
      <c r="AI18" s="370" t="s">
        <v>364</v>
      </c>
      <c r="AJ18" s="370" t="s">
        <v>100</v>
      </c>
      <c r="AK18" s="370" t="s">
        <v>420</v>
      </c>
      <c r="AL18" s="369" t="s">
        <v>116</v>
      </c>
      <c r="AM18" s="370" t="s">
        <v>478</v>
      </c>
      <c r="AN18" s="370" t="s">
        <v>240</v>
      </c>
      <c r="AO18" s="369" t="s">
        <v>87</v>
      </c>
      <c r="AP18" s="370" t="s">
        <v>364</v>
      </c>
      <c r="AQ18" s="370" t="s">
        <v>100</v>
      </c>
      <c r="AR18" s="370" t="s">
        <v>420</v>
      </c>
      <c r="AS18" s="492" t="s">
        <v>116</v>
      </c>
      <c r="AT18" s="370" t="s">
        <v>382</v>
      </c>
      <c r="AU18" s="369" t="s">
        <v>114</v>
      </c>
      <c r="AV18" s="370" t="s">
        <v>421</v>
      </c>
      <c r="AW18" s="370" t="s">
        <v>395</v>
      </c>
      <c r="AX18" s="370" t="s">
        <v>100</v>
      </c>
      <c r="AY18" s="370" t="s">
        <v>423</v>
      </c>
      <c r="AZ18" s="370" t="s">
        <v>420</v>
      </c>
      <c r="BA18" s="370" t="s">
        <v>116</v>
      </c>
      <c r="BB18" s="435" t="s">
        <v>116</v>
      </c>
      <c r="BC18" s="371" t="s">
        <v>366</v>
      </c>
      <c r="BD18" s="393" t="s">
        <v>236</v>
      </c>
      <c r="BE18" s="370" t="s">
        <v>111</v>
      </c>
      <c r="BF18" s="370" t="s">
        <v>240</v>
      </c>
      <c r="BG18" s="369" t="s">
        <v>87</v>
      </c>
      <c r="BH18" s="370" t="s">
        <v>364</v>
      </c>
      <c r="BI18" s="370" t="s">
        <v>100</v>
      </c>
      <c r="BJ18" s="370" t="s">
        <v>420</v>
      </c>
      <c r="BK18" s="369" t="s">
        <v>117</v>
      </c>
      <c r="BL18" s="370" t="s">
        <v>112</v>
      </c>
      <c r="BM18" s="370" t="s">
        <v>240</v>
      </c>
      <c r="BN18" s="369" t="s">
        <v>87</v>
      </c>
      <c r="BO18" s="370" t="s">
        <v>364</v>
      </c>
      <c r="BP18" s="370" t="s">
        <v>100</v>
      </c>
      <c r="BQ18" s="370" t="s">
        <v>420</v>
      </c>
      <c r="BR18" s="369" t="s">
        <v>117</v>
      </c>
      <c r="BS18" s="370" t="s">
        <v>237</v>
      </c>
      <c r="BT18" s="370" t="s">
        <v>240</v>
      </c>
      <c r="BU18" s="369" t="s">
        <v>87</v>
      </c>
      <c r="BV18" s="370" t="s">
        <v>364</v>
      </c>
      <c r="BW18" s="370" t="s">
        <v>100</v>
      </c>
      <c r="BX18" s="370" t="s">
        <v>420</v>
      </c>
      <c r="BY18" s="369" t="s">
        <v>117</v>
      </c>
      <c r="BZ18" s="370" t="s">
        <v>238</v>
      </c>
      <c r="CA18" s="370" t="s">
        <v>240</v>
      </c>
      <c r="CB18" s="369" t="s">
        <v>87</v>
      </c>
      <c r="CC18" s="370" t="s">
        <v>364</v>
      </c>
      <c r="CD18" s="370" t="s">
        <v>100</v>
      </c>
      <c r="CE18" s="370" t="s">
        <v>420</v>
      </c>
      <c r="CF18" s="369" t="s">
        <v>117</v>
      </c>
      <c r="CG18" s="371" t="s">
        <v>365</v>
      </c>
      <c r="CH18" s="372" t="s">
        <v>116</v>
      </c>
      <c r="CI18" s="372" t="s">
        <v>117</v>
      </c>
      <c r="CJ18" s="373" t="s">
        <v>41</v>
      </c>
      <c r="CK18" s="378" t="s">
        <v>48</v>
      </c>
      <c r="CM18" s="390" t="s">
        <v>236</v>
      </c>
      <c r="CN18" s="370" t="s">
        <v>107</v>
      </c>
      <c r="CO18" s="370" t="s">
        <v>240</v>
      </c>
      <c r="CP18" s="369" t="s">
        <v>87</v>
      </c>
      <c r="CQ18" s="370" t="s">
        <v>364</v>
      </c>
      <c r="CR18" s="370" t="s">
        <v>100</v>
      </c>
      <c r="CS18" s="370" t="s">
        <v>420</v>
      </c>
      <c r="CT18" s="369" t="s">
        <v>116</v>
      </c>
      <c r="CU18" s="370" t="s">
        <v>110</v>
      </c>
      <c r="CV18" s="370" t="s">
        <v>240</v>
      </c>
      <c r="CW18" s="369" t="s">
        <v>87</v>
      </c>
      <c r="CX18" s="370" t="s">
        <v>364</v>
      </c>
      <c r="CY18" s="370" t="s">
        <v>100</v>
      </c>
      <c r="CZ18" s="370" t="s">
        <v>420</v>
      </c>
      <c r="DA18" s="369" t="s">
        <v>116</v>
      </c>
      <c r="DB18" s="370" t="s">
        <v>111</v>
      </c>
      <c r="DC18" s="370" t="s">
        <v>240</v>
      </c>
      <c r="DD18" s="369" t="s">
        <v>87</v>
      </c>
      <c r="DE18" s="370" t="s">
        <v>364</v>
      </c>
      <c r="DF18" s="370" t="s">
        <v>100</v>
      </c>
      <c r="DG18" s="370" t="s">
        <v>420</v>
      </c>
      <c r="DH18" s="369" t="s">
        <v>116</v>
      </c>
      <c r="DI18" s="370" t="s">
        <v>112</v>
      </c>
      <c r="DJ18" s="370" t="s">
        <v>240</v>
      </c>
      <c r="DK18" s="369" t="s">
        <v>87</v>
      </c>
      <c r="DL18" s="370" t="s">
        <v>364</v>
      </c>
      <c r="DM18" s="370" t="s">
        <v>100</v>
      </c>
      <c r="DN18" s="370" t="s">
        <v>420</v>
      </c>
      <c r="DO18" s="369" t="s">
        <v>116</v>
      </c>
      <c r="DP18" s="370" t="s">
        <v>478</v>
      </c>
      <c r="DQ18" s="370" t="s">
        <v>240</v>
      </c>
      <c r="DR18" s="369" t="s">
        <v>87</v>
      </c>
      <c r="DS18" s="370" t="s">
        <v>364</v>
      </c>
      <c r="DT18" s="370" t="s">
        <v>100</v>
      </c>
      <c r="DU18" s="370" t="s">
        <v>420</v>
      </c>
      <c r="DV18" s="492" t="s">
        <v>116</v>
      </c>
      <c r="DW18" s="370" t="s">
        <v>382</v>
      </c>
      <c r="DX18" s="369" t="s">
        <v>114</v>
      </c>
      <c r="DY18" s="370" t="s">
        <v>421</v>
      </c>
      <c r="DZ18" s="370" t="s">
        <v>395</v>
      </c>
      <c r="EA18" s="370" t="s">
        <v>100</v>
      </c>
      <c r="EB18" s="370" t="s">
        <v>423</v>
      </c>
      <c r="EC18" s="370" t="s">
        <v>420</v>
      </c>
      <c r="ED18" s="370" t="s">
        <v>116</v>
      </c>
      <c r="EE18" s="435" t="s">
        <v>116</v>
      </c>
      <c r="EF18" s="371" t="s">
        <v>366</v>
      </c>
      <c r="EG18" s="393" t="s">
        <v>236</v>
      </c>
      <c r="EH18" s="370" t="s">
        <v>111</v>
      </c>
      <c r="EI18" s="370" t="s">
        <v>240</v>
      </c>
      <c r="EJ18" s="369" t="s">
        <v>87</v>
      </c>
      <c r="EK18" s="370" t="s">
        <v>364</v>
      </c>
      <c r="EL18" s="370" t="s">
        <v>100</v>
      </c>
      <c r="EM18" s="370" t="s">
        <v>420</v>
      </c>
      <c r="EN18" s="369" t="s">
        <v>117</v>
      </c>
      <c r="EO18" s="370" t="s">
        <v>112</v>
      </c>
      <c r="EP18" s="370" t="s">
        <v>240</v>
      </c>
      <c r="EQ18" s="369" t="s">
        <v>87</v>
      </c>
      <c r="ER18" s="370" t="s">
        <v>364</v>
      </c>
      <c r="ES18" s="370" t="s">
        <v>100</v>
      </c>
      <c r="ET18" s="370" t="s">
        <v>420</v>
      </c>
      <c r="EU18" s="369" t="s">
        <v>117</v>
      </c>
      <c r="EV18" s="370" t="s">
        <v>237</v>
      </c>
      <c r="EW18" s="370" t="s">
        <v>240</v>
      </c>
      <c r="EX18" s="369" t="s">
        <v>87</v>
      </c>
      <c r="EY18" s="370" t="s">
        <v>364</v>
      </c>
      <c r="EZ18" s="370" t="s">
        <v>100</v>
      </c>
      <c r="FA18" s="370" t="s">
        <v>420</v>
      </c>
      <c r="FB18" s="369" t="s">
        <v>117</v>
      </c>
      <c r="FC18" s="370" t="s">
        <v>238</v>
      </c>
      <c r="FD18" s="370" t="s">
        <v>240</v>
      </c>
      <c r="FE18" s="369" t="s">
        <v>87</v>
      </c>
      <c r="FF18" s="370" t="s">
        <v>364</v>
      </c>
      <c r="FG18" s="370" t="s">
        <v>100</v>
      </c>
      <c r="FH18" s="370" t="s">
        <v>420</v>
      </c>
      <c r="FI18" s="369" t="s">
        <v>117</v>
      </c>
      <c r="FJ18" s="371" t="s">
        <v>365</v>
      </c>
      <c r="FK18" s="372" t="s">
        <v>116</v>
      </c>
      <c r="FL18" s="372" t="s">
        <v>117</v>
      </c>
      <c r="FM18" s="373" t="s">
        <v>41</v>
      </c>
      <c r="FN18" s="378" t="s">
        <v>48</v>
      </c>
      <c r="FO18" s="368"/>
      <c r="FP18" s="1"/>
      <c r="FQ18" s="1"/>
      <c r="FR18" s="367"/>
      <c r="FS18" s="1"/>
      <c r="FT18" s="1"/>
      <c r="FU18" s="368"/>
      <c r="FV18" s="368"/>
      <c r="FW18" s="368"/>
      <c r="FX18" s="368"/>
      <c r="FY18" s="173"/>
    </row>
    <row r="19" spans="1:182" x14ac:dyDescent="0.25">
      <c r="A19" s="326"/>
      <c r="B19" s="430"/>
      <c r="C19" s="46" t="s">
        <v>49</v>
      </c>
      <c r="D19" s="192" t="s">
        <v>49</v>
      </c>
      <c r="E19" s="326"/>
      <c r="F19" s="195"/>
      <c r="G19" s="6"/>
      <c r="H19" s="6"/>
      <c r="I19" s="6" t="s">
        <v>171</v>
      </c>
      <c r="J19" s="403"/>
      <c r="K19" s="404"/>
      <c r="L19" s="404"/>
      <c r="M19" s="405" t="s">
        <v>381</v>
      </c>
      <c r="N19" s="404"/>
      <c r="O19" s="404" t="s">
        <v>38</v>
      </c>
      <c r="P19" s="404"/>
      <c r="Q19" s="405" t="s">
        <v>49</v>
      </c>
      <c r="R19" s="404"/>
      <c r="S19" s="404"/>
      <c r="T19" s="405" t="s">
        <v>381</v>
      </c>
      <c r="U19" s="404"/>
      <c r="V19" s="404" t="s">
        <v>38</v>
      </c>
      <c r="W19" s="404"/>
      <c r="X19" s="405" t="s">
        <v>49</v>
      </c>
      <c r="Y19" s="404"/>
      <c r="Z19" s="404"/>
      <c r="AA19" s="405" t="s">
        <v>381</v>
      </c>
      <c r="AB19" s="404"/>
      <c r="AC19" s="404" t="s">
        <v>38</v>
      </c>
      <c r="AD19" s="404"/>
      <c r="AE19" s="405" t="s">
        <v>49</v>
      </c>
      <c r="AF19" s="404"/>
      <c r="AG19" s="404"/>
      <c r="AH19" s="405" t="s">
        <v>381</v>
      </c>
      <c r="AI19" s="404"/>
      <c r="AJ19" s="404" t="s">
        <v>38</v>
      </c>
      <c r="AK19" s="404"/>
      <c r="AL19" s="405" t="s">
        <v>49</v>
      </c>
      <c r="AM19" s="404"/>
      <c r="AN19" s="404"/>
      <c r="AO19" s="405" t="s">
        <v>381</v>
      </c>
      <c r="AP19" s="404"/>
      <c r="AQ19" s="404" t="s">
        <v>38</v>
      </c>
      <c r="AR19" s="404"/>
      <c r="AS19" s="404"/>
      <c r="AT19" s="404"/>
      <c r="AU19" s="405" t="s">
        <v>381</v>
      </c>
      <c r="AV19" s="405" t="s">
        <v>422</v>
      </c>
      <c r="AW19" s="405" t="s">
        <v>38</v>
      </c>
      <c r="AX19" s="404" t="s">
        <v>38</v>
      </c>
      <c r="AY19" s="404"/>
      <c r="AZ19" s="404"/>
      <c r="BA19" s="404" t="s">
        <v>49</v>
      </c>
      <c r="BB19" s="406" t="s">
        <v>49</v>
      </c>
      <c r="BC19" s="406" t="s">
        <v>49</v>
      </c>
      <c r="BD19" s="407"/>
      <c r="BE19" s="404"/>
      <c r="BF19" s="404"/>
      <c r="BG19" s="405" t="s">
        <v>381</v>
      </c>
      <c r="BH19" s="404"/>
      <c r="BI19" s="404" t="s">
        <v>38</v>
      </c>
      <c r="BJ19" s="404"/>
      <c r="BK19" s="405" t="s">
        <v>49</v>
      </c>
      <c r="BL19" s="404"/>
      <c r="BM19" s="404"/>
      <c r="BN19" s="405" t="s">
        <v>381</v>
      </c>
      <c r="BO19" s="404"/>
      <c r="BP19" s="404" t="s">
        <v>38</v>
      </c>
      <c r="BQ19" s="404"/>
      <c r="BR19" s="405" t="s">
        <v>49</v>
      </c>
      <c r="BS19" s="404"/>
      <c r="BT19" s="404"/>
      <c r="BU19" s="405" t="s">
        <v>381</v>
      </c>
      <c r="BV19" s="404"/>
      <c r="BW19" s="404" t="s">
        <v>38</v>
      </c>
      <c r="BX19" s="404"/>
      <c r="BY19" s="405" t="s">
        <v>49</v>
      </c>
      <c r="BZ19" s="404"/>
      <c r="CA19" s="404"/>
      <c r="CB19" s="405" t="s">
        <v>381</v>
      </c>
      <c r="CC19" s="404"/>
      <c r="CD19" s="404" t="s">
        <v>38</v>
      </c>
      <c r="CE19" s="404"/>
      <c r="CF19" s="405" t="s">
        <v>49</v>
      </c>
      <c r="CG19" s="406" t="s">
        <v>49</v>
      </c>
      <c r="CH19" s="405" t="s">
        <v>49</v>
      </c>
      <c r="CI19" s="405" t="s">
        <v>49</v>
      </c>
      <c r="CJ19" s="408" t="s">
        <v>171</v>
      </c>
      <c r="CK19" s="409" t="s">
        <v>49</v>
      </c>
      <c r="CM19" s="403"/>
      <c r="CN19" s="404"/>
      <c r="CO19" s="404"/>
      <c r="CP19" s="405" t="s">
        <v>381</v>
      </c>
      <c r="CQ19" s="404"/>
      <c r="CR19" s="404" t="s">
        <v>38</v>
      </c>
      <c r="CS19" s="404"/>
      <c r="CT19" s="405" t="s">
        <v>49</v>
      </c>
      <c r="CU19" s="404"/>
      <c r="CV19" s="404"/>
      <c r="CW19" s="405" t="s">
        <v>381</v>
      </c>
      <c r="CX19" s="404"/>
      <c r="CY19" s="404" t="s">
        <v>38</v>
      </c>
      <c r="CZ19" s="404"/>
      <c r="DA19" s="405" t="s">
        <v>49</v>
      </c>
      <c r="DB19" s="404"/>
      <c r="DC19" s="404"/>
      <c r="DD19" s="405" t="s">
        <v>381</v>
      </c>
      <c r="DE19" s="404"/>
      <c r="DF19" s="404" t="s">
        <v>38</v>
      </c>
      <c r="DG19" s="404"/>
      <c r="DH19" s="405" t="s">
        <v>49</v>
      </c>
      <c r="DI19" s="404"/>
      <c r="DJ19" s="404"/>
      <c r="DK19" s="405" t="s">
        <v>381</v>
      </c>
      <c r="DL19" s="404"/>
      <c r="DM19" s="404" t="s">
        <v>38</v>
      </c>
      <c r="DN19" s="404"/>
      <c r="DO19" s="405" t="s">
        <v>49</v>
      </c>
      <c r="DP19" s="404"/>
      <c r="DQ19" s="404"/>
      <c r="DR19" s="405" t="s">
        <v>381</v>
      </c>
      <c r="DS19" s="404"/>
      <c r="DT19" s="404" t="s">
        <v>38</v>
      </c>
      <c r="DU19" s="404"/>
      <c r="DV19" s="404"/>
      <c r="DW19" s="404"/>
      <c r="DX19" s="405" t="s">
        <v>381</v>
      </c>
      <c r="DY19" s="405" t="s">
        <v>422</v>
      </c>
      <c r="DZ19" s="405" t="s">
        <v>38</v>
      </c>
      <c r="EA19" s="404" t="s">
        <v>38</v>
      </c>
      <c r="EB19" s="404"/>
      <c r="EC19" s="404"/>
      <c r="ED19" s="404" t="s">
        <v>49</v>
      </c>
      <c r="EE19" s="406" t="s">
        <v>49</v>
      </c>
      <c r="EF19" s="406" t="s">
        <v>49</v>
      </c>
      <c r="EG19" s="407"/>
      <c r="EH19" s="404"/>
      <c r="EI19" s="404"/>
      <c r="EJ19" s="405" t="s">
        <v>381</v>
      </c>
      <c r="EK19" s="404"/>
      <c r="EL19" s="404" t="s">
        <v>38</v>
      </c>
      <c r="EM19" s="404"/>
      <c r="EN19" s="405" t="s">
        <v>49</v>
      </c>
      <c r="EO19" s="404"/>
      <c r="EP19" s="404"/>
      <c r="EQ19" s="405" t="s">
        <v>381</v>
      </c>
      <c r="ER19" s="404"/>
      <c r="ES19" s="404" t="s">
        <v>38</v>
      </c>
      <c r="ET19" s="404"/>
      <c r="EU19" s="405" t="s">
        <v>49</v>
      </c>
      <c r="EV19" s="404"/>
      <c r="EW19" s="404"/>
      <c r="EX19" s="405" t="s">
        <v>381</v>
      </c>
      <c r="EY19" s="404"/>
      <c r="EZ19" s="404" t="s">
        <v>38</v>
      </c>
      <c r="FA19" s="404"/>
      <c r="FB19" s="405" t="s">
        <v>49</v>
      </c>
      <c r="FC19" s="404"/>
      <c r="FD19" s="404"/>
      <c r="FE19" s="405" t="s">
        <v>381</v>
      </c>
      <c r="FF19" s="404"/>
      <c r="FG19" s="404" t="s">
        <v>38</v>
      </c>
      <c r="FH19" s="404"/>
      <c r="FI19" s="405" t="s">
        <v>49</v>
      </c>
      <c r="FJ19" s="406" t="s">
        <v>49</v>
      </c>
      <c r="FK19" s="405" t="s">
        <v>49</v>
      </c>
      <c r="FL19" s="405" t="s">
        <v>49</v>
      </c>
      <c r="FM19" s="408" t="s">
        <v>171</v>
      </c>
      <c r="FN19" s="409" t="s">
        <v>49</v>
      </c>
      <c r="FO19" s="368"/>
      <c r="FP19" s="1"/>
      <c r="FQ19" s="1"/>
      <c r="FR19" s="367"/>
      <c r="FS19" s="1"/>
      <c r="FT19" s="1"/>
      <c r="FU19" s="368"/>
      <c r="FV19" s="368"/>
      <c r="FW19" s="368"/>
      <c r="FX19" s="368"/>
      <c r="FY19" s="173"/>
    </row>
    <row r="20" spans="1:182" x14ac:dyDescent="0.25">
      <c r="A20" s="326"/>
      <c r="B20" s="430">
        <v>10</v>
      </c>
      <c r="C20" s="58" t="e">
        <f ca="1">CK20</f>
        <v>#NAME?</v>
      </c>
      <c r="D20" s="203" t="str">
        <f t="shared" ref="D20:D41" si="9">FN20</f>
        <v>∞</v>
      </c>
      <c r="E20" s="326"/>
      <c r="F20" s="637" t="s">
        <v>255</v>
      </c>
      <c r="G20" s="46" t="s">
        <v>82</v>
      </c>
      <c r="H20" s="84" t="s">
        <v>396</v>
      </c>
      <c r="I20" s="108">
        <v>38.21</v>
      </c>
      <c r="J20" s="391" t="s">
        <v>199</v>
      </c>
      <c r="K20" s="84"/>
      <c r="L20" s="84"/>
      <c r="M20" s="87"/>
      <c r="N20" s="84"/>
      <c r="O20" s="84"/>
      <c r="P20" s="401">
        <v>1</v>
      </c>
      <c r="Q20" s="374">
        <f>IF(ISBLANK(N20),0,_xll.FlexuralStiffness(N20="Fixed",$L$12,M20*10^4,O20)/10^6)*P20</f>
        <v>0</v>
      </c>
      <c r="R20" s="84"/>
      <c r="S20" s="84"/>
      <c r="T20" s="87"/>
      <c r="U20" s="84"/>
      <c r="V20" s="84"/>
      <c r="W20" s="401">
        <v>1</v>
      </c>
      <c r="X20" s="374">
        <f>IF(ISBLANK(U20),0,_xll.FlexuralStiffness(U20="Fixed",$L$12,T20*10^4,V20)/10^6)*W20</f>
        <v>0</v>
      </c>
      <c r="Y20" s="84"/>
      <c r="Z20" s="84"/>
      <c r="AA20" s="87">
        <v>14799.4452</v>
      </c>
      <c r="AB20" s="84" t="s">
        <v>196</v>
      </c>
      <c r="AC20" s="84">
        <v>3000</v>
      </c>
      <c r="AD20" s="401">
        <v>1</v>
      </c>
      <c r="AE20" s="374">
        <f>IF(ISBLANK(AB20),0,_xll.FlexuralStiffness(AB20="Fixed",$L$12,AA20*10^4,AC20)/10^6)*AD20</f>
        <v>40451.816879999998</v>
      </c>
      <c r="AF20" s="84"/>
      <c r="AG20" s="84"/>
      <c r="AH20" s="87"/>
      <c r="AI20" s="84"/>
      <c r="AJ20" s="84"/>
      <c r="AK20" s="401">
        <v>1</v>
      </c>
      <c r="AL20" s="374">
        <f>IF(ISBLANK(AI20),0,_xll.FlexuralStiffness(AI20="Fixed",$L$12,AH20*10^4,AJ20)/10^6)*AK20</f>
        <v>0</v>
      </c>
      <c r="AM20" s="84"/>
      <c r="AN20" s="84"/>
      <c r="AO20" s="87"/>
      <c r="AP20" s="84"/>
      <c r="AQ20" s="84"/>
      <c r="AR20" s="401">
        <v>1</v>
      </c>
      <c r="AS20" s="87" t="str">
        <f>IF(ISBLANK(AO20),"∞",_xll.FlexuralStiffness(AP20="Fixed",$L$12,AO20*10^4,AQ20)/10^6)</f>
        <v>∞</v>
      </c>
      <c r="AT20" s="84"/>
      <c r="AU20" s="87"/>
      <c r="AV20" s="84"/>
      <c r="AW20" s="401"/>
      <c r="AX20" s="146"/>
      <c r="AY20" s="401" t="b">
        <v>0</v>
      </c>
      <c r="AZ20" s="401">
        <v>1</v>
      </c>
      <c r="BA20" s="87">
        <f>_xll.TorsionalStiffness(AU20*10^4,AV20*10^6,AW20*AX20,AX20,$L$12,$L$13,AY20)/10^6*AZ20</f>
        <v>0</v>
      </c>
      <c r="BB20" s="436">
        <f>IF(AS20="∞",BA20,1/(1/BA20+1/AS20))</f>
        <v>0</v>
      </c>
      <c r="BC20" s="381" t="str">
        <f t="shared" ref="BC20:BC45" si="10">IF(J20="Yes","∞",IF(J20="No",SUM(Q20,X20,AE20,AL20,BB20),#N/A))</f>
        <v>∞</v>
      </c>
      <c r="BD20" s="394" t="s">
        <v>199</v>
      </c>
      <c r="BE20" s="84"/>
      <c r="BF20" s="84"/>
      <c r="BG20" s="87"/>
      <c r="BH20" s="84"/>
      <c r="BI20" s="84"/>
      <c r="BJ20" s="401">
        <v>1</v>
      </c>
      <c r="BK20" s="374">
        <f>IF(ISBLANK(BH20),0,_xll.FlexuralStiffness(BH20="Fixed",$L$12,BG20*10^4,BI20)/10^6)*BJ20</f>
        <v>0</v>
      </c>
      <c r="BL20" s="84"/>
      <c r="BM20" s="84"/>
      <c r="BN20" s="87"/>
      <c r="BO20" s="84"/>
      <c r="BP20" s="84"/>
      <c r="BQ20" s="401">
        <v>1</v>
      </c>
      <c r="BR20" s="374">
        <f>IF(ISBLANK(BO20),0,_xll.FlexuralStiffness(BO20="Fixed",$L$12,BN20*10^4,BP20)/10^6)*BQ20</f>
        <v>0</v>
      </c>
      <c r="BS20" s="84"/>
      <c r="BT20" s="84"/>
      <c r="BU20" s="87"/>
      <c r="BV20" s="84"/>
      <c r="BW20" s="84"/>
      <c r="BX20" s="401">
        <v>1</v>
      </c>
      <c r="BY20" s="374">
        <f>IF(ISBLANK(BV20),0,_xll.FlexuralStiffness(BV20="Fixed",$L$12,BU20*10^4,BW20)/10^6)*BX20</f>
        <v>0</v>
      </c>
      <c r="BZ20" s="84"/>
      <c r="CA20" s="84"/>
      <c r="CB20" s="87"/>
      <c r="CC20" s="84"/>
      <c r="CD20" s="84"/>
      <c r="CE20" s="401">
        <v>1</v>
      </c>
      <c r="CF20" s="374">
        <f>IF(ISBLANK(CC20),0,_xll.FlexuralStiffness(CC20="Fixed",$L$12,CB20*10^4,CD20)/10^6)*CE20</f>
        <v>0</v>
      </c>
      <c r="CG20" s="381" t="str">
        <f t="shared" ref="CG20:CG39" si="11">IF(BD20="Yes","∞",IF(BD20="No",SUM(BK20,BR20,BY20,CF20),#N/A))</f>
        <v>∞</v>
      </c>
      <c r="CH20" s="365" t="str">
        <f t="shared" ref="CH20:CH39" si="12">BC20</f>
        <v>∞</v>
      </c>
      <c r="CI20" s="365" t="str">
        <f>CG20</f>
        <v>∞</v>
      </c>
      <c r="CJ20" s="89">
        <f t="shared" ref="CJ20:CJ44" si="13">$I20</f>
        <v>38.21</v>
      </c>
      <c r="CK20" s="379" t="e">
        <f ca="1">EffectiveStiffness(CH20,CI20,RADIANS(CJ20))</f>
        <v>#NAME?</v>
      </c>
      <c r="CM20" s="391" t="s">
        <v>199</v>
      </c>
      <c r="CN20" s="84"/>
      <c r="CO20" s="84"/>
      <c r="CP20" s="87"/>
      <c r="CQ20" s="84"/>
      <c r="CR20" s="84"/>
      <c r="CS20" s="401">
        <v>1</v>
      </c>
      <c r="CT20" s="374">
        <f>IF(ISBLANK(CQ20),0,_xll.FlexuralStiffness(CQ20="Fixed",$L$12,CP20*10^4,CR20)/10^6)*CS20</f>
        <v>0</v>
      </c>
      <c r="CU20" s="84"/>
      <c r="CV20" s="84"/>
      <c r="CW20" s="87"/>
      <c r="CX20" s="84"/>
      <c r="CY20" s="84"/>
      <c r="CZ20" s="401">
        <v>1</v>
      </c>
      <c r="DA20" s="374">
        <f>IF(ISBLANK(CX20),0,_xll.FlexuralStiffness(CX20="Fixed",$L$12,CW20*10^4,CY20)/10^6)*CZ20</f>
        <v>0</v>
      </c>
      <c r="DB20" s="84"/>
      <c r="DC20" s="84"/>
      <c r="DD20" s="87"/>
      <c r="DE20" s="84"/>
      <c r="DF20" s="84"/>
      <c r="DG20" s="401">
        <v>1</v>
      </c>
      <c r="DH20" s="374">
        <f>IF(ISBLANK(DE20),0,_xll.FlexuralStiffness(DE20="Fixed",$L$12,DD20*10^4,DF20)/10^6)*DG20</f>
        <v>0</v>
      </c>
      <c r="DI20" s="84"/>
      <c r="DJ20" s="84"/>
      <c r="DK20" s="87"/>
      <c r="DL20" s="84"/>
      <c r="DM20" s="84"/>
      <c r="DN20" s="401">
        <v>1</v>
      </c>
      <c r="DO20" s="374">
        <f>IF(ISBLANK(DL20),0,_xll.FlexuralStiffness(DL20="Fixed",$L$12,DK20*10^4,DM20)/10^6)*DN20</f>
        <v>0</v>
      </c>
      <c r="DP20" s="84"/>
      <c r="DQ20" s="84"/>
      <c r="DR20" s="87"/>
      <c r="DS20" s="84"/>
      <c r="DT20" s="84"/>
      <c r="DU20" s="401">
        <v>1</v>
      </c>
      <c r="DV20" s="87" t="str">
        <f>IF(ISBLANK(DR20),"∞",_xll.FlexuralStiffness(DS20="Fixed",$L$12,DR20*10^4,DT20)/10^6)</f>
        <v>∞</v>
      </c>
      <c r="DW20" s="84"/>
      <c r="DX20" s="87"/>
      <c r="DY20" s="84"/>
      <c r="DZ20" s="401"/>
      <c r="EA20" s="146"/>
      <c r="EB20" s="401" t="b">
        <v>0</v>
      </c>
      <c r="EC20" s="401">
        <v>1</v>
      </c>
      <c r="ED20" s="87">
        <f>_xll.TorsionalStiffness(DX20*10^4,DY20*10^6,DZ20*EA20,EA20,$L$12,$L$13,EB20)/10^6*EC20</f>
        <v>0</v>
      </c>
      <c r="EE20" s="436">
        <f>IF(DV20="∞",ED20,1/(1/ED20+1/DV20))</f>
        <v>0</v>
      </c>
      <c r="EF20" s="381" t="str">
        <f t="shared" ref="EF20:EF45" si="14">IF(CM20="Yes","∞",IF(CM20="No",SUM(CT20,DA20,DH20,DO20,EE20),#N/A))</f>
        <v>∞</v>
      </c>
      <c r="EG20" s="394" t="s">
        <v>199</v>
      </c>
      <c r="EH20" s="84"/>
      <c r="EI20" s="84"/>
      <c r="EJ20" s="87"/>
      <c r="EK20" s="84"/>
      <c r="EL20" s="84"/>
      <c r="EM20" s="401">
        <v>1</v>
      </c>
      <c r="EN20" s="374">
        <f>IF(ISBLANK(EK20),0,_xll.FlexuralStiffness(EK20="Fixed",$L$12,EJ20*10^4,EL20)/10^6)*EM20</f>
        <v>0</v>
      </c>
      <c r="EO20" s="84"/>
      <c r="EP20" s="84"/>
      <c r="EQ20" s="87"/>
      <c r="ER20" s="84"/>
      <c r="ES20" s="84"/>
      <c r="ET20" s="401">
        <v>1</v>
      </c>
      <c r="EU20" s="374">
        <f>IF(ISBLANK(ER20),0,_xll.FlexuralStiffness(ER20="Fixed",$L$12,EQ20*10^4,ES20)/10^6)*ET20</f>
        <v>0</v>
      </c>
      <c r="EV20" s="84"/>
      <c r="EW20" s="84"/>
      <c r="EX20" s="87"/>
      <c r="EY20" s="84"/>
      <c r="EZ20" s="84"/>
      <c r="FA20" s="401">
        <v>1</v>
      </c>
      <c r="FB20" s="374">
        <f>IF(ISBLANK(EY20),0,_xll.FlexuralStiffness(EY20="Fixed",$L$12,EX20*10^4,EZ20)/10^6)*FA20</f>
        <v>0</v>
      </c>
      <c r="FC20" s="84"/>
      <c r="FD20" s="84"/>
      <c r="FE20" s="87"/>
      <c r="FF20" s="84"/>
      <c r="FG20" s="84"/>
      <c r="FH20" s="401">
        <v>1</v>
      </c>
      <c r="FI20" s="374">
        <f>IF(ISBLANK(FF20),0,_xll.FlexuralStiffness(FF20="Fixed",$L$12,FE20*10^4,FG20)/10^6)*FH20</f>
        <v>0</v>
      </c>
      <c r="FJ20" s="381" t="str">
        <f t="shared" ref="FJ20:FJ39" si="15">IF(EG20="Yes","∞",IF(EG20="No",SUM(EN20,EU20,FB20,FI20),#N/A))</f>
        <v>∞</v>
      </c>
      <c r="FK20" s="365" t="str">
        <f t="shared" ref="FK20:FK39" si="16">EF20</f>
        <v>∞</v>
      </c>
      <c r="FL20" s="365" t="str">
        <f>FJ20</f>
        <v>∞</v>
      </c>
      <c r="FM20" s="89">
        <f t="shared" ref="FM20:FM44" si="17">$I20</f>
        <v>38.21</v>
      </c>
      <c r="FN20" s="379" t="str">
        <f>IF(FK20="∞",IF(FL20="∞","∞",FK20/SIN(RADIANS(FM20))^2),IF(FK20="∞",FL20/SIN(RADIANS(FM20))^2,1/(SIN(RADIANS(FM20))^2/FL20+SIN(RADIANS(FM20))^2/FK20)))</f>
        <v>∞</v>
      </c>
      <c r="FO20" s="368"/>
      <c r="FP20" s="1"/>
      <c r="FQ20" s="1"/>
      <c r="FR20" s="367"/>
      <c r="FS20" s="1"/>
      <c r="FT20" s="1"/>
      <c r="FU20" s="368"/>
      <c r="FV20" s="368"/>
      <c r="FW20" s="368"/>
      <c r="FX20" s="368"/>
      <c r="FY20" s="173"/>
    </row>
    <row r="21" spans="1:182" x14ac:dyDescent="0.25">
      <c r="A21" s="326"/>
      <c r="B21" s="430">
        <v>11</v>
      </c>
      <c r="C21" s="58" t="e">
        <f t="shared" ref="C21:C41" ca="1" si="18">CK21</f>
        <v>#NAME?</v>
      </c>
      <c r="D21" s="203" t="str">
        <f t="shared" si="9"/>
        <v>∞</v>
      </c>
      <c r="E21" s="326"/>
      <c r="F21" s="637"/>
      <c r="G21" s="46" t="s">
        <v>15</v>
      </c>
      <c r="H21" s="84" t="s">
        <v>396</v>
      </c>
      <c r="I21" s="108">
        <v>38.21</v>
      </c>
      <c r="J21" s="391" t="s">
        <v>199</v>
      </c>
      <c r="K21" s="84"/>
      <c r="L21" s="84"/>
      <c r="M21" s="87"/>
      <c r="N21" s="84"/>
      <c r="O21" s="84"/>
      <c r="P21" s="401">
        <v>1</v>
      </c>
      <c r="Q21" s="374">
        <f>IF(ISBLANK(N21),0,_xll.FlexuralStiffness(N21="Fixed",$L$12,M21*10^4,O21)/10^6)*P21</f>
        <v>0</v>
      </c>
      <c r="R21" s="84"/>
      <c r="S21" s="84"/>
      <c r="T21" s="87"/>
      <c r="U21" s="84"/>
      <c r="V21" s="84"/>
      <c r="W21" s="401">
        <v>1</v>
      </c>
      <c r="X21" s="374">
        <f>IF(ISBLANK(U21),0,_xll.FlexuralStiffness(U21="Fixed",$L$12,T21*10^4,V21)/10^6)*W21</f>
        <v>0</v>
      </c>
      <c r="Y21" s="84"/>
      <c r="Z21" s="84"/>
      <c r="AA21" s="87"/>
      <c r="AB21" s="84"/>
      <c r="AC21" s="84"/>
      <c r="AD21" s="401">
        <v>1</v>
      </c>
      <c r="AE21" s="374">
        <f>IF(ISBLANK(AB21),0,_xll.FlexuralStiffness(AB21="Fixed",$L$12,AA21*10^4,AC21)/10^6)*AD21</f>
        <v>0</v>
      </c>
      <c r="AF21" s="84"/>
      <c r="AG21" s="84"/>
      <c r="AH21" s="87"/>
      <c r="AI21" s="84"/>
      <c r="AJ21" s="84"/>
      <c r="AK21" s="401">
        <v>1</v>
      </c>
      <c r="AL21" s="374">
        <f>IF(ISBLANK(AI21),0,_xll.FlexuralStiffness(AI21="Fixed",$L$12,AH21*10^4,AJ21)/10^6)*AK21</f>
        <v>0</v>
      </c>
      <c r="AM21" s="84"/>
      <c r="AN21" s="84"/>
      <c r="AO21" s="87"/>
      <c r="AP21" s="84"/>
      <c r="AQ21" s="84"/>
      <c r="AR21" s="401">
        <v>1</v>
      </c>
      <c r="AS21" s="87" t="str">
        <f>IF(ISBLANK(AO21),"∞",_xll.FlexuralStiffness(AP21="Fixed",$L$12,AO21*10^4,AQ21)/10^6)</f>
        <v>∞</v>
      </c>
      <c r="AT21" s="84"/>
      <c r="AU21" s="87"/>
      <c r="AV21" s="84"/>
      <c r="AW21" s="401"/>
      <c r="AX21" s="84"/>
      <c r="AY21" s="401" t="b">
        <v>0</v>
      </c>
      <c r="AZ21" s="401">
        <v>1</v>
      </c>
      <c r="BA21" s="87">
        <f t="shared" ref="BA21:BA39" si="19">_xll.TorsionalStiffness(AU21*10^4,AV21*10^6,AW21*AX21,AX21,$L$12,$L$13,AY21)/10^6*AZ21</f>
        <v>0</v>
      </c>
      <c r="BB21" s="381">
        <f t="shared" ref="BB21:BB39" si="20">IF(AS21="∞",BA21,1/(1/BA21+1/AS21))</f>
        <v>0</v>
      </c>
      <c r="BC21" s="381" t="str">
        <f t="shared" si="10"/>
        <v>∞</v>
      </c>
      <c r="BD21" s="394" t="s">
        <v>199</v>
      </c>
      <c r="BE21" s="84"/>
      <c r="BF21" s="84"/>
      <c r="BG21" s="87"/>
      <c r="BH21" s="84"/>
      <c r="BI21" s="84"/>
      <c r="BJ21" s="401">
        <v>1</v>
      </c>
      <c r="BK21" s="374">
        <f>IF(ISBLANK(BH21),0,_xll.FlexuralStiffness(BH21="Fixed",$L$12,BG21*10^4,BI21)/10^6)*BJ21</f>
        <v>0</v>
      </c>
      <c r="BL21" s="84"/>
      <c r="BM21" s="84"/>
      <c r="BN21" s="87"/>
      <c r="BO21" s="84"/>
      <c r="BP21" s="84"/>
      <c r="BQ21" s="401">
        <v>1</v>
      </c>
      <c r="BR21" s="374">
        <f>IF(ISBLANK(BO21),0,_xll.FlexuralStiffness(BO21="Fixed",$L$12,BN21*10^4,BP21)/10^6)*BQ21</f>
        <v>0</v>
      </c>
      <c r="BS21" s="84"/>
      <c r="BT21" s="84"/>
      <c r="BU21" s="87"/>
      <c r="BV21" s="84"/>
      <c r="BW21" s="84"/>
      <c r="BX21" s="401">
        <v>1</v>
      </c>
      <c r="BY21" s="374">
        <f>IF(ISBLANK(BV21),0,_xll.FlexuralStiffness(BV21="Fixed",$L$12,BU21*10^4,BW21)/10^6)*BX21</f>
        <v>0</v>
      </c>
      <c r="BZ21" s="84"/>
      <c r="CA21" s="84"/>
      <c r="CB21" s="87"/>
      <c r="CC21" s="84"/>
      <c r="CD21" s="84"/>
      <c r="CE21" s="401">
        <v>1</v>
      </c>
      <c r="CF21" s="374">
        <f>IF(ISBLANK(CC21),0,_xll.FlexuralStiffness(CC21="Fixed",$L$12,CB21*10^4,CD21)/10^6)*CE21</f>
        <v>0</v>
      </c>
      <c r="CG21" s="381" t="str">
        <f t="shared" si="11"/>
        <v>∞</v>
      </c>
      <c r="CH21" s="365" t="str">
        <f t="shared" si="12"/>
        <v>∞</v>
      </c>
      <c r="CI21" s="365" t="str">
        <f t="shared" ref="CI21:CI39" si="21">CG21</f>
        <v>∞</v>
      </c>
      <c r="CJ21" s="89">
        <f t="shared" si="13"/>
        <v>38.21</v>
      </c>
      <c r="CK21" s="379" t="e">
        <f t="shared" ref="CK21:CK39" ca="1" si="22">EffectiveStiffness(CH21,CI21,RADIANS(CJ21))</f>
        <v>#NAME?</v>
      </c>
      <c r="CM21" s="391" t="s">
        <v>199</v>
      </c>
      <c r="CN21" s="84"/>
      <c r="CO21" s="84"/>
      <c r="CP21" s="87"/>
      <c r="CQ21" s="84"/>
      <c r="CR21" s="84"/>
      <c r="CS21" s="401">
        <v>1</v>
      </c>
      <c r="CT21" s="374">
        <f>IF(ISBLANK(CQ21),0,_xll.FlexuralStiffness(CQ21="Fixed",$L$12,CP21*10^4,CR21)/10^6)*CS21</f>
        <v>0</v>
      </c>
      <c r="CU21" s="84"/>
      <c r="CV21" s="84"/>
      <c r="CW21" s="87"/>
      <c r="CX21" s="84"/>
      <c r="CY21" s="84"/>
      <c r="CZ21" s="401">
        <v>1</v>
      </c>
      <c r="DA21" s="374">
        <f>IF(ISBLANK(CX21),0,_xll.FlexuralStiffness(CX21="Fixed",$L$12,CW21*10^4,CY21)/10^6)*CZ21</f>
        <v>0</v>
      </c>
      <c r="DB21" s="84"/>
      <c r="DC21" s="84"/>
      <c r="DD21" s="87"/>
      <c r="DE21" s="84"/>
      <c r="DF21" s="84"/>
      <c r="DG21" s="401">
        <v>1</v>
      </c>
      <c r="DH21" s="374">
        <f>IF(ISBLANK(DE21),0,_xll.FlexuralStiffness(DE21="Fixed",$L$12,DD21*10^4,DF21)/10^6)*DG21</f>
        <v>0</v>
      </c>
      <c r="DI21" s="84"/>
      <c r="DJ21" s="84"/>
      <c r="DK21" s="87"/>
      <c r="DL21" s="84"/>
      <c r="DM21" s="84"/>
      <c r="DN21" s="401">
        <v>1</v>
      </c>
      <c r="DO21" s="374">
        <f>IF(ISBLANK(DL21),0,_xll.FlexuralStiffness(DL21="Fixed",$L$12,DK21*10^4,DM21)/10^6)*DN21</f>
        <v>0</v>
      </c>
      <c r="DP21" s="84"/>
      <c r="DQ21" s="84"/>
      <c r="DR21" s="87"/>
      <c r="DS21" s="84"/>
      <c r="DT21" s="84"/>
      <c r="DU21" s="401">
        <v>1</v>
      </c>
      <c r="DV21" s="87" t="str">
        <f>IF(ISBLANK(DR21),"∞",_xll.FlexuralStiffness(DS21="Fixed",$L$12,DR21*10^4,DT21)/10^6)</f>
        <v>∞</v>
      </c>
      <c r="DW21" s="84"/>
      <c r="DX21" s="87"/>
      <c r="DY21" s="84"/>
      <c r="DZ21" s="401"/>
      <c r="EA21" s="84"/>
      <c r="EB21" s="401" t="b">
        <v>0</v>
      </c>
      <c r="EC21" s="401">
        <v>1</v>
      </c>
      <c r="ED21" s="87">
        <f t="shared" ref="ED21:ED39" si="23">_xll.TorsionalStiffness(DX21*10^4,DY21*10^6,DZ21*EA21,EA21,$L$12,$L$13,EB21)/10^6*EC21</f>
        <v>0</v>
      </c>
      <c r="EE21" s="381">
        <f t="shared" ref="EE21:EE39" si="24">IF(DV21="∞",ED21,1/(1/ED21+1/DV21))</f>
        <v>0</v>
      </c>
      <c r="EF21" s="381" t="str">
        <f t="shared" si="14"/>
        <v>∞</v>
      </c>
      <c r="EG21" s="394" t="s">
        <v>199</v>
      </c>
      <c r="EH21" s="84"/>
      <c r="EI21" s="84"/>
      <c r="EJ21" s="87"/>
      <c r="EK21" s="84"/>
      <c r="EL21" s="84"/>
      <c r="EM21" s="401">
        <v>1</v>
      </c>
      <c r="EN21" s="374">
        <f>IF(ISBLANK(EK21),0,_xll.FlexuralStiffness(EK21="Fixed",$L$12,EJ21*10^4,EL21)/10^6)*EM21</f>
        <v>0</v>
      </c>
      <c r="EO21" s="84"/>
      <c r="EP21" s="84"/>
      <c r="EQ21" s="87"/>
      <c r="ER21" s="84"/>
      <c r="ES21" s="84"/>
      <c r="ET21" s="401">
        <v>1</v>
      </c>
      <c r="EU21" s="374">
        <f>IF(ISBLANK(ER21),0,_xll.FlexuralStiffness(ER21="Fixed",$L$12,EQ21*10^4,ES21)/10^6)*ET21</f>
        <v>0</v>
      </c>
      <c r="EV21" s="84"/>
      <c r="EW21" s="84"/>
      <c r="EX21" s="87"/>
      <c r="EY21" s="84"/>
      <c r="EZ21" s="84"/>
      <c r="FA21" s="401">
        <v>1</v>
      </c>
      <c r="FB21" s="374">
        <f>IF(ISBLANK(EY21),0,_xll.FlexuralStiffness(EY21="Fixed",$L$12,EX21*10^4,EZ21)/10^6)*FA21</f>
        <v>0</v>
      </c>
      <c r="FC21" s="84"/>
      <c r="FD21" s="84"/>
      <c r="FE21" s="87"/>
      <c r="FF21" s="84"/>
      <c r="FG21" s="84"/>
      <c r="FH21" s="401">
        <v>1</v>
      </c>
      <c r="FI21" s="374">
        <f>IF(ISBLANK(FF21),0,_xll.FlexuralStiffness(FF21="Fixed",$L$12,FE21*10^4,FG21)/10^6)*FH21</f>
        <v>0</v>
      </c>
      <c r="FJ21" s="381" t="str">
        <f t="shared" si="15"/>
        <v>∞</v>
      </c>
      <c r="FK21" s="365" t="str">
        <f t="shared" si="16"/>
        <v>∞</v>
      </c>
      <c r="FL21" s="365" t="str">
        <f t="shared" ref="FL21:FL39" si="25">FJ21</f>
        <v>∞</v>
      </c>
      <c r="FM21" s="89">
        <f t="shared" si="17"/>
        <v>38.21</v>
      </c>
      <c r="FN21" s="379" t="str">
        <f t="shared" ref="FN21:FN40" si="26">IF(FK21="∞",IF(FL21="∞","∞",FK21/SIN(RADIANS(FM21))^2),IF(FK21="∞",FL21/SIN(RADIANS(FM21))^2,1/(SIN(RADIANS(FM21))^2/FL21+SIN(RADIANS(FM21))^2/FK21)))</f>
        <v>∞</v>
      </c>
      <c r="FO21" s="368"/>
      <c r="FP21" s="1"/>
      <c r="FQ21" s="1"/>
      <c r="FR21" s="367"/>
      <c r="FS21" s="1"/>
      <c r="FT21" s="1"/>
      <c r="FU21" s="368"/>
      <c r="FV21" s="368"/>
      <c r="FW21" s="368"/>
      <c r="FX21" s="368"/>
      <c r="FY21" s="173"/>
    </row>
    <row r="22" spans="1:182" x14ac:dyDescent="0.25">
      <c r="A22" s="326"/>
      <c r="B22" s="430">
        <v>12</v>
      </c>
      <c r="C22" s="58" t="e">
        <f t="shared" ca="1" si="18"/>
        <v>#NAME?</v>
      </c>
      <c r="D22" s="203" t="str">
        <f t="shared" si="9"/>
        <v>∞</v>
      </c>
      <c r="E22" s="326"/>
      <c r="F22" s="637"/>
      <c r="G22" s="46" t="s">
        <v>16</v>
      </c>
      <c r="H22" s="84" t="s">
        <v>396</v>
      </c>
      <c r="I22" s="108">
        <v>38.21</v>
      </c>
      <c r="J22" s="391" t="s">
        <v>199</v>
      </c>
      <c r="K22" s="84"/>
      <c r="L22" s="84"/>
      <c r="M22" s="87"/>
      <c r="N22" s="84"/>
      <c r="O22" s="84"/>
      <c r="P22" s="401">
        <v>1</v>
      </c>
      <c r="Q22" s="374">
        <f>IF(ISBLANK(N22),0,_xll.FlexuralStiffness(N22="Fixed",$L$12,M22*10^4,O22)/10^6)*P22</f>
        <v>0</v>
      </c>
      <c r="R22" s="84"/>
      <c r="S22" s="84"/>
      <c r="T22" s="87"/>
      <c r="U22" s="84"/>
      <c r="V22" s="84"/>
      <c r="W22" s="401">
        <v>1</v>
      </c>
      <c r="X22" s="374">
        <f>IF(ISBLANK(U22),0,_xll.FlexuralStiffness(U22="Fixed",$L$12,T22*10^4,V22)/10^6)*W22</f>
        <v>0</v>
      </c>
      <c r="Y22" s="84"/>
      <c r="Z22" s="84"/>
      <c r="AA22" s="87"/>
      <c r="AB22" s="84"/>
      <c r="AC22" s="84"/>
      <c r="AD22" s="401">
        <v>1</v>
      </c>
      <c r="AE22" s="374">
        <f>IF(ISBLANK(AB22),0,_xll.FlexuralStiffness(AB22="Fixed",$L$12,AA22*10^4,AC22)/10^6)*AD22</f>
        <v>0</v>
      </c>
      <c r="AF22" s="84"/>
      <c r="AG22" s="84"/>
      <c r="AH22" s="87"/>
      <c r="AI22" s="84"/>
      <c r="AJ22" s="84"/>
      <c r="AK22" s="401">
        <v>1</v>
      </c>
      <c r="AL22" s="374">
        <f>IF(ISBLANK(AI22),0,_xll.FlexuralStiffness(AI22="Fixed",$L$12,AH22*10^4,AJ22)/10^6)*AK22</f>
        <v>0</v>
      </c>
      <c r="AM22" s="84"/>
      <c r="AN22" s="84"/>
      <c r="AO22" s="87"/>
      <c r="AP22" s="84"/>
      <c r="AQ22" s="84"/>
      <c r="AR22" s="401">
        <v>1</v>
      </c>
      <c r="AS22" s="87" t="str">
        <f>IF(ISBLANK(AO22),"∞",_xll.FlexuralStiffness(AP22="Fixed",$L$12,AO22*10^4,AQ22)/10^6)</f>
        <v>∞</v>
      </c>
      <c r="AT22" s="84"/>
      <c r="AU22" s="87"/>
      <c r="AV22" s="84"/>
      <c r="AW22" s="401"/>
      <c r="AX22" s="84"/>
      <c r="AY22" s="401" t="b">
        <v>0</v>
      </c>
      <c r="AZ22" s="401">
        <v>1</v>
      </c>
      <c r="BA22" s="87">
        <f t="shared" si="19"/>
        <v>0</v>
      </c>
      <c r="BB22" s="381">
        <f t="shared" si="20"/>
        <v>0</v>
      </c>
      <c r="BC22" s="381" t="str">
        <f t="shared" si="10"/>
        <v>∞</v>
      </c>
      <c r="BD22" s="394" t="s">
        <v>199</v>
      </c>
      <c r="BE22" s="84"/>
      <c r="BF22" s="84"/>
      <c r="BG22" s="87"/>
      <c r="BH22" s="84"/>
      <c r="BI22" s="84"/>
      <c r="BJ22" s="401">
        <v>1</v>
      </c>
      <c r="BK22" s="374">
        <f>IF(ISBLANK(BH22),0,_xll.FlexuralStiffness(BH22="Fixed",$L$12,BG22*10^4,BI22)/10^6)*BJ22</f>
        <v>0</v>
      </c>
      <c r="BL22" s="84"/>
      <c r="BM22" s="84"/>
      <c r="BN22" s="87"/>
      <c r="BO22" s="84"/>
      <c r="BP22" s="84"/>
      <c r="BQ22" s="401">
        <v>1</v>
      </c>
      <c r="BR22" s="374">
        <f>IF(ISBLANK(BO22),0,_xll.FlexuralStiffness(BO22="Fixed",$L$12,BN22*10^4,BP22)/10^6)*BQ22</f>
        <v>0</v>
      </c>
      <c r="BS22" s="84"/>
      <c r="BT22" s="84"/>
      <c r="BU22" s="87"/>
      <c r="BV22" s="84"/>
      <c r="BW22" s="84"/>
      <c r="BX22" s="401">
        <v>1</v>
      </c>
      <c r="BY22" s="374">
        <f>IF(ISBLANK(BV22),0,_xll.FlexuralStiffness(BV22="Fixed",$L$12,BU22*10^4,BW22)/10^6)*BX22</f>
        <v>0</v>
      </c>
      <c r="BZ22" s="84"/>
      <c r="CA22" s="84"/>
      <c r="CB22" s="87"/>
      <c r="CC22" s="84"/>
      <c r="CD22" s="84"/>
      <c r="CE22" s="401">
        <v>1</v>
      </c>
      <c r="CF22" s="374">
        <f>IF(ISBLANK(CC22),0,_xll.FlexuralStiffness(CC22="Fixed",$L$12,CB22*10^4,CD22)/10^6)*CE22</f>
        <v>0</v>
      </c>
      <c r="CG22" s="381" t="str">
        <f t="shared" si="11"/>
        <v>∞</v>
      </c>
      <c r="CH22" s="365" t="str">
        <f t="shared" si="12"/>
        <v>∞</v>
      </c>
      <c r="CI22" s="365" t="str">
        <f t="shared" si="21"/>
        <v>∞</v>
      </c>
      <c r="CJ22" s="89">
        <f t="shared" si="13"/>
        <v>38.21</v>
      </c>
      <c r="CK22" s="379" t="e">
        <f t="shared" ca="1" si="22"/>
        <v>#NAME?</v>
      </c>
      <c r="CM22" s="391" t="s">
        <v>199</v>
      </c>
      <c r="CN22" s="84"/>
      <c r="CO22" s="84"/>
      <c r="CP22" s="87"/>
      <c r="CQ22" s="84"/>
      <c r="CR22" s="84"/>
      <c r="CS22" s="401">
        <v>1</v>
      </c>
      <c r="CT22" s="374">
        <f>IF(ISBLANK(CQ22),0,_xll.FlexuralStiffness(CQ22="Fixed",$L$12,CP22*10^4,CR22)/10^6)*CS22</f>
        <v>0</v>
      </c>
      <c r="CU22" s="84"/>
      <c r="CV22" s="84"/>
      <c r="CW22" s="87"/>
      <c r="CX22" s="84"/>
      <c r="CY22" s="84"/>
      <c r="CZ22" s="401">
        <v>1</v>
      </c>
      <c r="DA22" s="374">
        <f>IF(ISBLANK(CX22),0,_xll.FlexuralStiffness(CX22="Fixed",$L$12,CW22*10^4,CY22)/10^6)*CZ22</f>
        <v>0</v>
      </c>
      <c r="DB22" s="84"/>
      <c r="DC22" s="84"/>
      <c r="DD22" s="87"/>
      <c r="DE22" s="84"/>
      <c r="DF22" s="84"/>
      <c r="DG22" s="401">
        <v>1</v>
      </c>
      <c r="DH22" s="374">
        <f>IF(ISBLANK(DE22),0,_xll.FlexuralStiffness(DE22="Fixed",$L$12,DD22*10^4,DF22)/10^6)*DG22</f>
        <v>0</v>
      </c>
      <c r="DI22" s="84"/>
      <c r="DJ22" s="84"/>
      <c r="DK22" s="87"/>
      <c r="DL22" s="84"/>
      <c r="DM22" s="84"/>
      <c r="DN22" s="401">
        <v>1</v>
      </c>
      <c r="DO22" s="374">
        <f>IF(ISBLANK(DL22),0,_xll.FlexuralStiffness(DL22="Fixed",$L$12,DK22*10^4,DM22)/10^6)*DN22</f>
        <v>0</v>
      </c>
      <c r="DP22" s="84"/>
      <c r="DQ22" s="84"/>
      <c r="DR22" s="87"/>
      <c r="DS22" s="84"/>
      <c r="DT22" s="84"/>
      <c r="DU22" s="401">
        <v>1</v>
      </c>
      <c r="DV22" s="87" t="str">
        <f>IF(ISBLANK(DR22),"∞",_xll.FlexuralStiffness(DS22="Fixed",$L$12,DR22*10^4,DT22)/10^6)</f>
        <v>∞</v>
      </c>
      <c r="DW22" s="84"/>
      <c r="DX22" s="87"/>
      <c r="DY22" s="84"/>
      <c r="DZ22" s="401"/>
      <c r="EA22" s="84"/>
      <c r="EB22" s="401" t="b">
        <v>0</v>
      </c>
      <c r="EC22" s="401">
        <v>1</v>
      </c>
      <c r="ED22" s="87">
        <f t="shared" si="23"/>
        <v>0</v>
      </c>
      <c r="EE22" s="381">
        <f t="shared" si="24"/>
        <v>0</v>
      </c>
      <c r="EF22" s="381" t="str">
        <f t="shared" si="14"/>
        <v>∞</v>
      </c>
      <c r="EG22" s="394" t="s">
        <v>199</v>
      </c>
      <c r="EH22" s="84"/>
      <c r="EI22" s="84"/>
      <c r="EJ22" s="87"/>
      <c r="EK22" s="84"/>
      <c r="EL22" s="84"/>
      <c r="EM22" s="401">
        <v>1</v>
      </c>
      <c r="EN22" s="374">
        <f>IF(ISBLANK(EK22),0,_xll.FlexuralStiffness(EK22="Fixed",$L$12,EJ22*10^4,EL22)/10^6)*EM22</f>
        <v>0</v>
      </c>
      <c r="EO22" s="84"/>
      <c r="EP22" s="84"/>
      <c r="EQ22" s="87"/>
      <c r="ER22" s="84"/>
      <c r="ES22" s="84"/>
      <c r="ET22" s="401">
        <v>1</v>
      </c>
      <c r="EU22" s="374">
        <f>IF(ISBLANK(ER22),0,_xll.FlexuralStiffness(ER22="Fixed",$L$12,EQ22*10^4,ES22)/10^6)*ET22</f>
        <v>0</v>
      </c>
      <c r="EV22" s="84"/>
      <c r="EW22" s="84"/>
      <c r="EX22" s="87"/>
      <c r="EY22" s="84"/>
      <c r="EZ22" s="84"/>
      <c r="FA22" s="401">
        <v>1</v>
      </c>
      <c r="FB22" s="374">
        <f>IF(ISBLANK(EY22),0,_xll.FlexuralStiffness(EY22="Fixed",$L$12,EX22*10^4,EZ22)/10^6)*FA22</f>
        <v>0</v>
      </c>
      <c r="FC22" s="84"/>
      <c r="FD22" s="84"/>
      <c r="FE22" s="87"/>
      <c r="FF22" s="84"/>
      <c r="FG22" s="84"/>
      <c r="FH22" s="401">
        <v>1</v>
      </c>
      <c r="FI22" s="374">
        <f>IF(ISBLANK(FF22),0,_xll.FlexuralStiffness(FF22="Fixed",$L$12,FE22*10^4,FG22)/10^6)*FH22</f>
        <v>0</v>
      </c>
      <c r="FJ22" s="381" t="str">
        <f t="shared" si="15"/>
        <v>∞</v>
      </c>
      <c r="FK22" s="365" t="str">
        <f t="shared" si="16"/>
        <v>∞</v>
      </c>
      <c r="FL22" s="365" t="str">
        <f t="shared" si="25"/>
        <v>∞</v>
      </c>
      <c r="FM22" s="89">
        <f t="shared" si="17"/>
        <v>38.21</v>
      </c>
      <c r="FN22" s="379" t="str">
        <f t="shared" si="26"/>
        <v>∞</v>
      </c>
      <c r="FO22" s="368"/>
      <c r="FP22" s="1"/>
      <c r="FQ22" s="1"/>
      <c r="FR22" s="367"/>
      <c r="FS22" s="1"/>
      <c r="FT22" s="1"/>
      <c r="FU22" s="368"/>
      <c r="FV22" s="368"/>
      <c r="FW22" s="368"/>
      <c r="FX22" s="368"/>
      <c r="FY22" s="173"/>
    </row>
    <row r="23" spans="1:182" x14ac:dyDescent="0.25">
      <c r="A23" s="326"/>
      <c r="B23" s="430">
        <v>13</v>
      </c>
      <c r="C23" s="58" t="e">
        <f t="shared" ca="1" si="18"/>
        <v>#NAME?</v>
      </c>
      <c r="D23" s="203" t="str">
        <f t="shared" si="9"/>
        <v>∞</v>
      </c>
      <c r="E23" s="326"/>
      <c r="F23" s="637"/>
      <c r="G23" s="46" t="s">
        <v>17</v>
      </c>
      <c r="H23" s="84" t="s">
        <v>396</v>
      </c>
      <c r="I23" s="108">
        <v>38.21</v>
      </c>
      <c r="J23" s="391" t="s">
        <v>199</v>
      </c>
      <c r="K23" s="84"/>
      <c r="L23" s="84"/>
      <c r="M23" s="87"/>
      <c r="N23" s="84"/>
      <c r="O23" s="84"/>
      <c r="P23" s="401">
        <v>1</v>
      </c>
      <c r="Q23" s="374">
        <f>IF(ISBLANK(N23),0,_xll.FlexuralStiffness(N23="Fixed",$L$12,M23*10^4,O23)/10^6)*P23</f>
        <v>0</v>
      </c>
      <c r="R23" s="84"/>
      <c r="S23" s="84"/>
      <c r="T23" s="87"/>
      <c r="U23" s="84"/>
      <c r="V23" s="84"/>
      <c r="W23" s="401">
        <v>1</v>
      </c>
      <c r="X23" s="374">
        <f>IF(ISBLANK(U23),0,_xll.FlexuralStiffness(U23="Fixed",$L$12,T23*10^4,V23)/10^6)*W23</f>
        <v>0</v>
      </c>
      <c r="Y23" s="84"/>
      <c r="Z23" s="84"/>
      <c r="AA23" s="87"/>
      <c r="AB23" s="84"/>
      <c r="AC23" s="84"/>
      <c r="AD23" s="401">
        <v>1</v>
      </c>
      <c r="AE23" s="374">
        <f>IF(ISBLANK(AB23),0,_xll.FlexuralStiffness(AB23="Fixed",$L$12,AA23*10^4,AC23)/10^6)*AD23</f>
        <v>0</v>
      </c>
      <c r="AF23" s="84"/>
      <c r="AG23" s="84"/>
      <c r="AH23" s="87"/>
      <c r="AI23" s="84"/>
      <c r="AJ23" s="84"/>
      <c r="AK23" s="401">
        <v>1</v>
      </c>
      <c r="AL23" s="374">
        <f>IF(ISBLANK(AI23),0,_xll.FlexuralStiffness(AI23="Fixed",$L$12,AH23*10^4,AJ23)/10^6)*AK23</f>
        <v>0</v>
      </c>
      <c r="AM23" s="84"/>
      <c r="AN23" s="84"/>
      <c r="AO23" s="87"/>
      <c r="AP23" s="84"/>
      <c r="AQ23" s="84"/>
      <c r="AR23" s="401">
        <v>1</v>
      </c>
      <c r="AS23" s="87" t="str">
        <f>IF(ISBLANK(AO23),"∞",_xll.FlexuralStiffness(AP23="Fixed",$L$12,AO23*10^4,AQ23)/10^6)</f>
        <v>∞</v>
      </c>
      <c r="AT23" s="84"/>
      <c r="AU23" s="87"/>
      <c r="AV23" s="84"/>
      <c r="AW23" s="401"/>
      <c r="AX23" s="84"/>
      <c r="AY23" s="401" t="b">
        <v>0</v>
      </c>
      <c r="AZ23" s="401">
        <v>1</v>
      </c>
      <c r="BA23" s="87">
        <f t="shared" si="19"/>
        <v>0</v>
      </c>
      <c r="BB23" s="381">
        <f t="shared" si="20"/>
        <v>0</v>
      </c>
      <c r="BC23" s="381" t="str">
        <f t="shared" si="10"/>
        <v>∞</v>
      </c>
      <c r="BD23" s="394" t="s">
        <v>199</v>
      </c>
      <c r="BE23" s="84"/>
      <c r="BF23" s="84"/>
      <c r="BG23" s="87"/>
      <c r="BH23" s="84"/>
      <c r="BI23" s="84"/>
      <c r="BJ23" s="401">
        <v>1</v>
      </c>
      <c r="BK23" s="374">
        <f>IF(ISBLANK(BH23),0,_xll.FlexuralStiffness(BH23="Fixed",$L$12,BG23*10^4,BI23)/10^6)*BJ23</f>
        <v>0</v>
      </c>
      <c r="BL23" s="84"/>
      <c r="BM23" s="84"/>
      <c r="BN23" s="87"/>
      <c r="BO23" s="84"/>
      <c r="BP23" s="84"/>
      <c r="BQ23" s="401">
        <v>1</v>
      </c>
      <c r="BR23" s="374">
        <f>IF(ISBLANK(BO23),0,_xll.FlexuralStiffness(BO23="Fixed",$L$12,BN23*10^4,BP23)/10^6)*BQ23</f>
        <v>0</v>
      </c>
      <c r="BS23" s="84"/>
      <c r="BT23" s="84"/>
      <c r="BU23" s="87"/>
      <c r="BV23" s="84"/>
      <c r="BW23" s="84"/>
      <c r="BX23" s="401">
        <v>1</v>
      </c>
      <c r="BY23" s="374">
        <f>IF(ISBLANK(BV23),0,_xll.FlexuralStiffness(BV23="Fixed",$L$12,BU23*10^4,BW23)/10^6)*BX23</f>
        <v>0</v>
      </c>
      <c r="BZ23" s="84"/>
      <c r="CA23" s="84"/>
      <c r="CB23" s="87"/>
      <c r="CC23" s="84"/>
      <c r="CD23" s="84"/>
      <c r="CE23" s="401">
        <v>1</v>
      </c>
      <c r="CF23" s="374">
        <f>IF(ISBLANK(CC23),0,_xll.FlexuralStiffness(CC23="Fixed",$L$12,CB23*10^4,CD23)/10^6)*CE23</f>
        <v>0</v>
      </c>
      <c r="CG23" s="381" t="str">
        <f t="shared" si="11"/>
        <v>∞</v>
      </c>
      <c r="CH23" s="365" t="str">
        <f t="shared" si="12"/>
        <v>∞</v>
      </c>
      <c r="CI23" s="365" t="str">
        <f t="shared" si="21"/>
        <v>∞</v>
      </c>
      <c r="CJ23" s="89">
        <f t="shared" si="13"/>
        <v>38.21</v>
      </c>
      <c r="CK23" s="379" t="e">
        <f t="shared" ca="1" si="22"/>
        <v>#NAME?</v>
      </c>
      <c r="CM23" s="391" t="s">
        <v>199</v>
      </c>
      <c r="CN23" s="84"/>
      <c r="CO23" s="84"/>
      <c r="CP23" s="87"/>
      <c r="CQ23" s="84"/>
      <c r="CR23" s="84"/>
      <c r="CS23" s="401">
        <v>1</v>
      </c>
      <c r="CT23" s="374">
        <f>IF(ISBLANK(CQ23),0,_xll.FlexuralStiffness(CQ23="Fixed",$L$12,CP23*10^4,CR23)/10^6)*CS23</f>
        <v>0</v>
      </c>
      <c r="CU23" s="84"/>
      <c r="CV23" s="84"/>
      <c r="CW23" s="87"/>
      <c r="CX23" s="84"/>
      <c r="CY23" s="84"/>
      <c r="CZ23" s="401">
        <v>1</v>
      </c>
      <c r="DA23" s="374">
        <f>IF(ISBLANK(CX23),0,_xll.FlexuralStiffness(CX23="Fixed",$L$12,CW23*10^4,CY23)/10^6)*CZ23</f>
        <v>0</v>
      </c>
      <c r="DB23" s="84"/>
      <c r="DC23" s="84"/>
      <c r="DD23" s="87"/>
      <c r="DE23" s="84"/>
      <c r="DF23" s="84"/>
      <c r="DG23" s="401">
        <v>1</v>
      </c>
      <c r="DH23" s="374">
        <f>IF(ISBLANK(DE23),0,_xll.FlexuralStiffness(DE23="Fixed",$L$12,DD23*10^4,DF23)/10^6)*DG23</f>
        <v>0</v>
      </c>
      <c r="DI23" s="84"/>
      <c r="DJ23" s="84"/>
      <c r="DK23" s="87"/>
      <c r="DL23" s="84"/>
      <c r="DM23" s="84"/>
      <c r="DN23" s="401">
        <v>1</v>
      </c>
      <c r="DO23" s="374">
        <f>IF(ISBLANK(DL23),0,_xll.FlexuralStiffness(DL23="Fixed",$L$12,DK23*10^4,DM23)/10^6)*DN23</f>
        <v>0</v>
      </c>
      <c r="DP23" s="84"/>
      <c r="DQ23" s="84"/>
      <c r="DR23" s="87"/>
      <c r="DS23" s="84"/>
      <c r="DT23" s="84"/>
      <c r="DU23" s="401">
        <v>1</v>
      </c>
      <c r="DV23" s="87" t="str">
        <f>IF(ISBLANK(DR23),"∞",_xll.FlexuralStiffness(DS23="Fixed",$L$12,DR23*10^4,DT23)/10^6)</f>
        <v>∞</v>
      </c>
      <c r="DW23" s="84"/>
      <c r="DX23" s="87"/>
      <c r="DY23" s="84"/>
      <c r="DZ23" s="401"/>
      <c r="EA23" s="84"/>
      <c r="EB23" s="401" t="b">
        <v>0</v>
      </c>
      <c r="EC23" s="401">
        <v>1</v>
      </c>
      <c r="ED23" s="87">
        <f t="shared" si="23"/>
        <v>0</v>
      </c>
      <c r="EE23" s="381">
        <f t="shared" si="24"/>
        <v>0</v>
      </c>
      <c r="EF23" s="381" t="str">
        <f t="shared" si="14"/>
        <v>∞</v>
      </c>
      <c r="EG23" s="394" t="s">
        <v>199</v>
      </c>
      <c r="EH23" s="84"/>
      <c r="EI23" s="84"/>
      <c r="EJ23" s="87"/>
      <c r="EK23" s="84"/>
      <c r="EL23" s="84"/>
      <c r="EM23" s="401">
        <v>1</v>
      </c>
      <c r="EN23" s="374">
        <f>IF(ISBLANK(EK23),0,_xll.FlexuralStiffness(EK23="Fixed",$L$12,EJ23*10^4,EL23)/10^6)*EM23</f>
        <v>0</v>
      </c>
      <c r="EO23" s="84"/>
      <c r="EP23" s="84"/>
      <c r="EQ23" s="87"/>
      <c r="ER23" s="84"/>
      <c r="ES23" s="84"/>
      <c r="ET23" s="401">
        <v>1</v>
      </c>
      <c r="EU23" s="374">
        <f>IF(ISBLANK(ER23),0,_xll.FlexuralStiffness(ER23="Fixed",$L$12,EQ23*10^4,ES23)/10^6)*ET23</f>
        <v>0</v>
      </c>
      <c r="EV23" s="84"/>
      <c r="EW23" s="84"/>
      <c r="EX23" s="87"/>
      <c r="EY23" s="84"/>
      <c r="EZ23" s="84"/>
      <c r="FA23" s="401">
        <v>1</v>
      </c>
      <c r="FB23" s="374">
        <f>IF(ISBLANK(EY23),0,_xll.FlexuralStiffness(EY23="Fixed",$L$12,EX23*10^4,EZ23)/10^6)*FA23</f>
        <v>0</v>
      </c>
      <c r="FC23" s="84"/>
      <c r="FD23" s="84"/>
      <c r="FE23" s="87"/>
      <c r="FF23" s="84"/>
      <c r="FG23" s="84"/>
      <c r="FH23" s="401">
        <v>1</v>
      </c>
      <c r="FI23" s="374">
        <f>IF(ISBLANK(FF23),0,_xll.FlexuralStiffness(FF23="Fixed",$L$12,FE23*10^4,FG23)/10^6)*FH23</f>
        <v>0</v>
      </c>
      <c r="FJ23" s="381" t="str">
        <f t="shared" si="15"/>
        <v>∞</v>
      </c>
      <c r="FK23" s="365" t="str">
        <f t="shared" si="16"/>
        <v>∞</v>
      </c>
      <c r="FL23" s="365" t="str">
        <f t="shared" si="25"/>
        <v>∞</v>
      </c>
      <c r="FM23" s="89">
        <f t="shared" si="17"/>
        <v>38.21</v>
      </c>
      <c r="FN23" s="379" t="str">
        <f t="shared" si="26"/>
        <v>∞</v>
      </c>
      <c r="FO23" s="368"/>
      <c r="FP23" s="1"/>
      <c r="FQ23" s="1"/>
      <c r="FR23" s="367"/>
      <c r="FS23" s="1"/>
      <c r="FT23" s="1"/>
      <c r="FU23" s="368"/>
      <c r="FV23" s="368"/>
      <c r="FW23" s="368"/>
      <c r="FX23" s="368"/>
      <c r="FY23" s="173"/>
    </row>
    <row r="24" spans="1:182" x14ac:dyDescent="0.25">
      <c r="A24" s="326"/>
      <c r="B24" s="430">
        <v>14</v>
      </c>
      <c r="C24" s="58" t="e">
        <f t="shared" ca="1" si="18"/>
        <v>#NAME?</v>
      </c>
      <c r="D24" s="203" t="str">
        <f t="shared" si="9"/>
        <v>∞</v>
      </c>
      <c r="E24" s="326"/>
      <c r="F24" s="637"/>
      <c r="G24" s="46" t="s">
        <v>18</v>
      </c>
      <c r="H24" s="84" t="s">
        <v>396</v>
      </c>
      <c r="I24" s="108">
        <v>38.21</v>
      </c>
      <c r="J24" s="391" t="s">
        <v>199</v>
      </c>
      <c r="K24" s="84"/>
      <c r="L24" s="84"/>
      <c r="M24" s="87"/>
      <c r="N24" s="84"/>
      <c r="O24" s="84"/>
      <c r="P24" s="401">
        <v>1</v>
      </c>
      <c r="Q24" s="374">
        <f>IF(ISBLANK(N24),0,_xll.FlexuralStiffness(N24="Fixed",$L$12,M24*10^4,O24)/10^6)*P24</f>
        <v>0</v>
      </c>
      <c r="R24" s="84"/>
      <c r="S24" s="84"/>
      <c r="T24" s="87"/>
      <c r="U24" s="84"/>
      <c r="V24" s="84"/>
      <c r="W24" s="401">
        <v>1</v>
      </c>
      <c r="X24" s="374">
        <f>IF(ISBLANK(U24),0,_xll.FlexuralStiffness(U24="Fixed",$L$12,T24*10^4,V24)/10^6)*W24</f>
        <v>0</v>
      </c>
      <c r="Y24" s="84"/>
      <c r="Z24" s="84"/>
      <c r="AA24" s="87"/>
      <c r="AB24" s="84"/>
      <c r="AC24" s="84"/>
      <c r="AD24" s="401">
        <v>1</v>
      </c>
      <c r="AE24" s="374">
        <f>IF(ISBLANK(AB24),0,_xll.FlexuralStiffness(AB24="Fixed",$L$12,AA24*10^4,AC24)/10^6)*AD24</f>
        <v>0</v>
      </c>
      <c r="AF24" s="84"/>
      <c r="AG24" s="84"/>
      <c r="AH24" s="87"/>
      <c r="AI24" s="84"/>
      <c r="AJ24" s="84"/>
      <c r="AK24" s="401">
        <v>1</v>
      </c>
      <c r="AL24" s="374">
        <f>IF(ISBLANK(AI24),0,_xll.FlexuralStiffness(AI24="Fixed",$L$12,AH24*10^4,AJ24)/10^6)*AK24</f>
        <v>0</v>
      </c>
      <c r="AM24" s="84"/>
      <c r="AN24" s="84"/>
      <c r="AO24" s="87"/>
      <c r="AP24" s="84"/>
      <c r="AQ24" s="84"/>
      <c r="AR24" s="401">
        <v>1</v>
      </c>
      <c r="AS24" s="87" t="str">
        <f>IF(ISBLANK(AO24),"∞",_xll.FlexuralStiffness(AP24="Fixed",$L$12,AO24*10^4,AQ24)/10^6)</f>
        <v>∞</v>
      </c>
      <c r="AT24" s="84"/>
      <c r="AU24" s="87"/>
      <c r="AV24" s="84"/>
      <c r="AW24" s="401"/>
      <c r="AX24" s="84"/>
      <c r="AY24" s="401" t="b">
        <v>0</v>
      </c>
      <c r="AZ24" s="401">
        <v>1</v>
      </c>
      <c r="BA24" s="87">
        <f t="shared" si="19"/>
        <v>0</v>
      </c>
      <c r="BB24" s="381">
        <f t="shared" si="20"/>
        <v>0</v>
      </c>
      <c r="BC24" s="381" t="str">
        <f t="shared" si="10"/>
        <v>∞</v>
      </c>
      <c r="BD24" s="394" t="s">
        <v>199</v>
      </c>
      <c r="BE24" s="84"/>
      <c r="BF24" s="84"/>
      <c r="BG24" s="87"/>
      <c r="BH24" s="84"/>
      <c r="BI24" s="84"/>
      <c r="BJ24" s="401">
        <v>1</v>
      </c>
      <c r="BK24" s="374">
        <f>IF(ISBLANK(BH24),0,_xll.FlexuralStiffness(BH24="Fixed",$L$12,BG24*10^4,BI24)/10^6)*BJ24</f>
        <v>0</v>
      </c>
      <c r="BL24" s="84"/>
      <c r="BM24" s="84"/>
      <c r="BN24" s="87"/>
      <c r="BO24" s="84"/>
      <c r="BP24" s="84"/>
      <c r="BQ24" s="401">
        <v>1</v>
      </c>
      <c r="BR24" s="374">
        <f>IF(ISBLANK(BO24),0,_xll.FlexuralStiffness(BO24="Fixed",$L$12,BN24*10^4,BP24)/10^6)*BQ24</f>
        <v>0</v>
      </c>
      <c r="BS24" s="84"/>
      <c r="BT24" s="84"/>
      <c r="BU24" s="87"/>
      <c r="BV24" s="84"/>
      <c r="BW24" s="84"/>
      <c r="BX24" s="401">
        <v>1</v>
      </c>
      <c r="BY24" s="374">
        <f>IF(ISBLANK(BV24),0,_xll.FlexuralStiffness(BV24="Fixed",$L$12,BU24*10^4,BW24)/10^6)*BX24</f>
        <v>0</v>
      </c>
      <c r="BZ24" s="84"/>
      <c r="CA24" s="84"/>
      <c r="CB24" s="87"/>
      <c r="CC24" s="84"/>
      <c r="CD24" s="84"/>
      <c r="CE24" s="401">
        <v>1</v>
      </c>
      <c r="CF24" s="374">
        <f>IF(ISBLANK(CC24),0,_xll.FlexuralStiffness(CC24="Fixed",$L$12,CB24*10^4,CD24)/10^6)*CE24</f>
        <v>0</v>
      </c>
      <c r="CG24" s="381" t="str">
        <f t="shared" si="11"/>
        <v>∞</v>
      </c>
      <c r="CH24" s="365" t="str">
        <f t="shared" si="12"/>
        <v>∞</v>
      </c>
      <c r="CI24" s="365" t="str">
        <f t="shared" si="21"/>
        <v>∞</v>
      </c>
      <c r="CJ24" s="89">
        <f t="shared" si="13"/>
        <v>38.21</v>
      </c>
      <c r="CK24" s="379" t="e">
        <f t="shared" ca="1" si="22"/>
        <v>#NAME?</v>
      </c>
      <c r="CM24" s="391" t="s">
        <v>199</v>
      </c>
      <c r="CN24" s="84"/>
      <c r="CO24" s="84"/>
      <c r="CP24" s="87"/>
      <c r="CQ24" s="84"/>
      <c r="CR24" s="84"/>
      <c r="CS24" s="401">
        <v>1</v>
      </c>
      <c r="CT24" s="374">
        <f>IF(ISBLANK(CQ24),0,_xll.FlexuralStiffness(CQ24="Fixed",$L$12,CP24*10^4,CR24)/10^6)*CS24</f>
        <v>0</v>
      </c>
      <c r="CU24" s="84"/>
      <c r="CV24" s="84"/>
      <c r="CW24" s="87"/>
      <c r="CX24" s="84"/>
      <c r="CY24" s="84"/>
      <c r="CZ24" s="401">
        <v>1</v>
      </c>
      <c r="DA24" s="374">
        <f>IF(ISBLANK(CX24),0,_xll.FlexuralStiffness(CX24="Fixed",$L$12,CW24*10^4,CY24)/10^6)*CZ24</f>
        <v>0</v>
      </c>
      <c r="DB24" s="84"/>
      <c r="DC24" s="84"/>
      <c r="DD24" s="87"/>
      <c r="DE24" s="84"/>
      <c r="DF24" s="84"/>
      <c r="DG24" s="401">
        <v>1</v>
      </c>
      <c r="DH24" s="374">
        <f>IF(ISBLANK(DE24),0,_xll.FlexuralStiffness(DE24="Fixed",$L$12,DD24*10^4,DF24)/10^6)*DG24</f>
        <v>0</v>
      </c>
      <c r="DI24" s="84"/>
      <c r="DJ24" s="84"/>
      <c r="DK24" s="87"/>
      <c r="DL24" s="84"/>
      <c r="DM24" s="84"/>
      <c r="DN24" s="401">
        <v>1</v>
      </c>
      <c r="DO24" s="374">
        <f>IF(ISBLANK(DL24),0,_xll.FlexuralStiffness(DL24="Fixed",$L$12,DK24*10^4,DM24)/10^6)*DN24</f>
        <v>0</v>
      </c>
      <c r="DP24" s="84"/>
      <c r="DQ24" s="84"/>
      <c r="DR24" s="87"/>
      <c r="DS24" s="84"/>
      <c r="DT24" s="84"/>
      <c r="DU24" s="401">
        <v>1</v>
      </c>
      <c r="DV24" s="87" t="str">
        <f>IF(ISBLANK(DR24),"∞",_xll.FlexuralStiffness(DS24="Fixed",$L$12,DR24*10^4,DT24)/10^6)</f>
        <v>∞</v>
      </c>
      <c r="DW24" s="84"/>
      <c r="DX24" s="87"/>
      <c r="DY24" s="84"/>
      <c r="DZ24" s="401"/>
      <c r="EA24" s="84"/>
      <c r="EB24" s="401" t="b">
        <v>0</v>
      </c>
      <c r="EC24" s="401">
        <v>1</v>
      </c>
      <c r="ED24" s="87">
        <f t="shared" si="23"/>
        <v>0</v>
      </c>
      <c r="EE24" s="381">
        <f t="shared" si="24"/>
        <v>0</v>
      </c>
      <c r="EF24" s="381" t="str">
        <f t="shared" si="14"/>
        <v>∞</v>
      </c>
      <c r="EG24" s="394" t="s">
        <v>199</v>
      </c>
      <c r="EH24" s="84"/>
      <c r="EI24" s="84"/>
      <c r="EJ24" s="87"/>
      <c r="EK24" s="84"/>
      <c r="EL24" s="84"/>
      <c r="EM24" s="401">
        <v>1</v>
      </c>
      <c r="EN24" s="374">
        <f>IF(ISBLANK(EK24),0,_xll.FlexuralStiffness(EK24="Fixed",$L$12,EJ24*10^4,EL24)/10^6)*EM24</f>
        <v>0</v>
      </c>
      <c r="EO24" s="84"/>
      <c r="EP24" s="84"/>
      <c r="EQ24" s="87"/>
      <c r="ER24" s="84"/>
      <c r="ES24" s="84"/>
      <c r="ET24" s="401">
        <v>1</v>
      </c>
      <c r="EU24" s="374">
        <f>IF(ISBLANK(ER24),0,_xll.FlexuralStiffness(ER24="Fixed",$L$12,EQ24*10^4,ES24)/10^6)*ET24</f>
        <v>0</v>
      </c>
      <c r="EV24" s="84"/>
      <c r="EW24" s="84"/>
      <c r="EX24" s="87"/>
      <c r="EY24" s="84"/>
      <c r="EZ24" s="84"/>
      <c r="FA24" s="401">
        <v>1</v>
      </c>
      <c r="FB24" s="374">
        <f>IF(ISBLANK(EY24),0,_xll.FlexuralStiffness(EY24="Fixed",$L$12,EX24*10^4,EZ24)/10^6)*FA24</f>
        <v>0</v>
      </c>
      <c r="FC24" s="84"/>
      <c r="FD24" s="84"/>
      <c r="FE24" s="87"/>
      <c r="FF24" s="84"/>
      <c r="FG24" s="84"/>
      <c r="FH24" s="401">
        <v>1</v>
      </c>
      <c r="FI24" s="374">
        <f>IF(ISBLANK(FF24),0,_xll.FlexuralStiffness(FF24="Fixed",$L$12,FE24*10^4,FG24)/10^6)*FH24</f>
        <v>0</v>
      </c>
      <c r="FJ24" s="381" t="str">
        <f t="shared" si="15"/>
        <v>∞</v>
      </c>
      <c r="FK24" s="365" t="str">
        <f t="shared" si="16"/>
        <v>∞</v>
      </c>
      <c r="FL24" s="365" t="str">
        <f t="shared" si="25"/>
        <v>∞</v>
      </c>
      <c r="FM24" s="89">
        <f t="shared" si="17"/>
        <v>38.21</v>
      </c>
      <c r="FN24" s="379" t="str">
        <f t="shared" si="26"/>
        <v>∞</v>
      </c>
      <c r="FO24" s="368"/>
      <c r="FP24" s="1"/>
      <c r="FQ24" s="1"/>
      <c r="FR24" s="367"/>
      <c r="FS24" s="1"/>
      <c r="FT24" s="1"/>
      <c r="FU24" s="368"/>
      <c r="FV24" s="368"/>
      <c r="FW24" s="368"/>
      <c r="FX24" s="368"/>
      <c r="FY24" s="173"/>
    </row>
    <row r="25" spans="1:182" x14ac:dyDescent="0.25">
      <c r="A25" s="326"/>
      <c r="B25" s="429">
        <v>15</v>
      </c>
      <c r="C25" s="19" t="e">
        <f t="shared" ca="1" si="18"/>
        <v>#NAME?</v>
      </c>
      <c r="D25" s="204" t="str">
        <f t="shared" si="9"/>
        <v>∞</v>
      </c>
      <c r="E25" s="326"/>
      <c r="F25" s="638"/>
      <c r="G25" s="6" t="s">
        <v>19</v>
      </c>
      <c r="H25" s="9" t="s">
        <v>396</v>
      </c>
      <c r="I25" s="111">
        <v>38.21</v>
      </c>
      <c r="J25" s="392" t="s">
        <v>199</v>
      </c>
      <c r="K25" s="9"/>
      <c r="L25" s="9"/>
      <c r="M25" s="104"/>
      <c r="N25" s="9"/>
      <c r="O25" s="9"/>
      <c r="P25" s="402">
        <v>1</v>
      </c>
      <c r="Q25" s="375">
        <f>IF(ISBLANK(N25),0,_xll.FlexuralStiffness(N25="Fixed",$L$12,M25*10^4,O25)/10^6)*P25</f>
        <v>0</v>
      </c>
      <c r="R25" s="9"/>
      <c r="S25" s="9"/>
      <c r="T25" s="104"/>
      <c r="U25" s="9"/>
      <c r="V25" s="9"/>
      <c r="W25" s="402">
        <v>1</v>
      </c>
      <c r="X25" s="375">
        <f>IF(ISBLANK(U25),0,_xll.FlexuralStiffness(U25="Fixed",$L$12,T25*10^4,V25)/10^6)*W25</f>
        <v>0</v>
      </c>
      <c r="Y25" s="9"/>
      <c r="Z25" s="9"/>
      <c r="AA25" s="104"/>
      <c r="AB25" s="9"/>
      <c r="AC25" s="9"/>
      <c r="AD25" s="402">
        <v>1</v>
      </c>
      <c r="AE25" s="375">
        <f>IF(ISBLANK(AB25),0,_xll.FlexuralStiffness(AB25="Fixed",$L$12,AA25*10^4,AC25)/10^6)*AD25</f>
        <v>0</v>
      </c>
      <c r="AF25" s="9"/>
      <c r="AG25" s="9"/>
      <c r="AH25" s="104"/>
      <c r="AI25" s="9"/>
      <c r="AJ25" s="9"/>
      <c r="AK25" s="402">
        <v>1</v>
      </c>
      <c r="AL25" s="375">
        <f>IF(ISBLANK(AI25),0,_xll.FlexuralStiffness(AI25="Fixed",$L$12,AH25*10^4,AJ25)/10^6)*AK25</f>
        <v>0</v>
      </c>
      <c r="AM25" s="9"/>
      <c r="AN25" s="9"/>
      <c r="AO25" s="104"/>
      <c r="AP25" s="9"/>
      <c r="AQ25" s="9"/>
      <c r="AR25" s="402">
        <v>1</v>
      </c>
      <c r="AS25" s="104" t="str">
        <f>IF(ISBLANK(AO25),"∞",_xll.FlexuralStiffness(AP25="Fixed",$L$12,AO25*10^4,AQ25)/10^6)</f>
        <v>∞</v>
      </c>
      <c r="AT25" s="9"/>
      <c r="AU25" s="104"/>
      <c r="AV25" s="9"/>
      <c r="AW25" s="402"/>
      <c r="AX25" s="9"/>
      <c r="AY25" s="402" t="b">
        <v>0</v>
      </c>
      <c r="AZ25" s="402">
        <v>1</v>
      </c>
      <c r="BA25" s="104">
        <f t="shared" si="19"/>
        <v>0</v>
      </c>
      <c r="BB25" s="382">
        <f t="shared" si="20"/>
        <v>0</v>
      </c>
      <c r="BC25" s="382" t="str">
        <f t="shared" si="10"/>
        <v>∞</v>
      </c>
      <c r="BD25" s="395" t="s">
        <v>199</v>
      </c>
      <c r="BE25" s="9"/>
      <c r="BF25" s="9"/>
      <c r="BG25" s="104"/>
      <c r="BH25" s="9"/>
      <c r="BI25" s="9"/>
      <c r="BJ25" s="402">
        <v>1</v>
      </c>
      <c r="BK25" s="375">
        <f>IF(ISBLANK(BH25),0,_xll.FlexuralStiffness(BH25="Fixed",$L$12,BG25*10^4,BI25)/10^6)*BJ25</f>
        <v>0</v>
      </c>
      <c r="BL25" s="9"/>
      <c r="BM25" s="9"/>
      <c r="BN25" s="104"/>
      <c r="BO25" s="9"/>
      <c r="BP25" s="9"/>
      <c r="BQ25" s="402">
        <v>1</v>
      </c>
      <c r="BR25" s="375">
        <f>IF(ISBLANK(BO25),0,_xll.FlexuralStiffness(BO25="Fixed",$L$12,BN25*10^4,BP25)/10^6)*BQ25</f>
        <v>0</v>
      </c>
      <c r="BS25" s="9"/>
      <c r="BT25" s="9"/>
      <c r="BU25" s="104"/>
      <c r="BV25" s="9"/>
      <c r="BW25" s="9"/>
      <c r="BX25" s="402">
        <v>1</v>
      </c>
      <c r="BY25" s="375">
        <f>IF(ISBLANK(BV25),0,_xll.FlexuralStiffness(BV25="Fixed",$L$12,BU25*10^4,BW25)/10^6)*BX25</f>
        <v>0</v>
      </c>
      <c r="BZ25" s="9"/>
      <c r="CA25" s="9"/>
      <c r="CB25" s="104"/>
      <c r="CC25" s="9"/>
      <c r="CD25" s="9"/>
      <c r="CE25" s="402">
        <v>1</v>
      </c>
      <c r="CF25" s="375">
        <f>IF(ISBLANK(CC25),0,_xll.FlexuralStiffness(CC25="Fixed",$L$12,CB25*10^4,CD25)/10^6)*CE25</f>
        <v>0</v>
      </c>
      <c r="CG25" s="382" t="str">
        <f t="shared" si="11"/>
        <v>∞</v>
      </c>
      <c r="CH25" s="366" t="str">
        <f t="shared" si="12"/>
        <v>∞</v>
      </c>
      <c r="CI25" s="366" t="str">
        <f t="shared" si="21"/>
        <v>∞</v>
      </c>
      <c r="CJ25" s="14">
        <f t="shared" si="13"/>
        <v>38.21</v>
      </c>
      <c r="CK25" s="380" t="e">
        <f t="shared" ca="1" si="22"/>
        <v>#NAME?</v>
      </c>
      <c r="CM25" s="392" t="s">
        <v>199</v>
      </c>
      <c r="CN25" s="9"/>
      <c r="CO25" s="9"/>
      <c r="CP25" s="104"/>
      <c r="CQ25" s="9"/>
      <c r="CR25" s="9"/>
      <c r="CS25" s="402">
        <v>1</v>
      </c>
      <c r="CT25" s="375">
        <f>IF(ISBLANK(CQ25),0,_xll.FlexuralStiffness(CQ25="Fixed",$L$12,CP25*10^4,CR25)/10^6)*CS25</f>
        <v>0</v>
      </c>
      <c r="CU25" s="9"/>
      <c r="CV25" s="9"/>
      <c r="CW25" s="104"/>
      <c r="CX25" s="9"/>
      <c r="CY25" s="9"/>
      <c r="CZ25" s="402">
        <v>1</v>
      </c>
      <c r="DA25" s="375">
        <f>IF(ISBLANK(CX25),0,_xll.FlexuralStiffness(CX25="Fixed",$L$12,CW25*10^4,CY25)/10^6)*CZ25</f>
        <v>0</v>
      </c>
      <c r="DB25" s="9"/>
      <c r="DC25" s="9"/>
      <c r="DD25" s="104"/>
      <c r="DE25" s="9"/>
      <c r="DF25" s="9"/>
      <c r="DG25" s="402">
        <v>1</v>
      </c>
      <c r="DH25" s="375">
        <f>IF(ISBLANK(DE25),0,_xll.FlexuralStiffness(DE25="Fixed",$L$12,DD25*10^4,DF25)/10^6)*DG25</f>
        <v>0</v>
      </c>
      <c r="DI25" s="9"/>
      <c r="DJ25" s="9"/>
      <c r="DK25" s="104"/>
      <c r="DL25" s="9"/>
      <c r="DM25" s="9"/>
      <c r="DN25" s="402">
        <v>1</v>
      </c>
      <c r="DO25" s="375">
        <f>IF(ISBLANK(DL25),0,_xll.FlexuralStiffness(DL25="Fixed",$L$12,DK25*10^4,DM25)/10^6)*DN25</f>
        <v>0</v>
      </c>
      <c r="DP25" s="9"/>
      <c r="DQ25" s="9"/>
      <c r="DR25" s="104"/>
      <c r="DS25" s="9"/>
      <c r="DT25" s="9"/>
      <c r="DU25" s="402">
        <v>1</v>
      </c>
      <c r="DV25" s="104" t="str">
        <f>IF(ISBLANK(DR25),"∞",_xll.FlexuralStiffness(DS25="Fixed",$L$12,DR25*10^4,DT25)/10^6)</f>
        <v>∞</v>
      </c>
      <c r="DW25" s="9"/>
      <c r="DX25" s="104"/>
      <c r="DY25" s="9"/>
      <c r="DZ25" s="402"/>
      <c r="EA25" s="9"/>
      <c r="EB25" s="402" t="b">
        <v>0</v>
      </c>
      <c r="EC25" s="402">
        <v>1</v>
      </c>
      <c r="ED25" s="104">
        <f t="shared" si="23"/>
        <v>0</v>
      </c>
      <c r="EE25" s="382">
        <f t="shared" si="24"/>
        <v>0</v>
      </c>
      <c r="EF25" s="382" t="str">
        <f t="shared" si="14"/>
        <v>∞</v>
      </c>
      <c r="EG25" s="395" t="s">
        <v>199</v>
      </c>
      <c r="EH25" s="9"/>
      <c r="EI25" s="9"/>
      <c r="EJ25" s="104"/>
      <c r="EK25" s="9"/>
      <c r="EL25" s="9"/>
      <c r="EM25" s="402">
        <v>1</v>
      </c>
      <c r="EN25" s="375">
        <f>IF(ISBLANK(EK25),0,_xll.FlexuralStiffness(EK25="Fixed",$L$12,EJ25*10^4,EL25)/10^6)*EM25</f>
        <v>0</v>
      </c>
      <c r="EO25" s="9"/>
      <c r="EP25" s="9"/>
      <c r="EQ25" s="104"/>
      <c r="ER25" s="9"/>
      <c r="ES25" s="9"/>
      <c r="ET25" s="402">
        <v>1</v>
      </c>
      <c r="EU25" s="375">
        <f>IF(ISBLANK(ER25),0,_xll.FlexuralStiffness(ER25="Fixed",$L$12,EQ25*10^4,ES25)/10^6)*ET25</f>
        <v>0</v>
      </c>
      <c r="EV25" s="9"/>
      <c r="EW25" s="9"/>
      <c r="EX25" s="104"/>
      <c r="EY25" s="9"/>
      <c r="EZ25" s="9"/>
      <c r="FA25" s="402">
        <v>1</v>
      </c>
      <c r="FB25" s="375">
        <f>IF(ISBLANK(EY25),0,_xll.FlexuralStiffness(EY25="Fixed",$L$12,EX25*10^4,EZ25)/10^6)*FA25</f>
        <v>0</v>
      </c>
      <c r="FC25" s="9"/>
      <c r="FD25" s="9"/>
      <c r="FE25" s="104"/>
      <c r="FF25" s="9"/>
      <c r="FG25" s="9"/>
      <c r="FH25" s="402">
        <v>1</v>
      </c>
      <c r="FI25" s="375">
        <f>IF(ISBLANK(FF25),0,_xll.FlexuralStiffness(FF25="Fixed",$L$12,FE25*10^4,FG25)/10^6)*FH25</f>
        <v>0</v>
      </c>
      <c r="FJ25" s="382" t="str">
        <f t="shared" si="15"/>
        <v>∞</v>
      </c>
      <c r="FK25" s="366" t="str">
        <f t="shared" si="16"/>
        <v>∞</v>
      </c>
      <c r="FL25" s="366" t="str">
        <f t="shared" si="25"/>
        <v>∞</v>
      </c>
      <c r="FM25" s="14">
        <f t="shared" si="17"/>
        <v>38.21</v>
      </c>
      <c r="FN25" s="380" t="str">
        <f t="shared" si="26"/>
        <v>∞</v>
      </c>
      <c r="FO25" s="368"/>
      <c r="FP25" s="1"/>
      <c r="FQ25" s="1"/>
      <c r="FR25" s="367"/>
      <c r="FS25" s="1"/>
      <c r="FT25" s="1"/>
      <c r="FU25" s="368"/>
      <c r="FV25" s="368"/>
      <c r="FW25" s="368"/>
      <c r="FX25" s="368"/>
      <c r="FY25" s="173"/>
    </row>
    <row r="26" spans="1:182" x14ac:dyDescent="0.25">
      <c r="A26" s="326"/>
      <c r="B26" s="430">
        <v>20</v>
      </c>
      <c r="C26" s="58" t="e">
        <f t="shared" ca="1" si="18"/>
        <v>#NAME?</v>
      </c>
      <c r="D26" s="203" t="str">
        <f t="shared" si="9"/>
        <v>∞</v>
      </c>
      <c r="E26" s="326"/>
      <c r="F26" s="636" t="s">
        <v>256</v>
      </c>
      <c r="G26" s="285" t="s">
        <v>78</v>
      </c>
      <c r="H26" s="84" t="s">
        <v>85</v>
      </c>
      <c r="I26" s="108">
        <v>55.42</v>
      </c>
      <c r="J26" s="391" t="s">
        <v>169</v>
      </c>
      <c r="K26" s="84"/>
      <c r="L26" s="84"/>
      <c r="M26" s="87"/>
      <c r="N26" s="84"/>
      <c r="O26" s="84"/>
      <c r="P26" s="401">
        <v>1</v>
      </c>
      <c r="Q26" s="374">
        <f>IF(ISBLANK(N26),0,_xll.FlexuralStiffness(N26="Fixed",$L$12,M26*10^4,O26)/10^6)*P26</f>
        <v>0</v>
      </c>
      <c r="R26" s="84"/>
      <c r="S26" s="84"/>
      <c r="T26" s="87"/>
      <c r="U26" s="84"/>
      <c r="V26" s="84"/>
      <c r="W26" s="401">
        <v>1</v>
      </c>
      <c r="X26" s="374">
        <f>IF(ISBLANK(U26),0,_xll.FlexuralStiffness(U26="Fixed",$L$12,T26*10^4,V26)/10^6)*W26</f>
        <v>0</v>
      </c>
      <c r="Y26" s="84" t="s">
        <v>554</v>
      </c>
      <c r="Z26" s="84" t="s">
        <v>242</v>
      </c>
      <c r="AA26" s="87">
        <v>3587.8625999999999</v>
      </c>
      <c r="AB26" s="84" t="s">
        <v>196</v>
      </c>
      <c r="AC26" s="84">
        <f>740-100-200/2+200/2</f>
        <v>640</v>
      </c>
      <c r="AD26" s="401">
        <f>0.036/0.1</f>
        <v>0.35999999999999993</v>
      </c>
      <c r="AE26" s="374">
        <f>IF(ISBLANK(AB26),0,_xll.FlexuralStiffness(AB26="Fixed",$L$12,AA26*10^4,AC26)/10^6)*AD26</f>
        <v>16549.016242499998</v>
      </c>
      <c r="AF26" s="84" t="s">
        <v>554</v>
      </c>
      <c r="AG26" s="84" t="s">
        <v>242</v>
      </c>
      <c r="AH26" s="87">
        <v>3587.8625999999999</v>
      </c>
      <c r="AI26" s="84" t="s">
        <v>196</v>
      </c>
      <c r="AJ26" s="84">
        <f>740-100-200/2+200/2</f>
        <v>640</v>
      </c>
      <c r="AK26" s="401">
        <f>0.036/0.1</f>
        <v>0.35999999999999993</v>
      </c>
      <c r="AL26" s="374">
        <f>IF(ISBLANK(AI26),0,_xll.FlexuralStiffness(AI26="Fixed",$L$12,AH26*10^4,AJ26)/10^6)*AK26</f>
        <v>16549.016242499998</v>
      </c>
      <c r="AM26" s="84"/>
      <c r="AN26" s="84"/>
      <c r="AO26" s="87"/>
      <c r="AP26" s="84"/>
      <c r="AQ26" s="84"/>
      <c r="AR26" s="401">
        <v>1</v>
      </c>
      <c r="AS26" s="87" t="str">
        <f>IF(ISBLANK(AO26),"∞",_xll.FlexuralStiffness(AP26="Fixed",$L$12,AO26*10^4,AQ26)/10^6)</f>
        <v>∞</v>
      </c>
      <c r="AT26" s="84" t="s">
        <v>234</v>
      </c>
      <c r="AU26" s="87">
        <v>61.903333333333336</v>
      </c>
      <c r="AV26" s="87">
        <v>430165.33333333331</v>
      </c>
      <c r="AW26" s="401">
        <f t="shared" ref="AW26:AW31" si="27">805/AX26</f>
        <v>0.16180904522613065</v>
      </c>
      <c r="AX26" s="146">
        <f>4170+805</f>
        <v>4975</v>
      </c>
      <c r="AY26" s="401" t="b">
        <v>1</v>
      </c>
      <c r="AZ26" s="401">
        <f>16.7/22.29</f>
        <v>0.74921489457155677</v>
      </c>
      <c r="BA26" s="87">
        <f t="shared" si="19"/>
        <v>756.79438187191192</v>
      </c>
      <c r="BB26" s="436">
        <f t="shared" si="20"/>
        <v>756.79438187191192</v>
      </c>
      <c r="BC26" s="381">
        <f t="shared" si="10"/>
        <v>33854.82686687191</v>
      </c>
      <c r="BD26" s="394" t="s">
        <v>169</v>
      </c>
      <c r="BE26" s="84" t="s">
        <v>234</v>
      </c>
      <c r="BF26" s="84" t="s">
        <v>241</v>
      </c>
      <c r="BG26" s="87">
        <v>2134.9614333333334</v>
      </c>
      <c r="BH26" s="84" t="s">
        <v>196</v>
      </c>
      <c r="BI26" s="84">
        <v>4170</v>
      </c>
      <c r="BJ26" s="401">
        <f>0.05282/0.0575</f>
        <v>0.91860869565217385</v>
      </c>
      <c r="BK26" s="374">
        <f>IF(ISBLANK(BH26),0,_xll.FlexuralStiffness(BH26="Fixed",$L$12,BG26*10^4,BI26)/10^6)*BJ26</f>
        <v>3856.5448268212558</v>
      </c>
      <c r="BL26" s="84" t="s">
        <v>234</v>
      </c>
      <c r="BM26" s="84" t="s">
        <v>241</v>
      </c>
      <c r="BN26" s="87">
        <v>2134.9614333333334</v>
      </c>
      <c r="BO26" s="84" t="s">
        <v>196</v>
      </c>
      <c r="BP26" s="84">
        <v>805</v>
      </c>
      <c r="BQ26" s="401">
        <f>0.05282/0.0575</f>
        <v>0.91860869565217385</v>
      </c>
      <c r="BR26" s="374">
        <f>IF(ISBLANK(BO26),0,_xll.FlexuralStiffness(BO26="Fixed",$L$12,BN26*10^4,BP26)/10^6)*BQ26</f>
        <v>19977.381276825632</v>
      </c>
      <c r="BS26" s="84"/>
      <c r="BT26" s="84"/>
      <c r="BU26" s="87"/>
      <c r="BV26" s="84"/>
      <c r="BW26" s="84"/>
      <c r="BX26" s="401">
        <v>1</v>
      </c>
      <c r="BY26" s="374">
        <f>IF(ISBLANK(BV26),0,_xll.FlexuralStiffness(BV26="Fixed",$L$12,BU26*10^4,BW26)/10^6)*BX26</f>
        <v>0</v>
      </c>
      <c r="BZ26" s="84"/>
      <c r="CA26" s="84"/>
      <c r="CB26" s="87"/>
      <c r="CC26" s="84"/>
      <c r="CD26" s="84"/>
      <c r="CE26" s="401">
        <v>1</v>
      </c>
      <c r="CF26" s="374">
        <f>IF(ISBLANK(CC26),0,_xll.FlexuralStiffness(CC26="Fixed",$L$12,CB26*10^4,CD26)/10^6)*CE26</f>
        <v>0</v>
      </c>
      <c r="CG26" s="381">
        <f t="shared" si="11"/>
        <v>23833.926103646889</v>
      </c>
      <c r="CH26" s="365">
        <f t="shared" si="12"/>
        <v>33854.82686687191</v>
      </c>
      <c r="CI26" s="365">
        <f t="shared" si="21"/>
        <v>23833.926103646889</v>
      </c>
      <c r="CJ26" s="89">
        <f t="shared" si="13"/>
        <v>55.42</v>
      </c>
      <c r="CK26" s="379" t="e">
        <f ca="1">EffectiveStiffness(CH26,CI26,RADIANS(CJ26))</f>
        <v>#NAME?</v>
      </c>
      <c r="CM26" s="391" t="s">
        <v>199</v>
      </c>
      <c r="CN26" s="84"/>
      <c r="CO26" s="84"/>
      <c r="CP26" s="87"/>
      <c r="CQ26" s="84"/>
      <c r="CR26" s="84"/>
      <c r="CS26" s="401">
        <v>1</v>
      </c>
      <c r="CT26" s="374">
        <f>IF(ISBLANK(CQ26),0,_xll.FlexuralStiffness(CQ26="Fixed",$L$12,CP26*10^4,CR26)/10^6)*CS26</f>
        <v>0</v>
      </c>
      <c r="CU26" s="84"/>
      <c r="CV26" s="84"/>
      <c r="CW26" s="87"/>
      <c r="CX26" s="84"/>
      <c r="CY26" s="84"/>
      <c r="CZ26" s="401">
        <v>1</v>
      </c>
      <c r="DA26" s="374">
        <f>IF(ISBLANK(CX26),0,_xll.FlexuralStiffness(CX26="Fixed",$L$12,CW26*10^4,CY26)/10^6)*CZ26</f>
        <v>0</v>
      </c>
      <c r="DB26" s="84"/>
      <c r="DC26" s="84"/>
      <c r="DD26" s="87"/>
      <c r="DE26" s="84"/>
      <c r="DF26" s="84"/>
      <c r="DG26" s="401">
        <v>1</v>
      </c>
      <c r="DH26" s="374">
        <f>IF(ISBLANK(DE26),0,_xll.FlexuralStiffness(DE26="Fixed",$L$12,DD26*10^4,DF26)/10^6)*DG26</f>
        <v>0</v>
      </c>
      <c r="DI26" s="84"/>
      <c r="DJ26" s="84"/>
      <c r="DK26" s="87"/>
      <c r="DL26" s="84"/>
      <c r="DM26" s="84"/>
      <c r="DN26" s="401">
        <v>1</v>
      </c>
      <c r="DO26" s="374">
        <f>IF(ISBLANK(DL26),0,_xll.FlexuralStiffness(DL26="Fixed",$L$12,DK26*10^4,DM26)/10^6)*DN26</f>
        <v>0</v>
      </c>
      <c r="DP26" s="84"/>
      <c r="DQ26" s="84"/>
      <c r="DR26" s="87"/>
      <c r="DS26" s="84"/>
      <c r="DT26" s="84"/>
      <c r="DU26" s="401">
        <v>1</v>
      </c>
      <c r="DV26" s="87" t="str">
        <f>IF(ISBLANK(DR26),"∞",_xll.FlexuralStiffness(DS26="Fixed",$L$12,DR26*10^4,DT26)/10^6)</f>
        <v>∞</v>
      </c>
      <c r="DW26" s="84"/>
      <c r="DX26" s="87"/>
      <c r="DY26" s="87"/>
      <c r="DZ26" s="401"/>
      <c r="EA26" s="146"/>
      <c r="EB26" s="401" t="b">
        <v>0</v>
      </c>
      <c r="EC26" s="401">
        <v>1</v>
      </c>
      <c r="ED26" s="87">
        <f t="shared" si="23"/>
        <v>0</v>
      </c>
      <c r="EE26" s="436">
        <f t="shared" si="24"/>
        <v>0</v>
      </c>
      <c r="EF26" s="381" t="str">
        <f t="shared" si="14"/>
        <v>∞</v>
      </c>
      <c r="EG26" s="394" t="s">
        <v>199</v>
      </c>
      <c r="EH26" s="84"/>
      <c r="EI26" s="84"/>
      <c r="EJ26" s="87"/>
      <c r="EK26" s="84"/>
      <c r="EL26" s="84"/>
      <c r="EM26" s="401">
        <v>1</v>
      </c>
      <c r="EN26" s="374">
        <f>IF(ISBLANK(EK26),0,_xll.FlexuralStiffness(EK26="Fixed",$L$12,EJ26*10^4,EL26)/10^6)*EM26</f>
        <v>0</v>
      </c>
      <c r="EO26" s="84"/>
      <c r="EP26" s="84"/>
      <c r="EQ26" s="87"/>
      <c r="ER26" s="84"/>
      <c r="ES26" s="84"/>
      <c r="ET26" s="401">
        <v>1</v>
      </c>
      <c r="EU26" s="374">
        <f>IF(ISBLANK(ER26),0,_xll.FlexuralStiffness(ER26="Fixed",$L$12,EQ26*10^4,ES26)/10^6)*ET26</f>
        <v>0</v>
      </c>
      <c r="EV26" s="84"/>
      <c r="EW26" s="84"/>
      <c r="EX26" s="87"/>
      <c r="EY26" s="84"/>
      <c r="EZ26" s="84"/>
      <c r="FA26" s="401">
        <v>1</v>
      </c>
      <c r="FB26" s="374">
        <f>IF(ISBLANK(EY26),0,_xll.FlexuralStiffness(EY26="Fixed",$L$12,EX26*10^4,EZ26)/10^6)*FA26</f>
        <v>0</v>
      </c>
      <c r="FC26" s="84"/>
      <c r="FD26" s="84"/>
      <c r="FE26" s="87"/>
      <c r="FF26" s="84"/>
      <c r="FG26" s="84"/>
      <c r="FH26" s="401">
        <v>1</v>
      </c>
      <c r="FI26" s="374">
        <f>IF(ISBLANK(FF26),0,_xll.FlexuralStiffness(FF26="Fixed",$L$12,FE26*10^4,FG26)/10^6)*FH26</f>
        <v>0</v>
      </c>
      <c r="FJ26" s="381" t="str">
        <f t="shared" si="15"/>
        <v>∞</v>
      </c>
      <c r="FK26" s="365" t="str">
        <f t="shared" si="16"/>
        <v>∞</v>
      </c>
      <c r="FL26" s="365" t="str">
        <f t="shared" si="25"/>
        <v>∞</v>
      </c>
      <c r="FM26" s="89">
        <f t="shared" si="17"/>
        <v>55.42</v>
      </c>
      <c r="FN26" s="379" t="str">
        <f t="shared" ref="FN26:FN34" si="28">IF(FK26="∞",IF(FL26="∞","∞",FK26/SIN(RADIANS(FM26))^2),IF(FK26="∞",FL26/SIN(RADIANS(FM26))^2,1/(SIN(RADIANS(FM26))^2/FL26+SIN(RADIANS(FM26))^2/FK26)))</f>
        <v>∞</v>
      </c>
      <c r="FO26" s="368"/>
      <c r="FP26" s="1"/>
      <c r="FQ26" s="1"/>
      <c r="FR26" s="367"/>
      <c r="FS26" s="1"/>
      <c r="FT26" s="1"/>
      <c r="FU26" s="368"/>
      <c r="FV26" s="368"/>
      <c r="FW26" s="368"/>
      <c r="FX26" s="368"/>
      <c r="FY26" s="173"/>
    </row>
    <row r="27" spans="1:182" x14ac:dyDescent="0.25">
      <c r="A27" s="326"/>
      <c r="B27" s="430">
        <v>21</v>
      </c>
      <c r="C27" s="58" t="e">
        <f t="shared" ca="1" si="18"/>
        <v>#NAME?</v>
      </c>
      <c r="D27" s="203" t="str">
        <f t="shared" si="9"/>
        <v>∞</v>
      </c>
      <c r="E27" s="326"/>
      <c r="F27" s="637"/>
      <c r="G27" s="21" t="s">
        <v>79</v>
      </c>
      <c r="H27" s="84" t="s">
        <v>85</v>
      </c>
      <c r="I27" s="108">
        <v>55.42</v>
      </c>
      <c r="J27" s="391" t="s">
        <v>169</v>
      </c>
      <c r="K27" s="84"/>
      <c r="L27" s="84"/>
      <c r="M27" s="87"/>
      <c r="N27" s="84"/>
      <c r="O27" s="84"/>
      <c r="P27" s="401">
        <v>1</v>
      </c>
      <c r="Q27" s="374">
        <f>IF(ISBLANK(N27),0,_xll.FlexuralStiffness(N27="Fixed",$L$12,M27*10^4,O27)/10^6)*P27</f>
        <v>0</v>
      </c>
      <c r="R27" s="84"/>
      <c r="S27" s="84"/>
      <c r="T27" s="87"/>
      <c r="U27" s="84"/>
      <c r="V27" s="84"/>
      <c r="W27" s="401">
        <v>1</v>
      </c>
      <c r="X27" s="374">
        <f>IF(ISBLANK(U27),0,_xll.FlexuralStiffness(U27="Fixed",$L$12,T27*10^4,V27)/10^6)*W27</f>
        <v>0</v>
      </c>
      <c r="Y27" s="84" t="s">
        <v>555</v>
      </c>
      <c r="Z27" s="84" t="s">
        <v>242</v>
      </c>
      <c r="AA27" s="87">
        <v>620.42759999999998</v>
      </c>
      <c r="AB27" s="84" t="s">
        <v>197</v>
      </c>
      <c r="AC27" s="84">
        <f>540-100+200/2</f>
        <v>540</v>
      </c>
      <c r="AD27" s="401">
        <f>0.16/0.74</f>
        <v>0.21621621621621623</v>
      </c>
      <c r="AE27" s="374">
        <f>IF(ISBLANK(AB27),0,_xll.FlexuralStiffness(AB27="Fixed",$L$12,AA27*10^4,AC27)/10^6)*AD27</f>
        <v>1527.7796756756757</v>
      </c>
      <c r="AF27" s="84" t="s">
        <v>555</v>
      </c>
      <c r="AG27" s="84" t="s">
        <v>242</v>
      </c>
      <c r="AH27" s="87">
        <v>620.42759999999998</v>
      </c>
      <c r="AI27" s="84" t="s">
        <v>197</v>
      </c>
      <c r="AJ27" s="84">
        <f>540-100+200/2</f>
        <v>540</v>
      </c>
      <c r="AK27" s="401">
        <f>0.16/0.74</f>
        <v>0.21621621621621623</v>
      </c>
      <c r="AL27" s="374">
        <f>IF(ISBLANK(AI27),0,_xll.FlexuralStiffness(AI27="Fixed",$L$12,AH27*10^4,AJ27)/10^6)*AK27</f>
        <v>1527.7796756756757</v>
      </c>
      <c r="AM27" s="84"/>
      <c r="AN27" s="84"/>
      <c r="AO27" s="87"/>
      <c r="AP27" s="84"/>
      <c r="AQ27" s="84"/>
      <c r="AR27" s="401">
        <v>1</v>
      </c>
      <c r="AS27" s="87" t="str">
        <f>IF(ISBLANK(AO27),"∞",_xll.FlexuralStiffness(AP27="Fixed",$L$12,AO27*10^4,AQ27)/10^6)</f>
        <v>∞</v>
      </c>
      <c r="AT27" s="84" t="s">
        <v>234</v>
      </c>
      <c r="AU27" s="87">
        <v>61.903333333333336</v>
      </c>
      <c r="AV27" s="87">
        <v>430165.33333333331</v>
      </c>
      <c r="AW27" s="401">
        <f t="shared" si="27"/>
        <v>0.16180904522613065</v>
      </c>
      <c r="AX27" s="146">
        <f t="shared" ref="AX27:AX31" si="29">4170+805</f>
        <v>4975</v>
      </c>
      <c r="AY27" s="401" t="b">
        <v>1</v>
      </c>
      <c r="AZ27" s="401">
        <f t="shared" ref="AZ27:AZ31" si="30">16.7/22.29</f>
        <v>0.74921489457155677</v>
      </c>
      <c r="BA27" s="87">
        <f t="shared" si="19"/>
        <v>756.79438187191192</v>
      </c>
      <c r="BB27" s="381">
        <f t="shared" si="20"/>
        <v>756.79438187191192</v>
      </c>
      <c r="BC27" s="381">
        <f t="shared" si="10"/>
        <v>3812.3537332232631</v>
      </c>
      <c r="BD27" s="394" t="s">
        <v>169</v>
      </c>
      <c r="BE27" s="84" t="s">
        <v>234</v>
      </c>
      <c r="BF27" s="84" t="s">
        <v>241</v>
      </c>
      <c r="BG27" s="87">
        <v>2134.9614333333334</v>
      </c>
      <c r="BH27" s="84" t="s">
        <v>196</v>
      </c>
      <c r="BI27" s="84">
        <v>4170</v>
      </c>
      <c r="BJ27" s="401">
        <f t="shared" ref="BJ27:BJ31" si="31">0.05282/0.0575</f>
        <v>0.91860869565217385</v>
      </c>
      <c r="BK27" s="374">
        <f>IF(ISBLANK(BH27),0,_xll.FlexuralStiffness(BH27="Fixed",$L$12,BG27*10^4,BI27)/10^6)*BJ27</f>
        <v>3856.5448268212558</v>
      </c>
      <c r="BL27" s="84" t="s">
        <v>234</v>
      </c>
      <c r="BM27" s="84" t="s">
        <v>241</v>
      </c>
      <c r="BN27" s="87">
        <v>2134.9614333333334</v>
      </c>
      <c r="BO27" s="84" t="s">
        <v>196</v>
      </c>
      <c r="BP27" s="84">
        <v>805</v>
      </c>
      <c r="BQ27" s="401">
        <f t="shared" ref="BQ27:BQ31" si="32">0.05282/0.0575</f>
        <v>0.91860869565217385</v>
      </c>
      <c r="BR27" s="374">
        <f>IF(ISBLANK(BO27),0,_xll.FlexuralStiffness(BO27="Fixed",$L$12,BN27*10^4,BP27)/10^6)*BQ27</f>
        <v>19977.381276825632</v>
      </c>
      <c r="BS27" s="84"/>
      <c r="BT27" s="84"/>
      <c r="BU27" s="87"/>
      <c r="BV27" s="84"/>
      <c r="BW27" s="84"/>
      <c r="BX27" s="401">
        <v>1</v>
      </c>
      <c r="BY27" s="374">
        <f>IF(ISBLANK(BV27),0,_xll.FlexuralStiffness(BV27="Fixed",$L$12,BU27*10^4,BW27)/10^6)*BX27</f>
        <v>0</v>
      </c>
      <c r="BZ27" s="84"/>
      <c r="CA27" s="84"/>
      <c r="CB27" s="87"/>
      <c r="CC27" s="84"/>
      <c r="CD27" s="84"/>
      <c r="CE27" s="401">
        <v>1</v>
      </c>
      <c r="CF27" s="374">
        <f>IF(ISBLANK(CC27),0,_xll.FlexuralStiffness(CC27="Fixed",$L$12,CB27*10^4,CD27)/10^6)*CE27</f>
        <v>0</v>
      </c>
      <c r="CG27" s="381">
        <f t="shared" si="11"/>
        <v>23833.926103646889</v>
      </c>
      <c r="CH27" s="365">
        <f t="shared" si="12"/>
        <v>3812.3537332232631</v>
      </c>
      <c r="CI27" s="365">
        <f t="shared" si="21"/>
        <v>23833.926103646889</v>
      </c>
      <c r="CJ27" s="89">
        <f t="shared" si="13"/>
        <v>55.42</v>
      </c>
      <c r="CK27" s="379" t="e">
        <f t="shared" ca="1" si="22"/>
        <v>#NAME?</v>
      </c>
      <c r="CM27" s="391" t="s">
        <v>199</v>
      </c>
      <c r="CN27" s="84"/>
      <c r="CO27" s="84"/>
      <c r="CP27" s="87"/>
      <c r="CQ27" s="84"/>
      <c r="CR27" s="84"/>
      <c r="CS27" s="401">
        <v>1</v>
      </c>
      <c r="CT27" s="374">
        <f>IF(ISBLANK(CQ27),0,_xll.FlexuralStiffness(CQ27="Fixed",$L$12,CP27*10^4,CR27)/10^6)*CS27</f>
        <v>0</v>
      </c>
      <c r="CU27" s="84"/>
      <c r="CV27" s="84"/>
      <c r="CW27" s="87"/>
      <c r="CX27" s="84"/>
      <c r="CY27" s="84"/>
      <c r="CZ27" s="401">
        <v>1</v>
      </c>
      <c r="DA27" s="374">
        <f>IF(ISBLANK(CX27),0,_xll.FlexuralStiffness(CX27="Fixed",$L$12,CW27*10^4,CY27)/10^6)*CZ27</f>
        <v>0</v>
      </c>
      <c r="DB27" s="84"/>
      <c r="DC27" s="84"/>
      <c r="DD27" s="87"/>
      <c r="DE27" s="84"/>
      <c r="DF27" s="84"/>
      <c r="DG27" s="401">
        <v>1</v>
      </c>
      <c r="DH27" s="374">
        <f>IF(ISBLANK(DE27),0,_xll.FlexuralStiffness(DE27="Fixed",$L$12,DD27*10^4,DF27)/10^6)*DG27</f>
        <v>0</v>
      </c>
      <c r="DI27" s="84"/>
      <c r="DJ27" s="84"/>
      <c r="DK27" s="87"/>
      <c r="DL27" s="84"/>
      <c r="DM27" s="84"/>
      <c r="DN27" s="401">
        <v>1</v>
      </c>
      <c r="DO27" s="374">
        <f>IF(ISBLANK(DL27),0,_xll.FlexuralStiffness(DL27="Fixed",$L$12,DK27*10^4,DM27)/10^6)*DN27</f>
        <v>0</v>
      </c>
      <c r="DP27" s="84"/>
      <c r="DQ27" s="84"/>
      <c r="DR27" s="87"/>
      <c r="DS27" s="84"/>
      <c r="DT27" s="84"/>
      <c r="DU27" s="401">
        <v>1</v>
      </c>
      <c r="DV27" s="87" t="str">
        <f>IF(ISBLANK(DR27),"∞",_xll.FlexuralStiffness(DS27="Fixed",$L$12,DR27*10^4,DT27)/10^6)</f>
        <v>∞</v>
      </c>
      <c r="DW27" s="84"/>
      <c r="DX27" s="87"/>
      <c r="DY27" s="87"/>
      <c r="DZ27" s="401"/>
      <c r="EA27" s="146"/>
      <c r="EB27" s="401" t="b">
        <v>0</v>
      </c>
      <c r="EC27" s="401">
        <v>1</v>
      </c>
      <c r="ED27" s="87">
        <f t="shared" si="23"/>
        <v>0</v>
      </c>
      <c r="EE27" s="381">
        <f t="shared" si="24"/>
        <v>0</v>
      </c>
      <c r="EF27" s="381" t="str">
        <f t="shared" si="14"/>
        <v>∞</v>
      </c>
      <c r="EG27" s="394" t="s">
        <v>199</v>
      </c>
      <c r="EH27" s="84"/>
      <c r="EI27" s="84"/>
      <c r="EJ27" s="87"/>
      <c r="EK27" s="84"/>
      <c r="EL27" s="84"/>
      <c r="EM27" s="401">
        <v>1</v>
      </c>
      <c r="EN27" s="374">
        <f>IF(ISBLANK(EK27),0,_xll.FlexuralStiffness(EK27="Fixed",$L$12,EJ27*10^4,EL27)/10^6)*EM27</f>
        <v>0</v>
      </c>
      <c r="EO27" s="84"/>
      <c r="EP27" s="84"/>
      <c r="EQ27" s="87"/>
      <c r="ER27" s="84"/>
      <c r="ES27" s="84"/>
      <c r="ET27" s="401">
        <v>1</v>
      </c>
      <c r="EU27" s="374">
        <f>IF(ISBLANK(ER27),0,_xll.FlexuralStiffness(ER27="Fixed",$L$12,EQ27*10^4,ES27)/10^6)*ET27</f>
        <v>0</v>
      </c>
      <c r="EV27" s="84"/>
      <c r="EW27" s="84"/>
      <c r="EX27" s="87"/>
      <c r="EY27" s="84"/>
      <c r="EZ27" s="84"/>
      <c r="FA27" s="401">
        <v>1</v>
      </c>
      <c r="FB27" s="374">
        <f>IF(ISBLANK(EY27),0,_xll.FlexuralStiffness(EY27="Fixed",$L$12,EX27*10^4,EZ27)/10^6)*FA27</f>
        <v>0</v>
      </c>
      <c r="FC27" s="84"/>
      <c r="FD27" s="84"/>
      <c r="FE27" s="87"/>
      <c r="FF27" s="84"/>
      <c r="FG27" s="84"/>
      <c r="FH27" s="401">
        <v>1</v>
      </c>
      <c r="FI27" s="374">
        <f>IF(ISBLANK(FF27),0,_xll.FlexuralStiffness(FF27="Fixed",$L$12,FE27*10^4,FG27)/10^6)*FH27</f>
        <v>0</v>
      </c>
      <c r="FJ27" s="381" t="str">
        <f t="shared" si="15"/>
        <v>∞</v>
      </c>
      <c r="FK27" s="365" t="str">
        <f t="shared" si="16"/>
        <v>∞</v>
      </c>
      <c r="FL27" s="365" t="str">
        <f t="shared" si="25"/>
        <v>∞</v>
      </c>
      <c r="FM27" s="89">
        <f t="shared" si="17"/>
        <v>55.42</v>
      </c>
      <c r="FN27" s="379" t="str">
        <f t="shared" si="28"/>
        <v>∞</v>
      </c>
      <c r="FO27" s="368"/>
      <c r="FP27" s="1"/>
      <c r="FQ27" s="1"/>
      <c r="FR27" s="367"/>
      <c r="FS27" s="1"/>
      <c r="FT27" s="1"/>
      <c r="FU27" s="368"/>
      <c r="FV27" s="368"/>
      <c r="FW27" s="368"/>
      <c r="FX27" s="368"/>
      <c r="FY27" s="173"/>
    </row>
    <row r="28" spans="1:182" x14ac:dyDescent="0.25">
      <c r="A28" s="326"/>
      <c r="B28" s="430">
        <v>22</v>
      </c>
      <c r="C28" s="58" t="e">
        <f t="shared" ca="1" si="18"/>
        <v>#NAME?</v>
      </c>
      <c r="D28" s="203" t="str">
        <f t="shared" si="9"/>
        <v>∞</v>
      </c>
      <c r="E28" s="326"/>
      <c r="F28" s="637"/>
      <c r="G28" s="21" t="s">
        <v>76</v>
      </c>
      <c r="H28" s="84" t="s">
        <v>85</v>
      </c>
      <c r="I28" s="108">
        <v>55.42</v>
      </c>
      <c r="J28" s="391" t="s">
        <v>169</v>
      </c>
      <c r="K28" s="84"/>
      <c r="L28" s="84"/>
      <c r="M28" s="87"/>
      <c r="N28" s="84"/>
      <c r="O28" s="84"/>
      <c r="P28" s="401">
        <v>1</v>
      </c>
      <c r="Q28" s="374">
        <f>IF(ISBLANK(N28),0,_xll.FlexuralStiffness(N28="Fixed",$L$12,M28*10^4,O28)/10^6)*P28</f>
        <v>0</v>
      </c>
      <c r="R28" s="84"/>
      <c r="S28" s="84"/>
      <c r="T28" s="87"/>
      <c r="U28" s="84"/>
      <c r="V28" s="84"/>
      <c r="W28" s="401">
        <v>1</v>
      </c>
      <c r="X28" s="374">
        <f>IF(ISBLANK(U28),0,_xll.FlexuralStiffness(U28="Fixed",$L$12,T28*10^4,V28)/10^6)*W28</f>
        <v>0</v>
      </c>
      <c r="Y28" s="84"/>
      <c r="Z28" s="84"/>
      <c r="AA28" s="87"/>
      <c r="AB28" s="84"/>
      <c r="AC28" s="84"/>
      <c r="AD28" s="401">
        <v>1</v>
      </c>
      <c r="AE28" s="374">
        <f>IF(ISBLANK(AB28),0,_xll.FlexuralStiffness(AB28="Fixed",$L$12,AA28*10^4,AC28)/10^6)*AD28</f>
        <v>0</v>
      </c>
      <c r="AF28" s="84"/>
      <c r="AG28" s="84"/>
      <c r="AH28" s="87"/>
      <c r="AI28" s="84"/>
      <c r="AJ28" s="84"/>
      <c r="AK28" s="401">
        <v>1</v>
      </c>
      <c r="AL28" s="374">
        <f>IF(ISBLANK(AI28),0,_xll.FlexuralStiffness(AI28="Fixed",$L$12,AH28*10^4,AJ28)/10^6)*AK28</f>
        <v>0</v>
      </c>
      <c r="AM28" s="84"/>
      <c r="AN28" s="84"/>
      <c r="AO28" s="87"/>
      <c r="AP28" s="84"/>
      <c r="AQ28" s="84"/>
      <c r="AR28" s="401">
        <v>1</v>
      </c>
      <c r="AS28" s="87" t="str">
        <f>IF(ISBLANK(AO28),"∞",_xll.FlexuralStiffness(AP28="Fixed",$L$12,AO28*10^4,AQ28)/10^6)</f>
        <v>∞</v>
      </c>
      <c r="AT28" s="84" t="s">
        <v>234</v>
      </c>
      <c r="AU28" s="87">
        <v>61.903333333333336</v>
      </c>
      <c r="AV28" s="87">
        <v>430165.33333333331</v>
      </c>
      <c r="AW28" s="401">
        <f t="shared" si="27"/>
        <v>0.16180904522613065</v>
      </c>
      <c r="AX28" s="146">
        <f t="shared" si="29"/>
        <v>4975</v>
      </c>
      <c r="AY28" s="401" t="b">
        <v>1</v>
      </c>
      <c r="AZ28" s="401">
        <f>16.7/34.27</f>
        <v>0.48730668222935508</v>
      </c>
      <c r="BA28" s="87">
        <f t="shared" si="19"/>
        <v>492.23655593594737</v>
      </c>
      <c r="BB28" s="381">
        <f t="shared" si="20"/>
        <v>492.23655593594737</v>
      </c>
      <c r="BC28" s="381">
        <f t="shared" si="10"/>
        <v>492.23655593594737</v>
      </c>
      <c r="BD28" s="394" t="s">
        <v>169</v>
      </c>
      <c r="BE28" s="84" t="s">
        <v>234</v>
      </c>
      <c r="BF28" s="84" t="s">
        <v>241</v>
      </c>
      <c r="BG28" s="87">
        <v>2134.9614333333334</v>
      </c>
      <c r="BH28" s="84" t="s">
        <v>196</v>
      </c>
      <c r="BI28" s="84">
        <v>4170</v>
      </c>
      <c r="BJ28" s="401">
        <f>0.05282/0.3014</f>
        <v>0.1752488387524884</v>
      </c>
      <c r="BK28" s="374">
        <f>IF(ISBLANK(BH28),0,_xll.FlexuralStiffness(BH28="Fixed",$L$12,BG28*10^4,BI28)/10^6)*BJ28</f>
        <v>735.73764944333857</v>
      </c>
      <c r="BL28" s="84" t="s">
        <v>234</v>
      </c>
      <c r="BM28" s="84" t="s">
        <v>241</v>
      </c>
      <c r="BN28" s="87">
        <v>2134.9614333333334</v>
      </c>
      <c r="BO28" s="84" t="s">
        <v>196</v>
      </c>
      <c r="BP28" s="84">
        <v>805</v>
      </c>
      <c r="BQ28" s="401">
        <f>0.05282/0.3014</f>
        <v>0.1752488387524884</v>
      </c>
      <c r="BR28" s="374">
        <f>IF(ISBLANK(BO28),0,_xll.FlexuralStiffness(BO28="Fixed",$L$12,BN28*10^4,BP28)/10^6)*BQ28</f>
        <v>3811.2124200977905</v>
      </c>
      <c r="BS28" s="84"/>
      <c r="BT28" s="84"/>
      <c r="BU28" s="87"/>
      <c r="BV28" s="84"/>
      <c r="BW28" s="84"/>
      <c r="BX28" s="401">
        <v>1</v>
      </c>
      <c r="BY28" s="374">
        <f>IF(ISBLANK(BV28),0,_xll.FlexuralStiffness(BV28="Fixed",$L$12,BU28*10^4,BW28)/10^6)*BX28</f>
        <v>0</v>
      </c>
      <c r="BZ28" s="84"/>
      <c r="CA28" s="84"/>
      <c r="CB28" s="87"/>
      <c r="CC28" s="84"/>
      <c r="CD28" s="84"/>
      <c r="CE28" s="401">
        <v>1</v>
      </c>
      <c r="CF28" s="374">
        <f>IF(ISBLANK(CC28),0,_xll.FlexuralStiffness(CC28="Fixed",$L$12,CB28*10^4,CD28)/10^6)*CE28</f>
        <v>0</v>
      </c>
      <c r="CG28" s="381">
        <f t="shared" si="11"/>
        <v>4546.9500695411289</v>
      </c>
      <c r="CH28" s="365">
        <f t="shared" si="12"/>
        <v>492.23655593594737</v>
      </c>
      <c r="CI28" s="365">
        <f t="shared" si="21"/>
        <v>4546.9500695411289</v>
      </c>
      <c r="CJ28" s="89">
        <f t="shared" si="13"/>
        <v>55.42</v>
      </c>
      <c r="CK28" s="379" t="e">
        <f t="shared" ca="1" si="22"/>
        <v>#NAME?</v>
      </c>
      <c r="CM28" s="391" t="s">
        <v>199</v>
      </c>
      <c r="CN28" s="84"/>
      <c r="CO28" s="84"/>
      <c r="CP28" s="87"/>
      <c r="CQ28" s="84"/>
      <c r="CR28" s="84"/>
      <c r="CS28" s="401">
        <v>1</v>
      </c>
      <c r="CT28" s="374">
        <f>IF(ISBLANK(CQ28),0,_xll.FlexuralStiffness(CQ28="Fixed",$L$12,CP28*10^4,CR28)/10^6)*CS28</f>
        <v>0</v>
      </c>
      <c r="CU28" s="84"/>
      <c r="CV28" s="84"/>
      <c r="CW28" s="87"/>
      <c r="CX28" s="84"/>
      <c r="CY28" s="84"/>
      <c r="CZ28" s="401">
        <v>1</v>
      </c>
      <c r="DA28" s="374">
        <f>IF(ISBLANK(CX28),0,_xll.FlexuralStiffness(CX28="Fixed",$L$12,CW28*10^4,CY28)/10^6)*CZ28</f>
        <v>0</v>
      </c>
      <c r="DB28" s="84"/>
      <c r="DC28" s="84"/>
      <c r="DD28" s="87"/>
      <c r="DE28" s="84"/>
      <c r="DF28" s="84"/>
      <c r="DG28" s="401">
        <v>1</v>
      </c>
      <c r="DH28" s="374">
        <f>IF(ISBLANK(DE28),0,_xll.FlexuralStiffness(DE28="Fixed",$L$12,DD28*10^4,DF28)/10^6)*DG28</f>
        <v>0</v>
      </c>
      <c r="DI28" s="84"/>
      <c r="DJ28" s="84"/>
      <c r="DK28" s="87"/>
      <c r="DL28" s="84"/>
      <c r="DM28" s="84"/>
      <c r="DN28" s="401">
        <v>1</v>
      </c>
      <c r="DO28" s="374">
        <f>IF(ISBLANK(DL28),0,_xll.FlexuralStiffness(DL28="Fixed",$L$12,DK28*10^4,DM28)/10^6)*DN28</f>
        <v>0</v>
      </c>
      <c r="DP28" s="84"/>
      <c r="DQ28" s="84"/>
      <c r="DR28" s="87"/>
      <c r="DS28" s="84"/>
      <c r="DT28" s="84"/>
      <c r="DU28" s="401">
        <v>1</v>
      </c>
      <c r="DV28" s="87" t="str">
        <f>IF(ISBLANK(DR28),"∞",_xll.FlexuralStiffness(DS28="Fixed",$L$12,DR28*10^4,DT28)/10^6)</f>
        <v>∞</v>
      </c>
      <c r="DW28" s="84"/>
      <c r="DX28" s="87"/>
      <c r="DY28" s="87"/>
      <c r="DZ28" s="401"/>
      <c r="EA28" s="146"/>
      <c r="EB28" s="401" t="b">
        <v>0</v>
      </c>
      <c r="EC28" s="401">
        <v>1</v>
      </c>
      <c r="ED28" s="87">
        <f t="shared" si="23"/>
        <v>0</v>
      </c>
      <c r="EE28" s="381">
        <f t="shared" si="24"/>
        <v>0</v>
      </c>
      <c r="EF28" s="381" t="str">
        <f t="shared" si="14"/>
        <v>∞</v>
      </c>
      <c r="EG28" s="394" t="s">
        <v>199</v>
      </c>
      <c r="EH28" s="84"/>
      <c r="EI28" s="84"/>
      <c r="EJ28" s="87"/>
      <c r="EK28" s="84"/>
      <c r="EL28" s="84"/>
      <c r="EM28" s="401">
        <v>1</v>
      </c>
      <c r="EN28" s="374">
        <f>IF(ISBLANK(EK28),0,_xll.FlexuralStiffness(EK28="Fixed",$L$12,EJ28*10^4,EL28)/10^6)*EM28</f>
        <v>0</v>
      </c>
      <c r="EO28" s="84"/>
      <c r="EP28" s="84"/>
      <c r="EQ28" s="87"/>
      <c r="ER28" s="84"/>
      <c r="ES28" s="84"/>
      <c r="ET28" s="401">
        <v>1</v>
      </c>
      <c r="EU28" s="374">
        <f>IF(ISBLANK(ER28),0,_xll.FlexuralStiffness(ER28="Fixed",$L$12,EQ28*10^4,ES28)/10^6)*ET28</f>
        <v>0</v>
      </c>
      <c r="EV28" s="84"/>
      <c r="EW28" s="84"/>
      <c r="EX28" s="87"/>
      <c r="EY28" s="84"/>
      <c r="EZ28" s="84"/>
      <c r="FA28" s="401">
        <v>1</v>
      </c>
      <c r="FB28" s="374">
        <f>IF(ISBLANK(EY28),0,_xll.FlexuralStiffness(EY28="Fixed",$L$12,EX28*10^4,EZ28)/10^6)*FA28</f>
        <v>0</v>
      </c>
      <c r="FC28" s="84"/>
      <c r="FD28" s="84"/>
      <c r="FE28" s="87"/>
      <c r="FF28" s="84"/>
      <c r="FG28" s="84"/>
      <c r="FH28" s="401">
        <v>1</v>
      </c>
      <c r="FI28" s="374">
        <f>IF(ISBLANK(FF28),0,_xll.FlexuralStiffness(FF28="Fixed",$L$12,FE28*10^4,FG28)/10^6)*FH28</f>
        <v>0</v>
      </c>
      <c r="FJ28" s="381" t="str">
        <f t="shared" si="15"/>
        <v>∞</v>
      </c>
      <c r="FK28" s="365" t="str">
        <f t="shared" si="16"/>
        <v>∞</v>
      </c>
      <c r="FL28" s="365" t="str">
        <f t="shared" si="25"/>
        <v>∞</v>
      </c>
      <c r="FM28" s="89">
        <f t="shared" si="17"/>
        <v>55.42</v>
      </c>
      <c r="FN28" s="379" t="str">
        <f t="shared" si="28"/>
        <v>∞</v>
      </c>
      <c r="FO28" s="368"/>
      <c r="FP28" s="1"/>
      <c r="FQ28" s="1"/>
      <c r="FR28" s="367"/>
      <c r="FS28" s="1"/>
      <c r="FT28" s="1"/>
      <c r="FU28" s="368"/>
      <c r="FV28" s="368"/>
      <c r="FW28" s="368"/>
      <c r="FX28" s="368"/>
      <c r="FY28" s="173"/>
    </row>
    <row r="29" spans="1:182" x14ac:dyDescent="0.25">
      <c r="A29" s="326"/>
      <c r="B29" s="430">
        <v>23</v>
      </c>
      <c r="C29" s="58" t="e">
        <f t="shared" ca="1" si="18"/>
        <v>#NAME?</v>
      </c>
      <c r="D29" s="203" t="str">
        <f t="shared" si="9"/>
        <v>∞</v>
      </c>
      <c r="E29" s="326"/>
      <c r="F29" s="637"/>
      <c r="G29" s="21" t="s">
        <v>80</v>
      </c>
      <c r="H29" s="84" t="s">
        <v>85</v>
      </c>
      <c r="I29" s="108">
        <v>55.42</v>
      </c>
      <c r="J29" s="391" t="s">
        <v>169</v>
      </c>
      <c r="K29" s="84"/>
      <c r="L29" s="84"/>
      <c r="M29" s="87"/>
      <c r="N29" s="84"/>
      <c r="O29" s="84"/>
      <c r="P29" s="401">
        <v>1</v>
      </c>
      <c r="Q29" s="374">
        <f>IF(ISBLANK(N29),0,_xll.FlexuralStiffness(N29="Fixed",$L$12,M29*10^4,O29)/10^6)*P29</f>
        <v>0</v>
      </c>
      <c r="R29" s="84"/>
      <c r="S29" s="84"/>
      <c r="T29" s="87"/>
      <c r="U29" s="84"/>
      <c r="V29" s="84"/>
      <c r="W29" s="401">
        <v>1</v>
      </c>
      <c r="X29" s="374">
        <f>IF(ISBLANK(U29),0,_xll.FlexuralStiffness(U29="Fixed",$L$12,T29*10^4,V29)/10^6)*W29</f>
        <v>0</v>
      </c>
      <c r="Y29" s="84"/>
      <c r="Z29" s="84"/>
      <c r="AA29" s="87"/>
      <c r="AB29" s="84"/>
      <c r="AC29" s="84"/>
      <c r="AD29" s="401">
        <v>1</v>
      </c>
      <c r="AE29" s="374">
        <f>IF(ISBLANK(AB29),0,_xll.FlexuralStiffness(AB29="Fixed",$L$12,AA29*10^4,AC29)/10^6)*AD29</f>
        <v>0</v>
      </c>
      <c r="AF29" s="84"/>
      <c r="AG29" s="84"/>
      <c r="AH29" s="87"/>
      <c r="AI29" s="84"/>
      <c r="AJ29" s="84"/>
      <c r="AK29" s="401">
        <v>1</v>
      </c>
      <c r="AL29" s="374">
        <f>IF(ISBLANK(AI29),0,_xll.FlexuralStiffness(AI29="Fixed",$L$12,AH29*10^4,AJ29)/10^6)*AK29</f>
        <v>0</v>
      </c>
      <c r="AM29" s="84"/>
      <c r="AN29" s="84"/>
      <c r="AO29" s="87"/>
      <c r="AP29" s="84"/>
      <c r="AQ29" s="84"/>
      <c r="AR29" s="401">
        <v>1</v>
      </c>
      <c r="AS29" s="87" t="str">
        <f>IF(ISBLANK(AO29),"∞",_xll.FlexuralStiffness(AP29="Fixed",$L$12,AO29*10^4,AQ29)/10^6)</f>
        <v>∞</v>
      </c>
      <c r="AT29" s="84" t="s">
        <v>234</v>
      </c>
      <c r="AU29" s="87">
        <v>61.903333333333336</v>
      </c>
      <c r="AV29" s="87">
        <v>430165.33333333331</v>
      </c>
      <c r="AW29" s="401">
        <f t="shared" si="27"/>
        <v>0.16180904522613065</v>
      </c>
      <c r="AX29" s="146">
        <f t="shared" si="29"/>
        <v>4975</v>
      </c>
      <c r="AY29" s="401" t="b">
        <v>1</v>
      </c>
      <c r="AZ29" s="401">
        <f t="shared" si="30"/>
        <v>0.74921489457155677</v>
      </c>
      <c r="BA29" s="87">
        <f t="shared" si="19"/>
        <v>756.79438187191192</v>
      </c>
      <c r="BB29" s="381">
        <f t="shared" si="20"/>
        <v>756.79438187191192</v>
      </c>
      <c r="BC29" s="381">
        <f t="shared" si="10"/>
        <v>756.79438187191192</v>
      </c>
      <c r="BD29" s="394" t="s">
        <v>169</v>
      </c>
      <c r="BE29" s="84" t="s">
        <v>234</v>
      </c>
      <c r="BF29" s="84" t="s">
        <v>241</v>
      </c>
      <c r="BG29" s="87">
        <v>2134.9614333333334</v>
      </c>
      <c r="BH29" s="84" t="s">
        <v>196</v>
      </c>
      <c r="BI29" s="84">
        <v>4170</v>
      </c>
      <c r="BJ29" s="401">
        <f t="shared" si="31"/>
        <v>0.91860869565217385</v>
      </c>
      <c r="BK29" s="374">
        <f>IF(ISBLANK(BH29),0,_xll.FlexuralStiffness(BH29="Fixed",$L$12,BG29*10^4,BI29)/10^6)*BJ29</f>
        <v>3856.5448268212558</v>
      </c>
      <c r="BL29" s="84" t="s">
        <v>234</v>
      </c>
      <c r="BM29" s="84" t="s">
        <v>241</v>
      </c>
      <c r="BN29" s="87">
        <v>2134.9614333333334</v>
      </c>
      <c r="BO29" s="84" t="s">
        <v>196</v>
      </c>
      <c r="BP29" s="84">
        <v>805</v>
      </c>
      <c r="BQ29" s="401">
        <f t="shared" si="32"/>
        <v>0.91860869565217385</v>
      </c>
      <c r="BR29" s="374">
        <f>IF(ISBLANK(BO29),0,_xll.FlexuralStiffness(BO29="Fixed",$L$12,BN29*10^4,BP29)/10^6)*BQ29</f>
        <v>19977.381276825632</v>
      </c>
      <c r="BS29" s="84"/>
      <c r="BT29" s="84"/>
      <c r="BU29" s="87"/>
      <c r="BV29" s="84"/>
      <c r="BW29" s="84"/>
      <c r="BX29" s="401">
        <v>1</v>
      </c>
      <c r="BY29" s="374">
        <f>IF(ISBLANK(BV29),0,_xll.FlexuralStiffness(BV29="Fixed",$L$12,BU29*10^4,BW29)/10^6)*BX29</f>
        <v>0</v>
      </c>
      <c r="BZ29" s="84"/>
      <c r="CA29" s="84"/>
      <c r="CB29" s="87"/>
      <c r="CC29" s="84"/>
      <c r="CD29" s="84"/>
      <c r="CE29" s="401">
        <v>1</v>
      </c>
      <c r="CF29" s="374">
        <f>IF(ISBLANK(CC29),0,_xll.FlexuralStiffness(CC29="Fixed",$L$12,CB29*10^4,CD29)/10^6)*CE29</f>
        <v>0</v>
      </c>
      <c r="CG29" s="381">
        <f t="shared" si="11"/>
        <v>23833.926103646889</v>
      </c>
      <c r="CH29" s="365">
        <f t="shared" si="12"/>
        <v>756.79438187191192</v>
      </c>
      <c r="CI29" s="365">
        <f t="shared" si="21"/>
        <v>23833.926103646889</v>
      </c>
      <c r="CJ29" s="89">
        <f t="shared" si="13"/>
        <v>55.42</v>
      </c>
      <c r="CK29" s="379" t="e">
        <f t="shared" ca="1" si="22"/>
        <v>#NAME?</v>
      </c>
      <c r="CM29" s="391" t="s">
        <v>199</v>
      </c>
      <c r="CN29" s="84"/>
      <c r="CO29" s="84"/>
      <c r="CP29" s="87"/>
      <c r="CQ29" s="84"/>
      <c r="CR29" s="84"/>
      <c r="CS29" s="401">
        <v>1</v>
      </c>
      <c r="CT29" s="374">
        <f>IF(ISBLANK(CQ29),0,_xll.FlexuralStiffness(CQ29="Fixed",$L$12,CP29*10^4,CR29)/10^6)*CS29</f>
        <v>0</v>
      </c>
      <c r="CU29" s="84"/>
      <c r="CV29" s="84"/>
      <c r="CW29" s="87"/>
      <c r="CX29" s="84"/>
      <c r="CY29" s="84"/>
      <c r="CZ29" s="401">
        <v>1</v>
      </c>
      <c r="DA29" s="374">
        <f>IF(ISBLANK(CX29),0,_xll.FlexuralStiffness(CX29="Fixed",$L$12,CW29*10^4,CY29)/10^6)*CZ29</f>
        <v>0</v>
      </c>
      <c r="DB29" s="84"/>
      <c r="DC29" s="84"/>
      <c r="DD29" s="87"/>
      <c r="DE29" s="84"/>
      <c r="DF29" s="84"/>
      <c r="DG29" s="401">
        <v>1</v>
      </c>
      <c r="DH29" s="374">
        <f>IF(ISBLANK(DE29),0,_xll.FlexuralStiffness(DE29="Fixed",$L$12,DD29*10^4,DF29)/10^6)*DG29</f>
        <v>0</v>
      </c>
      <c r="DI29" s="84"/>
      <c r="DJ29" s="84"/>
      <c r="DK29" s="87"/>
      <c r="DL29" s="84"/>
      <c r="DM29" s="84"/>
      <c r="DN29" s="401">
        <v>1</v>
      </c>
      <c r="DO29" s="374">
        <f>IF(ISBLANK(DL29),0,_xll.FlexuralStiffness(DL29="Fixed",$L$12,DK29*10^4,DM29)/10^6)*DN29</f>
        <v>0</v>
      </c>
      <c r="DP29" s="84"/>
      <c r="DQ29" s="84"/>
      <c r="DR29" s="87"/>
      <c r="DS29" s="84"/>
      <c r="DT29" s="84"/>
      <c r="DU29" s="401">
        <v>1</v>
      </c>
      <c r="DV29" s="87" t="str">
        <f>IF(ISBLANK(DR29),"∞",_xll.FlexuralStiffness(DS29="Fixed",$L$12,DR29*10^4,DT29)/10^6)</f>
        <v>∞</v>
      </c>
      <c r="DW29" s="84"/>
      <c r="DX29" s="87"/>
      <c r="DY29" s="87"/>
      <c r="DZ29" s="401"/>
      <c r="EA29" s="146"/>
      <c r="EB29" s="401" t="b">
        <v>0</v>
      </c>
      <c r="EC29" s="401">
        <v>1</v>
      </c>
      <c r="ED29" s="87">
        <f t="shared" si="23"/>
        <v>0</v>
      </c>
      <c r="EE29" s="381">
        <f t="shared" si="24"/>
        <v>0</v>
      </c>
      <c r="EF29" s="381" t="str">
        <f t="shared" si="14"/>
        <v>∞</v>
      </c>
      <c r="EG29" s="394" t="s">
        <v>199</v>
      </c>
      <c r="EH29" s="84"/>
      <c r="EI29" s="84"/>
      <c r="EJ29" s="87"/>
      <c r="EK29" s="84"/>
      <c r="EL29" s="84"/>
      <c r="EM29" s="401">
        <v>1</v>
      </c>
      <c r="EN29" s="374">
        <f>IF(ISBLANK(EK29),0,_xll.FlexuralStiffness(EK29="Fixed",$L$12,EJ29*10^4,EL29)/10^6)*EM29</f>
        <v>0</v>
      </c>
      <c r="EO29" s="84"/>
      <c r="EP29" s="84"/>
      <c r="EQ29" s="87"/>
      <c r="ER29" s="84"/>
      <c r="ES29" s="84"/>
      <c r="ET29" s="401">
        <v>1</v>
      </c>
      <c r="EU29" s="374">
        <f>IF(ISBLANK(ER29),0,_xll.FlexuralStiffness(ER29="Fixed",$L$12,EQ29*10^4,ES29)/10^6)*ET29</f>
        <v>0</v>
      </c>
      <c r="EV29" s="84"/>
      <c r="EW29" s="84"/>
      <c r="EX29" s="87"/>
      <c r="EY29" s="84"/>
      <c r="EZ29" s="84"/>
      <c r="FA29" s="401">
        <v>1</v>
      </c>
      <c r="FB29" s="374">
        <f>IF(ISBLANK(EY29),0,_xll.FlexuralStiffness(EY29="Fixed",$L$12,EX29*10^4,EZ29)/10^6)*FA29</f>
        <v>0</v>
      </c>
      <c r="FC29" s="84"/>
      <c r="FD29" s="84"/>
      <c r="FE29" s="87"/>
      <c r="FF29" s="84"/>
      <c r="FG29" s="84"/>
      <c r="FH29" s="401">
        <v>1</v>
      </c>
      <c r="FI29" s="374">
        <f>IF(ISBLANK(FF29),0,_xll.FlexuralStiffness(FF29="Fixed",$L$12,FE29*10^4,FG29)/10^6)*FH29</f>
        <v>0</v>
      </c>
      <c r="FJ29" s="381" t="str">
        <f t="shared" si="15"/>
        <v>∞</v>
      </c>
      <c r="FK29" s="365" t="str">
        <f t="shared" si="16"/>
        <v>∞</v>
      </c>
      <c r="FL29" s="365" t="str">
        <f t="shared" si="25"/>
        <v>∞</v>
      </c>
      <c r="FM29" s="89">
        <f t="shared" si="17"/>
        <v>55.42</v>
      </c>
      <c r="FN29" s="379" t="str">
        <f t="shared" si="28"/>
        <v>∞</v>
      </c>
      <c r="FO29" s="368"/>
      <c r="FP29" s="1"/>
      <c r="FQ29" s="1"/>
      <c r="FR29" s="367"/>
      <c r="FS29" s="1"/>
      <c r="FT29" s="1"/>
      <c r="FU29" s="368"/>
      <c r="FV29" s="368"/>
      <c r="FW29" s="368"/>
      <c r="FX29" s="368"/>
      <c r="FY29" s="173"/>
    </row>
    <row r="30" spans="1:182" x14ac:dyDescent="0.25">
      <c r="A30" s="326"/>
      <c r="B30" s="430">
        <v>24</v>
      </c>
      <c r="C30" s="58" t="e">
        <f t="shared" ca="1" si="18"/>
        <v>#NAME?</v>
      </c>
      <c r="D30" s="203" t="str">
        <f t="shared" si="9"/>
        <v>∞</v>
      </c>
      <c r="E30" s="326"/>
      <c r="F30" s="637"/>
      <c r="G30" s="21" t="s">
        <v>81</v>
      </c>
      <c r="H30" s="84" t="s">
        <v>85</v>
      </c>
      <c r="I30" s="108">
        <v>55.42</v>
      </c>
      <c r="J30" s="391" t="s">
        <v>169</v>
      </c>
      <c r="K30" s="84"/>
      <c r="L30" s="84"/>
      <c r="M30" s="87"/>
      <c r="N30" s="84"/>
      <c r="O30" s="84"/>
      <c r="P30" s="401">
        <v>1</v>
      </c>
      <c r="Q30" s="374">
        <f>IF(ISBLANK(N30),0,_xll.FlexuralStiffness(N30="Fixed",$L$12,M30*10^4,O30)/10^6)*P30</f>
        <v>0</v>
      </c>
      <c r="R30" s="84"/>
      <c r="S30" s="84"/>
      <c r="T30" s="87"/>
      <c r="U30" s="84"/>
      <c r="V30" s="84"/>
      <c r="W30" s="401">
        <v>1</v>
      </c>
      <c r="X30" s="374">
        <f>IF(ISBLANK(U30),0,_xll.FlexuralStiffness(U30="Fixed",$L$12,T30*10^4,V30)/10^6)*W30</f>
        <v>0</v>
      </c>
      <c r="Y30" s="84"/>
      <c r="Z30" s="84"/>
      <c r="AA30" s="87"/>
      <c r="AB30" s="84"/>
      <c r="AC30" s="84"/>
      <c r="AD30" s="401">
        <v>1</v>
      </c>
      <c r="AE30" s="374">
        <f>IF(ISBLANK(AB30),0,_xll.FlexuralStiffness(AB30="Fixed",$L$12,AA30*10^4,AC30)/10^6)*AD30</f>
        <v>0</v>
      </c>
      <c r="AF30" s="84"/>
      <c r="AG30" s="84"/>
      <c r="AH30" s="87"/>
      <c r="AI30" s="84"/>
      <c r="AJ30" s="84"/>
      <c r="AK30" s="401">
        <v>1</v>
      </c>
      <c r="AL30" s="374">
        <f>IF(ISBLANK(AI30),0,_xll.FlexuralStiffness(AI30="Fixed",$L$12,AH30*10^4,AJ30)/10^6)*AK30</f>
        <v>0</v>
      </c>
      <c r="AM30" s="84"/>
      <c r="AN30" s="84"/>
      <c r="AO30" s="87"/>
      <c r="AP30" s="84"/>
      <c r="AQ30" s="84"/>
      <c r="AR30" s="401">
        <v>1</v>
      </c>
      <c r="AS30" s="87" t="str">
        <f>IF(ISBLANK(AO30),"∞",_xll.FlexuralStiffness(AP30="Fixed",$L$12,AO30*10^4,AQ30)/10^6)</f>
        <v>∞</v>
      </c>
      <c r="AT30" s="84" t="s">
        <v>234</v>
      </c>
      <c r="AU30" s="87">
        <v>61.903333333333336</v>
      </c>
      <c r="AV30" s="87">
        <v>430165.33333333331</v>
      </c>
      <c r="AW30" s="401">
        <f t="shared" si="27"/>
        <v>0.16180904522613065</v>
      </c>
      <c r="AX30" s="146">
        <f t="shared" si="29"/>
        <v>4975</v>
      </c>
      <c r="AY30" s="401" t="b">
        <v>1</v>
      </c>
      <c r="AZ30" s="401">
        <f t="shared" si="30"/>
        <v>0.74921489457155677</v>
      </c>
      <c r="BA30" s="87">
        <f t="shared" si="19"/>
        <v>756.79438187191192</v>
      </c>
      <c r="BB30" s="381">
        <f t="shared" si="20"/>
        <v>756.79438187191192</v>
      </c>
      <c r="BC30" s="381">
        <f t="shared" si="10"/>
        <v>756.79438187191192</v>
      </c>
      <c r="BD30" s="394" t="s">
        <v>169</v>
      </c>
      <c r="BE30" s="84" t="s">
        <v>234</v>
      </c>
      <c r="BF30" s="84" t="s">
        <v>241</v>
      </c>
      <c r="BG30" s="87">
        <v>2134.9614333333334</v>
      </c>
      <c r="BH30" s="84" t="s">
        <v>196</v>
      </c>
      <c r="BI30" s="84">
        <v>4170</v>
      </c>
      <c r="BJ30" s="401">
        <f t="shared" si="31"/>
        <v>0.91860869565217385</v>
      </c>
      <c r="BK30" s="374">
        <f>IF(ISBLANK(BH30),0,_xll.FlexuralStiffness(BH30="Fixed",$L$12,BG30*10^4,BI30)/10^6)*BJ30</f>
        <v>3856.5448268212558</v>
      </c>
      <c r="BL30" s="84" t="s">
        <v>234</v>
      </c>
      <c r="BM30" s="84" t="s">
        <v>241</v>
      </c>
      <c r="BN30" s="87">
        <v>2134.9614333333334</v>
      </c>
      <c r="BO30" s="84" t="s">
        <v>196</v>
      </c>
      <c r="BP30" s="84">
        <v>805</v>
      </c>
      <c r="BQ30" s="401">
        <f t="shared" si="32"/>
        <v>0.91860869565217385</v>
      </c>
      <c r="BR30" s="374">
        <f>IF(ISBLANK(BO30),0,_xll.FlexuralStiffness(BO30="Fixed",$L$12,BN30*10^4,BP30)/10^6)*BQ30</f>
        <v>19977.381276825632</v>
      </c>
      <c r="BS30" s="84"/>
      <c r="BT30" s="84"/>
      <c r="BU30" s="87"/>
      <c r="BV30" s="84"/>
      <c r="BW30" s="84"/>
      <c r="BX30" s="401">
        <v>1</v>
      </c>
      <c r="BY30" s="374">
        <f>IF(ISBLANK(BV30),0,_xll.FlexuralStiffness(BV30="Fixed",$L$12,BU30*10^4,BW30)/10^6)*BX30</f>
        <v>0</v>
      </c>
      <c r="BZ30" s="84"/>
      <c r="CA30" s="84"/>
      <c r="CB30" s="87"/>
      <c r="CC30" s="84"/>
      <c r="CD30" s="84"/>
      <c r="CE30" s="401">
        <v>1</v>
      </c>
      <c r="CF30" s="374">
        <f>IF(ISBLANK(CC30),0,_xll.FlexuralStiffness(CC30="Fixed",$L$12,CB30*10^4,CD30)/10^6)*CE30</f>
        <v>0</v>
      </c>
      <c r="CG30" s="381">
        <f t="shared" si="11"/>
        <v>23833.926103646889</v>
      </c>
      <c r="CH30" s="365">
        <f t="shared" si="12"/>
        <v>756.79438187191192</v>
      </c>
      <c r="CI30" s="365">
        <f t="shared" si="21"/>
        <v>23833.926103646889</v>
      </c>
      <c r="CJ30" s="89">
        <f t="shared" si="13"/>
        <v>55.42</v>
      </c>
      <c r="CK30" s="379" t="e">
        <f t="shared" ca="1" si="22"/>
        <v>#NAME?</v>
      </c>
      <c r="CM30" s="391" t="s">
        <v>199</v>
      </c>
      <c r="CN30" s="84"/>
      <c r="CO30" s="84"/>
      <c r="CP30" s="87"/>
      <c r="CQ30" s="84"/>
      <c r="CR30" s="84"/>
      <c r="CS30" s="401">
        <v>1</v>
      </c>
      <c r="CT30" s="374">
        <f>IF(ISBLANK(CQ30),0,_xll.FlexuralStiffness(CQ30="Fixed",$L$12,CP30*10^4,CR30)/10^6)*CS30</f>
        <v>0</v>
      </c>
      <c r="CU30" s="84"/>
      <c r="CV30" s="84"/>
      <c r="CW30" s="87"/>
      <c r="CX30" s="84"/>
      <c r="CY30" s="84"/>
      <c r="CZ30" s="401">
        <v>1</v>
      </c>
      <c r="DA30" s="374">
        <f>IF(ISBLANK(CX30),0,_xll.FlexuralStiffness(CX30="Fixed",$L$12,CW30*10^4,CY30)/10^6)*CZ30</f>
        <v>0</v>
      </c>
      <c r="DB30" s="84"/>
      <c r="DC30" s="84"/>
      <c r="DD30" s="87"/>
      <c r="DE30" s="84"/>
      <c r="DF30" s="84"/>
      <c r="DG30" s="401">
        <v>1</v>
      </c>
      <c r="DH30" s="374">
        <f>IF(ISBLANK(DE30),0,_xll.FlexuralStiffness(DE30="Fixed",$L$12,DD30*10^4,DF30)/10^6)*DG30</f>
        <v>0</v>
      </c>
      <c r="DI30" s="84"/>
      <c r="DJ30" s="84"/>
      <c r="DK30" s="87"/>
      <c r="DL30" s="84"/>
      <c r="DM30" s="84"/>
      <c r="DN30" s="401">
        <v>1</v>
      </c>
      <c r="DO30" s="374">
        <f>IF(ISBLANK(DL30),0,_xll.FlexuralStiffness(DL30="Fixed",$L$12,DK30*10^4,DM30)/10^6)*DN30</f>
        <v>0</v>
      </c>
      <c r="DP30" s="84"/>
      <c r="DQ30" s="84"/>
      <c r="DR30" s="87"/>
      <c r="DS30" s="84"/>
      <c r="DT30" s="84"/>
      <c r="DU30" s="401">
        <v>1</v>
      </c>
      <c r="DV30" s="87" t="str">
        <f>IF(ISBLANK(DR30),"∞",_xll.FlexuralStiffness(DS30="Fixed",$L$12,DR30*10^4,DT30)/10^6)</f>
        <v>∞</v>
      </c>
      <c r="DW30" s="84"/>
      <c r="DX30" s="87"/>
      <c r="DY30" s="87"/>
      <c r="DZ30" s="401"/>
      <c r="EA30" s="146"/>
      <c r="EB30" s="401" t="b">
        <v>0</v>
      </c>
      <c r="EC30" s="401">
        <v>1</v>
      </c>
      <c r="ED30" s="87">
        <f t="shared" si="23"/>
        <v>0</v>
      </c>
      <c r="EE30" s="381">
        <f t="shared" si="24"/>
        <v>0</v>
      </c>
      <c r="EF30" s="381" t="str">
        <f t="shared" si="14"/>
        <v>∞</v>
      </c>
      <c r="EG30" s="394" t="s">
        <v>199</v>
      </c>
      <c r="EH30" s="84"/>
      <c r="EI30" s="84"/>
      <c r="EJ30" s="87"/>
      <c r="EK30" s="84"/>
      <c r="EL30" s="84"/>
      <c r="EM30" s="401">
        <v>1</v>
      </c>
      <c r="EN30" s="374">
        <f>IF(ISBLANK(EK30),0,_xll.FlexuralStiffness(EK30="Fixed",$L$12,EJ30*10^4,EL30)/10^6)*EM30</f>
        <v>0</v>
      </c>
      <c r="EO30" s="84"/>
      <c r="EP30" s="84"/>
      <c r="EQ30" s="87"/>
      <c r="ER30" s="84"/>
      <c r="ES30" s="84"/>
      <c r="ET30" s="401">
        <v>1</v>
      </c>
      <c r="EU30" s="374">
        <f>IF(ISBLANK(ER30),0,_xll.FlexuralStiffness(ER30="Fixed",$L$12,EQ30*10^4,ES30)/10^6)*ET30</f>
        <v>0</v>
      </c>
      <c r="EV30" s="84"/>
      <c r="EW30" s="84"/>
      <c r="EX30" s="87"/>
      <c r="EY30" s="84"/>
      <c r="EZ30" s="84"/>
      <c r="FA30" s="401">
        <v>1</v>
      </c>
      <c r="FB30" s="374">
        <f>IF(ISBLANK(EY30),0,_xll.FlexuralStiffness(EY30="Fixed",$L$12,EX30*10^4,EZ30)/10^6)*FA30</f>
        <v>0</v>
      </c>
      <c r="FC30" s="84"/>
      <c r="FD30" s="84"/>
      <c r="FE30" s="87"/>
      <c r="FF30" s="84"/>
      <c r="FG30" s="84"/>
      <c r="FH30" s="401">
        <v>1</v>
      </c>
      <c r="FI30" s="374">
        <f>IF(ISBLANK(FF30),0,_xll.FlexuralStiffness(FF30="Fixed",$L$12,FE30*10^4,FG30)/10^6)*FH30</f>
        <v>0</v>
      </c>
      <c r="FJ30" s="381" t="str">
        <f t="shared" si="15"/>
        <v>∞</v>
      </c>
      <c r="FK30" s="365" t="str">
        <f t="shared" si="16"/>
        <v>∞</v>
      </c>
      <c r="FL30" s="365" t="str">
        <f t="shared" si="25"/>
        <v>∞</v>
      </c>
      <c r="FM30" s="89">
        <f t="shared" si="17"/>
        <v>55.42</v>
      </c>
      <c r="FN30" s="379" t="str">
        <f t="shared" si="28"/>
        <v>∞</v>
      </c>
      <c r="FO30" s="368"/>
      <c r="FP30" s="1"/>
      <c r="FQ30" s="1"/>
      <c r="FR30" s="367"/>
      <c r="FS30" s="1"/>
      <c r="FT30" s="1"/>
      <c r="FU30" s="368"/>
      <c r="FV30" s="368"/>
      <c r="FW30" s="368"/>
      <c r="FX30" s="368"/>
      <c r="FY30" s="173"/>
    </row>
    <row r="31" spans="1:182" x14ac:dyDescent="0.25">
      <c r="A31" s="326"/>
      <c r="B31" s="429">
        <v>25</v>
      </c>
      <c r="C31" s="19" t="e">
        <f t="shared" ca="1" si="18"/>
        <v>#NAME?</v>
      </c>
      <c r="D31" s="204" t="str">
        <f t="shared" si="9"/>
        <v>∞</v>
      </c>
      <c r="E31" s="326"/>
      <c r="F31" s="638"/>
      <c r="G31" s="10" t="s">
        <v>77</v>
      </c>
      <c r="H31" s="9" t="s">
        <v>85</v>
      </c>
      <c r="I31" s="111">
        <v>55.42</v>
      </c>
      <c r="J31" s="392" t="s">
        <v>169</v>
      </c>
      <c r="K31" s="9"/>
      <c r="L31" s="9"/>
      <c r="M31" s="104"/>
      <c r="N31" s="9"/>
      <c r="O31" s="9"/>
      <c r="P31" s="402">
        <v>1</v>
      </c>
      <c r="Q31" s="375">
        <f>IF(ISBLANK(N31),0,_xll.FlexuralStiffness(N31="Fixed",$L$12,M31*10^4,O31)/10^6)*P31</f>
        <v>0</v>
      </c>
      <c r="R31" s="9"/>
      <c r="S31" s="9"/>
      <c r="T31" s="104"/>
      <c r="U31" s="9"/>
      <c r="V31" s="9"/>
      <c r="W31" s="402">
        <v>1</v>
      </c>
      <c r="X31" s="375">
        <f>IF(ISBLANK(U31),0,_xll.FlexuralStiffness(U31="Fixed",$L$12,T31*10^4,V31)/10^6)*W31</f>
        <v>0</v>
      </c>
      <c r="Y31" s="9"/>
      <c r="Z31" s="9"/>
      <c r="AA31" s="104"/>
      <c r="AB31" s="9"/>
      <c r="AC31" s="9"/>
      <c r="AD31" s="402">
        <v>1</v>
      </c>
      <c r="AE31" s="375">
        <f>IF(ISBLANK(AB31),0,_xll.FlexuralStiffness(AB31="Fixed",$L$12,AA31*10^4,AC31)/10^6)*AD31</f>
        <v>0</v>
      </c>
      <c r="AF31" s="9"/>
      <c r="AG31" s="9"/>
      <c r="AH31" s="104"/>
      <c r="AI31" s="9"/>
      <c r="AJ31" s="9"/>
      <c r="AK31" s="402">
        <v>1</v>
      </c>
      <c r="AL31" s="375">
        <f>IF(ISBLANK(AI31),0,_xll.FlexuralStiffness(AI31="Fixed",$L$12,AH31*10^4,AJ31)/10^6)*AK31</f>
        <v>0</v>
      </c>
      <c r="AM31" s="9"/>
      <c r="AN31" s="9"/>
      <c r="AO31" s="104"/>
      <c r="AP31" s="9"/>
      <c r="AQ31" s="9"/>
      <c r="AR31" s="402">
        <v>1</v>
      </c>
      <c r="AS31" s="104" t="str">
        <f>IF(ISBLANK(AO31),"∞",_xll.FlexuralStiffness(AP31="Fixed",$L$12,AO31*10^4,AQ31)/10^6)</f>
        <v>∞</v>
      </c>
      <c r="AT31" s="9" t="s">
        <v>234</v>
      </c>
      <c r="AU31" s="104">
        <v>61.903333333333336</v>
      </c>
      <c r="AV31" s="104">
        <v>430165.33333333331</v>
      </c>
      <c r="AW31" s="402">
        <f t="shared" si="27"/>
        <v>0.16180904522613065</v>
      </c>
      <c r="AX31" s="123">
        <f t="shared" si="29"/>
        <v>4975</v>
      </c>
      <c r="AY31" s="402" t="b">
        <v>1</v>
      </c>
      <c r="AZ31" s="402">
        <f t="shared" si="30"/>
        <v>0.74921489457155677</v>
      </c>
      <c r="BA31" s="104">
        <f t="shared" si="19"/>
        <v>756.79438187191192</v>
      </c>
      <c r="BB31" s="382">
        <f t="shared" si="20"/>
        <v>756.79438187191192</v>
      </c>
      <c r="BC31" s="382">
        <f t="shared" si="10"/>
        <v>756.79438187191192</v>
      </c>
      <c r="BD31" s="395" t="s">
        <v>169</v>
      </c>
      <c r="BE31" s="9" t="s">
        <v>234</v>
      </c>
      <c r="BF31" s="9" t="s">
        <v>241</v>
      </c>
      <c r="BG31" s="104">
        <v>2134.9614333333334</v>
      </c>
      <c r="BH31" s="9" t="s">
        <v>196</v>
      </c>
      <c r="BI31" s="9">
        <v>4170</v>
      </c>
      <c r="BJ31" s="402">
        <f t="shared" si="31"/>
        <v>0.91860869565217385</v>
      </c>
      <c r="BK31" s="375">
        <f>IF(ISBLANK(BH31),0,_xll.FlexuralStiffness(BH31="Fixed",$L$12,BG31*10^4,BI31)/10^6)*BJ31</f>
        <v>3856.5448268212558</v>
      </c>
      <c r="BL31" s="9" t="s">
        <v>234</v>
      </c>
      <c r="BM31" s="9" t="s">
        <v>241</v>
      </c>
      <c r="BN31" s="104">
        <v>2134.9614333333334</v>
      </c>
      <c r="BO31" s="9" t="s">
        <v>196</v>
      </c>
      <c r="BP31" s="9">
        <v>805</v>
      </c>
      <c r="BQ31" s="402">
        <f t="shared" si="32"/>
        <v>0.91860869565217385</v>
      </c>
      <c r="BR31" s="375">
        <f>IF(ISBLANK(BO31),0,_xll.FlexuralStiffness(BO31="Fixed",$L$12,BN31*10^4,BP31)/10^6)*BQ31</f>
        <v>19977.381276825632</v>
      </c>
      <c r="BS31" s="9"/>
      <c r="BT31" s="9"/>
      <c r="BU31" s="104"/>
      <c r="BV31" s="9"/>
      <c r="BW31" s="9"/>
      <c r="BX31" s="402">
        <v>1</v>
      </c>
      <c r="BY31" s="375">
        <f>IF(ISBLANK(BV31),0,_xll.FlexuralStiffness(BV31="Fixed",$L$12,BU31*10^4,BW31)/10^6)*BX31</f>
        <v>0</v>
      </c>
      <c r="BZ31" s="9"/>
      <c r="CA31" s="9"/>
      <c r="CB31" s="104"/>
      <c r="CC31" s="9"/>
      <c r="CD31" s="9"/>
      <c r="CE31" s="402">
        <v>1</v>
      </c>
      <c r="CF31" s="375">
        <f>IF(ISBLANK(CC31),0,_xll.FlexuralStiffness(CC31="Fixed",$L$12,CB31*10^4,CD31)/10^6)*CE31</f>
        <v>0</v>
      </c>
      <c r="CG31" s="382">
        <f t="shared" si="11"/>
        <v>23833.926103646889</v>
      </c>
      <c r="CH31" s="366">
        <f t="shared" si="12"/>
        <v>756.79438187191192</v>
      </c>
      <c r="CI31" s="366">
        <f t="shared" si="21"/>
        <v>23833.926103646889</v>
      </c>
      <c r="CJ31" s="14">
        <f t="shared" si="13"/>
        <v>55.42</v>
      </c>
      <c r="CK31" s="380" t="e">
        <f t="shared" ca="1" si="22"/>
        <v>#NAME?</v>
      </c>
      <c r="CM31" s="392" t="s">
        <v>199</v>
      </c>
      <c r="CN31" s="9"/>
      <c r="CO31" s="9"/>
      <c r="CP31" s="104"/>
      <c r="CQ31" s="9"/>
      <c r="CR31" s="9"/>
      <c r="CS31" s="402">
        <v>1</v>
      </c>
      <c r="CT31" s="375">
        <f>IF(ISBLANK(CQ31),0,_xll.FlexuralStiffness(CQ31="Fixed",$L$12,CP31*10^4,CR31)/10^6)*CS31</f>
        <v>0</v>
      </c>
      <c r="CU31" s="9"/>
      <c r="CV31" s="9"/>
      <c r="CW31" s="104"/>
      <c r="CX31" s="9"/>
      <c r="CY31" s="9"/>
      <c r="CZ31" s="402">
        <v>1</v>
      </c>
      <c r="DA31" s="375">
        <f>IF(ISBLANK(CX31),0,_xll.FlexuralStiffness(CX31="Fixed",$L$12,CW31*10^4,CY31)/10^6)*CZ31</f>
        <v>0</v>
      </c>
      <c r="DB31" s="9"/>
      <c r="DC31" s="9"/>
      <c r="DD31" s="104"/>
      <c r="DE31" s="9"/>
      <c r="DF31" s="9"/>
      <c r="DG31" s="402">
        <v>1</v>
      </c>
      <c r="DH31" s="375">
        <f>IF(ISBLANK(DE31),0,_xll.FlexuralStiffness(DE31="Fixed",$L$12,DD31*10^4,DF31)/10^6)*DG31</f>
        <v>0</v>
      </c>
      <c r="DI31" s="9"/>
      <c r="DJ31" s="9"/>
      <c r="DK31" s="104"/>
      <c r="DL31" s="9"/>
      <c r="DM31" s="9"/>
      <c r="DN31" s="402">
        <v>1</v>
      </c>
      <c r="DO31" s="375">
        <f>IF(ISBLANK(DL31),0,_xll.FlexuralStiffness(DL31="Fixed",$L$12,DK31*10^4,DM31)/10^6)*DN31</f>
        <v>0</v>
      </c>
      <c r="DP31" s="9"/>
      <c r="DQ31" s="9"/>
      <c r="DR31" s="104"/>
      <c r="DS31" s="9"/>
      <c r="DT31" s="9"/>
      <c r="DU31" s="402">
        <v>1</v>
      </c>
      <c r="DV31" s="104" t="str">
        <f>IF(ISBLANK(DR31),"∞",_xll.FlexuralStiffness(DS31="Fixed",$L$12,DR31*10^4,DT31)/10^6)</f>
        <v>∞</v>
      </c>
      <c r="DW31" s="9"/>
      <c r="DX31" s="104"/>
      <c r="DY31" s="104"/>
      <c r="DZ31" s="402"/>
      <c r="EA31" s="123"/>
      <c r="EB31" s="402" t="b">
        <v>0</v>
      </c>
      <c r="EC31" s="402">
        <v>1</v>
      </c>
      <c r="ED31" s="104">
        <f t="shared" si="23"/>
        <v>0</v>
      </c>
      <c r="EE31" s="382">
        <f t="shared" si="24"/>
        <v>0</v>
      </c>
      <c r="EF31" s="382" t="str">
        <f t="shared" si="14"/>
        <v>∞</v>
      </c>
      <c r="EG31" s="395" t="s">
        <v>199</v>
      </c>
      <c r="EH31" s="9"/>
      <c r="EI31" s="9"/>
      <c r="EJ31" s="104"/>
      <c r="EK31" s="9"/>
      <c r="EL31" s="9"/>
      <c r="EM31" s="402">
        <v>1</v>
      </c>
      <c r="EN31" s="375">
        <f>IF(ISBLANK(EK31),0,_xll.FlexuralStiffness(EK31="Fixed",$L$12,EJ31*10^4,EL31)/10^6)*EM31</f>
        <v>0</v>
      </c>
      <c r="EO31" s="9"/>
      <c r="EP31" s="9"/>
      <c r="EQ31" s="104"/>
      <c r="ER31" s="9"/>
      <c r="ES31" s="9"/>
      <c r="ET31" s="402">
        <v>1</v>
      </c>
      <c r="EU31" s="375">
        <f>IF(ISBLANK(ER31),0,_xll.FlexuralStiffness(ER31="Fixed",$L$12,EQ31*10^4,ES31)/10^6)*ET31</f>
        <v>0</v>
      </c>
      <c r="EV31" s="9"/>
      <c r="EW31" s="9"/>
      <c r="EX31" s="104"/>
      <c r="EY31" s="9"/>
      <c r="EZ31" s="9"/>
      <c r="FA31" s="402">
        <v>1</v>
      </c>
      <c r="FB31" s="375">
        <f>IF(ISBLANK(EY31),0,_xll.FlexuralStiffness(EY31="Fixed",$L$12,EX31*10^4,EZ31)/10^6)*FA31</f>
        <v>0</v>
      </c>
      <c r="FC31" s="9"/>
      <c r="FD31" s="9"/>
      <c r="FE31" s="104"/>
      <c r="FF31" s="9"/>
      <c r="FG31" s="9"/>
      <c r="FH31" s="402">
        <v>1</v>
      </c>
      <c r="FI31" s="375">
        <f>IF(ISBLANK(FF31),0,_xll.FlexuralStiffness(FF31="Fixed",$L$12,FE31*10^4,FG31)/10^6)*FH31</f>
        <v>0</v>
      </c>
      <c r="FJ31" s="382" t="str">
        <f t="shared" si="15"/>
        <v>∞</v>
      </c>
      <c r="FK31" s="366" t="str">
        <f t="shared" si="16"/>
        <v>∞</v>
      </c>
      <c r="FL31" s="366" t="str">
        <f t="shared" si="25"/>
        <v>∞</v>
      </c>
      <c r="FM31" s="14">
        <f t="shared" si="17"/>
        <v>55.42</v>
      </c>
      <c r="FN31" s="380" t="str">
        <f t="shared" si="28"/>
        <v>∞</v>
      </c>
      <c r="FO31" s="368"/>
      <c r="FP31" s="1"/>
      <c r="FQ31" s="1"/>
      <c r="FR31" s="367"/>
      <c r="FS31" s="1"/>
      <c r="FT31" s="1"/>
      <c r="FU31" s="368"/>
      <c r="FV31" s="368"/>
      <c r="FW31" s="368"/>
      <c r="FX31" s="368"/>
      <c r="FY31" s="173"/>
    </row>
    <row r="32" spans="1:182" x14ac:dyDescent="0.25">
      <c r="A32" s="326"/>
      <c r="B32" s="430">
        <v>30</v>
      </c>
      <c r="C32" s="58" t="e">
        <f t="shared" ca="1" si="18"/>
        <v>#NAME?</v>
      </c>
      <c r="D32" s="203" t="str">
        <f t="shared" si="9"/>
        <v>∞</v>
      </c>
      <c r="E32" s="326"/>
      <c r="F32" s="636" t="s">
        <v>257</v>
      </c>
      <c r="G32" s="289" t="s">
        <v>127</v>
      </c>
      <c r="H32" s="84" t="s">
        <v>85</v>
      </c>
      <c r="I32" s="108">
        <f>DEGREES(ATAN(2250/2075))</f>
        <v>47.317062385871324</v>
      </c>
      <c r="J32" s="391" t="s">
        <v>169</v>
      </c>
      <c r="K32" s="84"/>
      <c r="L32" s="84"/>
      <c r="M32" s="87"/>
      <c r="N32" s="84"/>
      <c r="O32" s="84"/>
      <c r="P32" s="401">
        <v>1</v>
      </c>
      <c r="Q32" s="374">
        <f>IF(ISBLANK(N32),0,_xll.FlexuralStiffness(N32="Fixed",$L$12,M32*10^4,O32)/10^6)*P32</f>
        <v>0</v>
      </c>
      <c r="R32" s="84"/>
      <c r="S32" s="84"/>
      <c r="T32" s="87"/>
      <c r="U32" s="84"/>
      <c r="V32" s="84"/>
      <c r="W32" s="401">
        <v>1</v>
      </c>
      <c r="X32" s="374">
        <f>IF(ISBLANK(U32),0,_xll.FlexuralStiffness(U32="Fixed",$L$12,T32*10^4,V32)/10^6)*W32</f>
        <v>0</v>
      </c>
      <c r="Y32" s="84"/>
      <c r="Z32" s="84"/>
      <c r="AA32" s="87"/>
      <c r="AB32" s="84"/>
      <c r="AC32" s="84"/>
      <c r="AD32" s="401">
        <v>1</v>
      </c>
      <c r="AE32" s="374">
        <f>IF(ISBLANK(AB32),0,_xll.FlexuralStiffness(AB32="Fixed",$L$12,AA32*10^4,AC32)/10^6)*AD32</f>
        <v>0</v>
      </c>
      <c r="AF32" s="84"/>
      <c r="AG32" s="84"/>
      <c r="AH32" s="87"/>
      <c r="AI32" s="84"/>
      <c r="AJ32" s="84"/>
      <c r="AK32" s="401">
        <v>1</v>
      </c>
      <c r="AL32" s="374">
        <f>IF(ISBLANK(AI32),0,_xll.FlexuralStiffness(AI32="Fixed",$L$12,AH32*10^4,AJ32)/10^6)*AK32</f>
        <v>0</v>
      </c>
      <c r="AM32" s="84" t="s">
        <v>477</v>
      </c>
      <c r="AN32" s="84" t="s">
        <v>242</v>
      </c>
      <c r="AO32" s="87">
        <v>4190.0051999999996</v>
      </c>
      <c r="AP32" s="84" t="s">
        <v>197</v>
      </c>
      <c r="AQ32" s="84">
        <v>2250</v>
      </c>
      <c r="AR32" s="401">
        <v>1</v>
      </c>
      <c r="AS32" s="87">
        <f>IF(ISBLANK(AO32),"∞",_xll.FlexuralStiffness(AP32="Fixed",$L$12,AO32*10^4,AQ32)/10^6)</f>
        <v>11452.680879999998</v>
      </c>
      <c r="AT32" s="84" t="s">
        <v>232</v>
      </c>
      <c r="AU32" s="87">
        <v>10.036250000000001</v>
      </c>
      <c r="AV32" s="87">
        <v>107174.390625</v>
      </c>
      <c r="AW32" s="401">
        <v>0.5</v>
      </c>
      <c r="AX32" s="146">
        <f>3000+2*475</f>
        <v>3950</v>
      </c>
      <c r="AY32" s="401" t="b">
        <v>1</v>
      </c>
      <c r="AZ32" s="401">
        <v>1</v>
      </c>
      <c r="BA32" s="87">
        <f t="shared" si="19"/>
        <v>78.047265483085411</v>
      </c>
      <c r="BB32" s="436">
        <f t="shared" si="20"/>
        <v>77.518992196911952</v>
      </c>
      <c r="BC32" s="381">
        <f t="shared" si="10"/>
        <v>77.518992196911952</v>
      </c>
      <c r="BD32" s="394" t="s">
        <v>169</v>
      </c>
      <c r="BE32" s="84" t="s">
        <v>232</v>
      </c>
      <c r="BF32" s="84" t="s">
        <v>241</v>
      </c>
      <c r="BG32" s="87">
        <v>506.89536874999999</v>
      </c>
      <c r="BH32" s="84" t="s">
        <v>197</v>
      </c>
      <c r="BI32" s="84">
        <f>3000/2</f>
        <v>1500</v>
      </c>
      <c r="BJ32" s="401">
        <v>1</v>
      </c>
      <c r="BK32" s="374">
        <f>IF(ISBLANK(BH32),0,_xll.FlexuralStiffness(BH32="Fixed",$L$12,BG32*10^4,BI32)/10^6)*BJ32</f>
        <v>2078.2710118750001</v>
      </c>
      <c r="BL32" s="84" t="s">
        <v>232</v>
      </c>
      <c r="BM32" s="84" t="s">
        <v>241</v>
      </c>
      <c r="BN32" s="87">
        <v>506.89536874999999</v>
      </c>
      <c r="BO32" s="84" t="s">
        <v>197</v>
      </c>
      <c r="BP32" s="84">
        <f>3000/2</f>
        <v>1500</v>
      </c>
      <c r="BQ32" s="401">
        <v>1</v>
      </c>
      <c r="BR32" s="374">
        <f>IF(ISBLANK(BO32),0,_xll.FlexuralStiffness(BO32="Fixed",$L$12,BN32*10^4,BP32)/10^6)*BQ32</f>
        <v>2078.2710118750001</v>
      </c>
      <c r="BS32" s="84"/>
      <c r="BT32" s="84"/>
      <c r="BU32" s="87"/>
      <c r="BV32" s="84"/>
      <c r="BW32" s="84"/>
      <c r="BX32" s="401">
        <v>1</v>
      </c>
      <c r="BY32" s="374">
        <f>IF(ISBLANK(BV32),0,_xll.FlexuralStiffness(BV32="Fixed",$L$12,BU32*10^4,BW32)/10^6)*BX32</f>
        <v>0</v>
      </c>
      <c r="BZ32" s="84"/>
      <c r="CA32" s="84"/>
      <c r="CB32" s="87"/>
      <c r="CC32" s="84"/>
      <c r="CD32" s="84"/>
      <c r="CE32" s="401">
        <v>1</v>
      </c>
      <c r="CF32" s="374">
        <f>IF(ISBLANK(CC32),0,_xll.FlexuralStiffness(CC32="Fixed",$L$12,CB32*10^4,CD32)/10^6)*CE32</f>
        <v>0</v>
      </c>
      <c r="CG32" s="381">
        <f t="shared" si="11"/>
        <v>4156.5420237500002</v>
      </c>
      <c r="CH32" s="365">
        <f t="shared" si="12"/>
        <v>77.518992196911952</v>
      </c>
      <c r="CI32" s="365">
        <f t="shared" si="21"/>
        <v>4156.5420237500002</v>
      </c>
      <c r="CJ32" s="89">
        <f t="shared" si="13"/>
        <v>47.317062385871324</v>
      </c>
      <c r="CK32" s="379" t="e">
        <f t="shared" ca="1" si="22"/>
        <v>#NAME?</v>
      </c>
      <c r="CM32" s="391" t="s">
        <v>199</v>
      </c>
      <c r="CN32" s="84"/>
      <c r="CO32" s="84"/>
      <c r="CP32" s="87"/>
      <c r="CQ32" s="84"/>
      <c r="CR32" s="84"/>
      <c r="CS32" s="401">
        <v>1</v>
      </c>
      <c r="CT32" s="374">
        <f>IF(ISBLANK(CQ32),0,_xll.FlexuralStiffness(CQ32="Fixed",$L$12,CP32*10^4,CR32)/10^6)*CS32</f>
        <v>0</v>
      </c>
      <c r="CU32" s="84"/>
      <c r="CV32" s="84"/>
      <c r="CW32" s="87"/>
      <c r="CX32" s="84"/>
      <c r="CY32" s="84"/>
      <c r="CZ32" s="401">
        <v>1</v>
      </c>
      <c r="DA32" s="374">
        <f>IF(ISBLANK(CX32),0,_xll.FlexuralStiffness(CX32="Fixed",$L$12,CW32*10^4,CY32)/10^6)*CZ32</f>
        <v>0</v>
      </c>
      <c r="DB32" s="84"/>
      <c r="DC32" s="84"/>
      <c r="DD32" s="87"/>
      <c r="DE32" s="84"/>
      <c r="DF32" s="84"/>
      <c r="DG32" s="401">
        <v>1</v>
      </c>
      <c r="DH32" s="374">
        <f>IF(ISBLANK(DE32),0,_xll.FlexuralStiffness(DE32="Fixed",$L$12,DD32*10^4,DF32)/10^6)*DG32</f>
        <v>0</v>
      </c>
      <c r="DI32" s="84"/>
      <c r="DJ32" s="84"/>
      <c r="DK32" s="87"/>
      <c r="DL32" s="84"/>
      <c r="DM32" s="84"/>
      <c r="DN32" s="401">
        <v>1</v>
      </c>
      <c r="DO32" s="374">
        <f>IF(ISBLANK(DL32),0,_xll.FlexuralStiffness(DL32="Fixed",$L$12,DK32*10^4,DM32)/10^6)*DN32</f>
        <v>0</v>
      </c>
      <c r="DP32" s="84"/>
      <c r="DQ32" s="84"/>
      <c r="DR32" s="87"/>
      <c r="DS32" s="84"/>
      <c r="DT32" s="84"/>
      <c r="DU32" s="401">
        <v>1</v>
      </c>
      <c r="DV32" s="87" t="str">
        <f>IF(ISBLANK(DR32),"∞",_xll.FlexuralStiffness(DS32="Fixed",$L$12,DR32*10^4,DT32)/10^6)</f>
        <v>∞</v>
      </c>
      <c r="DW32" s="84"/>
      <c r="DX32" s="87"/>
      <c r="DY32" s="87"/>
      <c r="DZ32" s="401"/>
      <c r="EA32" s="146"/>
      <c r="EB32" s="401" t="b">
        <v>0</v>
      </c>
      <c r="EC32" s="401">
        <v>1</v>
      </c>
      <c r="ED32" s="87">
        <f t="shared" si="23"/>
        <v>0</v>
      </c>
      <c r="EE32" s="436">
        <f t="shared" si="24"/>
        <v>0</v>
      </c>
      <c r="EF32" s="381" t="str">
        <f t="shared" si="14"/>
        <v>∞</v>
      </c>
      <c r="EG32" s="394" t="s">
        <v>199</v>
      </c>
      <c r="EH32" s="84"/>
      <c r="EI32" s="84"/>
      <c r="EJ32" s="87"/>
      <c r="EK32" s="84"/>
      <c r="EL32" s="84"/>
      <c r="EM32" s="401">
        <v>1</v>
      </c>
      <c r="EN32" s="374">
        <f>IF(ISBLANK(EK32),0,_xll.FlexuralStiffness(EK32="Fixed",$L$12,EJ32*10^4,EL32)/10^6)*EM32</f>
        <v>0</v>
      </c>
      <c r="EO32" s="84"/>
      <c r="EP32" s="84"/>
      <c r="EQ32" s="87"/>
      <c r="ER32" s="84"/>
      <c r="ES32" s="84"/>
      <c r="ET32" s="401">
        <v>1</v>
      </c>
      <c r="EU32" s="374">
        <f>IF(ISBLANK(ER32),0,_xll.FlexuralStiffness(ER32="Fixed",$L$12,EQ32*10^4,ES32)/10^6)*ET32</f>
        <v>0</v>
      </c>
      <c r="EV32" s="84"/>
      <c r="EW32" s="84"/>
      <c r="EX32" s="87"/>
      <c r="EY32" s="84"/>
      <c r="EZ32" s="84"/>
      <c r="FA32" s="401">
        <v>1</v>
      </c>
      <c r="FB32" s="374">
        <f>IF(ISBLANK(EY32),0,_xll.FlexuralStiffness(EY32="Fixed",$L$12,EX32*10^4,EZ32)/10^6)*FA32</f>
        <v>0</v>
      </c>
      <c r="FC32" s="84"/>
      <c r="FD32" s="84"/>
      <c r="FE32" s="87"/>
      <c r="FF32" s="84"/>
      <c r="FG32" s="84"/>
      <c r="FH32" s="401">
        <v>1</v>
      </c>
      <c r="FI32" s="374">
        <f>IF(ISBLANK(FF32),0,_xll.FlexuralStiffness(FF32="Fixed",$L$12,FE32*10^4,FG32)/10^6)*FH32</f>
        <v>0</v>
      </c>
      <c r="FJ32" s="381" t="str">
        <f t="shared" si="15"/>
        <v>∞</v>
      </c>
      <c r="FK32" s="365" t="str">
        <f t="shared" si="16"/>
        <v>∞</v>
      </c>
      <c r="FL32" s="365" t="str">
        <f t="shared" si="25"/>
        <v>∞</v>
      </c>
      <c r="FM32" s="89">
        <f t="shared" si="17"/>
        <v>47.317062385871324</v>
      </c>
      <c r="FN32" s="379" t="str">
        <f t="shared" si="28"/>
        <v>∞</v>
      </c>
      <c r="FO32" s="368"/>
      <c r="FP32" s="1"/>
      <c r="FQ32" s="1"/>
      <c r="FR32" s="367"/>
      <c r="FS32" s="1"/>
      <c r="FT32" s="1"/>
      <c r="FU32" s="368"/>
      <c r="FV32" s="368"/>
      <c r="FW32" s="368"/>
      <c r="FX32" s="368"/>
      <c r="FY32" s="173"/>
    </row>
    <row r="33" spans="1:181" x14ac:dyDescent="0.25">
      <c r="A33" s="326"/>
      <c r="B33" s="429">
        <v>31</v>
      </c>
      <c r="C33" s="19" t="e">
        <f t="shared" ca="1" si="18"/>
        <v>#NAME?</v>
      </c>
      <c r="D33" s="204" t="str">
        <f t="shared" si="9"/>
        <v>∞</v>
      </c>
      <c r="E33" s="326"/>
      <c r="F33" s="638"/>
      <c r="G33" s="6" t="s">
        <v>13</v>
      </c>
      <c r="H33" s="9" t="s">
        <v>85</v>
      </c>
      <c r="I33" s="111">
        <f>DEGREES(ATAN(2250/2075))</f>
        <v>47.317062385871324</v>
      </c>
      <c r="J33" s="392" t="s">
        <v>169</v>
      </c>
      <c r="K33" s="9"/>
      <c r="L33" s="9"/>
      <c r="M33" s="104"/>
      <c r="N33" s="9"/>
      <c r="O33" s="9"/>
      <c r="P33" s="402">
        <v>1</v>
      </c>
      <c r="Q33" s="375">
        <f>IF(ISBLANK(N33),0,_xll.FlexuralStiffness(N33="Fixed",$L$12,M33*10^4,O33)/10^6)*P33</f>
        <v>0</v>
      </c>
      <c r="R33" s="9"/>
      <c r="S33" s="9"/>
      <c r="T33" s="104"/>
      <c r="U33" s="9"/>
      <c r="V33" s="9"/>
      <c r="W33" s="402">
        <v>1</v>
      </c>
      <c r="X33" s="375">
        <f>IF(ISBLANK(U33),0,_xll.FlexuralStiffness(U33="Fixed",$L$12,T33*10^4,V33)/10^6)*W33</f>
        <v>0</v>
      </c>
      <c r="Y33" s="9"/>
      <c r="Z33" s="9"/>
      <c r="AA33" s="104"/>
      <c r="AB33" s="9"/>
      <c r="AC33" s="9"/>
      <c r="AD33" s="402">
        <v>1</v>
      </c>
      <c r="AE33" s="375">
        <f>IF(ISBLANK(AB33),0,_xll.FlexuralStiffness(AB33="Fixed",$L$12,AA33*10^4,AC33)/10^6)*AD33</f>
        <v>0</v>
      </c>
      <c r="AF33" s="9"/>
      <c r="AG33" s="9"/>
      <c r="AH33" s="104"/>
      <c r="AI33" s="9"/>
      <c r="AJ33" s="9"/>
      <c r="AK33" s="402">
        <v>1</v>
      </c>
      <c r="AL33" s="375">
        <f>IF(ISBLANK(AI33),0,_xll.FlexuralStiffness(AI33="Fixed",$L$12,AH33*10^4,AJ33)/10^6)*AK33</f>
        <v>0</v>
      </c>
      <c r="AM33" s="9" t="s">
        <v>477</v>
      </c>
      <c r="AN33" s="9" t="s">
        <v>242</v>
      </c>
      <c r="AO33" s="104">
        <v>4190.0051999999996</v>
      </c>
      <c r="AP33" s="9" t="s">
        <v>197</v>
      </c>
      <c r="AQ33" s="9">
        <v>2250</v>
      </c>
      <c r="AR33" s="402">
        <v>1</v>
      </c>
      <c r="AS33" s="104">
        <f>IF(ISBLANK(AO33),"∞",_xll.FlexuralStiffness(AP33="Fixed",$L$12,AO33*10^4,AQ33)/10^6)</f>
        <v>11452.680879999998</v>
      </c>
      <c r="AT33" s="9" t="s">
        <v>232</v>
      </c>
      <c r="AU33" s="104">
        <v>10.036250000000001</v>
      </c>
      <c r="AV33" s="104">
        <v>107174.390625</v>
      </c>
      <c r="AW33" s="402">
        <v>0.5</v>
      </c>
      <c r="AX33" s="123">
        <f>3000+2*475</f>
        <v>3950</v>
      </c>
      <c r="AY33" s="402" t="b">
        <v>1</v>
      </c>
      <c r="AZ33" s="402">
        <v>1</v>
      </c>
      <c r="BA33" s="104">
        <f t="shared" si="19"/>
        <v>78.047265483085411</v>
      </c>
      <c r="BB33" s="382">
        <f t="shared" si="20"/>
        <v>77.518992196911952</v>
      </c>
      <c r="BC33" s="382">
        <f t="shared" si="10"/>
        <v>77.518992196911952</v>
      </c>
      <c r="BD33" s="395" t="s">
        <v>169</v>
      </c>
      <c r="BE33" s="9" t="s">
        <v>232</v>
      </c>
      <c r="BF33" s="9" t="s">
        <v>241</v>
      </c>
      <c r="BG33" s="104">
        <v>506.89536874999999</v>
      </c>
      <c r="BH33" s="9" t="s">
        <v>197</v>
      </c>
      <c r="BI33" s="9">
        <f>3000/2</f>
        <v>1500</v>
      </c>
      <c r="BJ33" s="402">
        <v>1</v>
      </c>
      <c r="BK33" s="375">
        <f>IF(ISBLANK(BH33),0,_xll.FlexuralStiffness(BH33="Fixed",$L$12,BG33*10^4,BI33)/10^6)*BJ33</f>
        <v>2078.2710118750001</v>
      </c>
      <c r="BL33" s="9" t="s">
        <v>232</v>
      </c>
      <c r="BM33" s="9" t="s">
        <v>241</v>
      </c>
      <c r="BN33" s="104">
        <v>506.89536874999999</v>
      </c>
      <c r="BO33" s="9" t="s">
        <v>197</v>
      </c>
      <c r="BP33" s="9">
        <f>3000/2</f>
        <v>1500</v>
      </c>
      <c r="BQ33" s="402">
        <v>1</v>
      </c>
      <c r="BR33" s="375">
        <f>IF(ISBLANK(BO33),0,_xll.FlexuralStiffness(BO33="Fixed",$L$12,BN33*10^4,BP33)/10^6)*BQ33</f>
        <v>2078.2710118750001</v>
      </c>
      <c r="BS33" s="9"/>
      <c r="BT33" s="9"/>
      <c r="BU33" s="104"/>
      <c r="BV33" s="9"/>
      <c r="BW33" s="9"/>
      <c r="BX33" s="402">
        <v>1</v>
      </c>
      <c r="BY33" s="375">
        <f>IF(ISBLANK(BV33),0,_xll.FlexuralStiffness(BV33="Fixed",$L$12,BU33*10^4,BW33)/10^6)*BX33</f>
        <v>0</v>
      </c>
      <c r="BZ33" s="9"/>
      <c r="CA33" s="9"/>
      <c r="CB33" s="104"/>
      <c r="CC33" s="9"/>
      <c r="CD33" s="9"/>
      <c r="CE33" s="402">
        <v>1</v>
      </c>
      <c r="CF33" s="375">
        <f>IF(ISBLANK(CC33),0,_xll.FlexuralStiffness(CC33="Fixed",$L$12,CB33*10^4,CD33)/10^6)*CE33</f>
        <v>0</v>
      </c>
      <c r="CG33" s="382">
        <f t="shared" si="11"/>
        <v>4156.5420237500002</v>
      </c>
      <c r="CH33" s="366">
        <f t="shared" si="12"/>
        <v>77.518992196911952</v>
      </c>
      <c r="CI33" s="366">
        <f t="shared" si="21"/>
        <v>4156.5420237500002</v>
      </c>
      <c r="CJ33" s="14">
        <f t="shared" si="13"/>
        <v>47.317062385871324</v>
      </c>
      <c r="CK33" s="380" t="e">
        <f t="shared" ca="1" si="22"/>
        <v>#NAME?</v>
      </c>
      <c r="CM33" s="392" t="s">
        <v>199</v>
      </c>
      <c r="CN33" s="9"/>
      <c r="CO33" s="9"/>
      <c r="CP33" s="104"/>
      <c r="CQ33" s="9"/>
      <c r="CR33" s="9"/>
      <c r="CS33" s="402">
        <v>1</v>
      </c>
      <c r="CT33" s="375">
        <f>IF(ISBLANK(CQ33),0,_xll.FlexuralStiffness(CQ33="Fixed",$L$12,CP33*10^4,CR33)/10^6)*CS33</f>
        <v>0</v>
      </c>
      <c r="CU33" s="9"/>
      <c r="CV33" s="9"/>
      <c r="CW33" s="104"/>
      <c r="CX33" s="9"/>
      <c r="CY33" s="9"/>
      <c r="CZ33" s="402">
        <v>1</v>
      </c>
      <c r="DA33" s="375">
        <f>IF(ISBLANK(CX33),0,_xll.FlexuralStiffness(CX33="Fixed",$L$12,CW33*10^4,CY33)/10^6)*CZ33</f>
        <v>0</v>
      </c>
      <c r="DB33" s="9"/>
      <c r="DC33" s="9"/>
      <c r="DD33" s="104"/>
      <c r="DE33" s="9"/>
      <c r="DF33" s="9"/>
      <c r="DG33" s="402">
        <v>1</v>
      </c>
      <c r="DH33" s="375">
        <f>IF(ISBLANK(DE33),0,_xll.FlexuralStiffness(DE33="Fixed",$L$12,DD33*10^4,DF33)/10^6)*DG33</f>
        <v>0</v>
      </c>
      <c r="DI33" s="9"/>
      <c r="DJ33" s="9"/>
      <c r="DK33" s="104"/>
      <c r="DL33" s="9"/>
      <c r="DM33" s="9"/>
      <c r="DN33" s="402">
        <v>1</v>
      </c>
      <c r="DO33" s="375">
        <f>IF(ISBLANK(DL33),0,_xll.FlexuralStiffness(DL33="Fixed",$L$12,DK33*10^4,DM33)/10^6)*DN33</f>
        <v>0</v>
      </c>
      <c r="DP33" s="9"/>
      <c r="DQ33" s="9"/>
      <c r="DR33" s="104"/>
      <c r="DS33" s="9"/>
      <c r="DT33" s="9"/>
      <c r="DU33" s="402">
        <v>1</v>
      </c>
      <c r="DV33" s="104" t="str">
        <f>IF(ISBLANK(DR33),"∞",_xll.FlexuralStiffness(DS33="Fixed",$L$12,DR33*10^4,DT33)/10^6)</f>
        <v>∞</v>
      </c>
      <c r="DW33" s="9"/>
      <c r="DX33" s="104"/>
      <c r="DY33" s="104"/>
      <c r="DZ33" s="402"/>
      <c r="EA33" s="123"/>
      <c r="EB33" s="402" t="b">
        <v>0</v>
      </c>
      <c r="EC33" s="402">
        <v>1</v>
      </c>
      <c r="ED33" s="104">
        <f t="shared" si="23"/>
        <v>0</v>
      </c>
      <c r="EE33" s="382">
        <f t="shared" si="24"/>
        <v>0</v>
      </c>
      <c r="EF33" s="382" t="str">
        <f t="shared" si="14"/>
        <v>∞</v>
      </c>
      <c r="EG33" s="395" t="s">
        <v>199</v>
      </c>
      <c r="EH33" s="9"/>
      <c r="EI33" s="9"/>
      <c r="EJ33" s="104"/>
      <c r="EK33" s="9"/>
      <c r="EL33" s="9"/>
      <c r="EM33" s="402">
        <v>1</v>
      </c>
      <c r="EN33" s="375">
        <f>IF(ISBLANK(EK33),0,_xll.FlexuralStiffness(EK33="Fixed",$L$12,EJ33*10^4,EL33)/10^6)*EM33</f>
        <v>0</v>
      </c>
      <c r="EO33" s="9"/>
      <c r="EP33" s="9"/>
      <c r="EQ33" s="104"/>
      <c r="ER33" s="9"/>
      <c r="ES33" s="9"/>
      <c r="ET33" s="402">
        <v>1</v>
      </c>
      <c r="EU33" s="375">
        <f>IF(ISBLANK(ER33),0,_xll.FlexuralStiffness(ER33="Fixed",$L$12,EQ33*10^4,ES33)/10^6)*ET33</f>
        <v>0</v>
      </c>
      <c r="EV33" s="9"/>
      <c r="EW33" s="9"/>
      <c r="EX33" s="104"/>
      <c r="EY33" s="9"/>
      <c r="EZ33" s="9"/>
      <c r="FA33" s="402">
        <v>1</v>
      </c>
      <c r="FB33" s="375">
        <f>IF(ISBLANK(EY33),0,_xll.FlexuralStiffness(EY33="Fixed",$L$12,EX33*10^4,EZ33)/10^6)*FA33</f>
        <v>0</v>
      </c>
      <c r="FC33" s="9"/>
      <c r="FD33" s="9"/>
      <c r="FE33" s="104"/>
      <c r="FF33" s="9"/>
      <c r="FG33" s="9"/>
      <c r="FH33" s="402">
        <v>1</v>
      </c>
      <c r="FI33" s="375">
        <f>IF(ISBLANK(FF33),0,_xll.FlexuralStiffness(FF33="Fixed",$L$12,FE33*10^4,FG33)/10^6)*FH33</f>
        <v>0</v>
      </c>
      <c r="FJ33" s="382" t="str">
        <f t="shared" si="15"/>
        <v>∞</v>
      </c>
      <c r="FK33" s="366" t="str">
        <f t="shared" si="16"/>
        <v>∞</v>
      </c>
      <c r="FL33" s="366" t="str">
        <f t="shared" si="25"/>
        <v>∞</v>
      </c>
      <c r="FM33" s="14">
        <f t="shared" si="17"/>
        <v>47.317062385871324</v>
      </c>
      <c r="FN33" s="380" t="str">
        <f t="shared" si="28"/>
        <v>∞</v>
      </c>
      <c r="FO33" s="368"/>
      <c r="FP33" s="1"/>
      <c r="FQ33" s="1"/>
      <c r="FR33" s="367"/>
      <c r="FS33" s="1"/>
      <c r="FT33" s="1"/>
      <c r="FU33" s="368"/>
      <c r="FV33" s="368"/>
      <c r="FW33" s="368"/>
      <c r="FX33" s="368"/>
      <c r="FY33" s="173"/>
    </row>
    <row r="34" spans="1:181" x14ac:dyDescent="0.25">
      <c r="A34" s="326"/>
      <c r="B34" s="430">
        <v>40</v>
      </c>
      <c r="C34" s="58" t="e">
        <f t="shared" ref="C34" ca="1" si="33">CK34</f>
        <v>#NAME?</v>
      </c>
      <c r="D34" s="203">
        <f t="shared" ref="D34" si="34">FN34</f>
        <v>79.152562160890199</v>
      </c>
      <c r="E34" s="326"/>
      <c r="F34" s="636" t="s">
        <v>521</v>
      </c>
      <c r="G34" s="289" t="s">
        <v>21</v>
      </c>
      <c r="H34" s="290" t="s">
        <v>396</v>
      </c>
      <c r="I34" s="431">
        <v>45</v>
      </c>
      <c r="J34" s="410" t="s">
        <v>169</v>
      </c>
      <c r="K34" s="290" t="s">
        <v>239</v>
      </c>
      <c r="L34" s="290" t="s">
        <v>241</v>
      </c>
      <c r="M34" s="411">
        <v>8041.910567183334</v>
      </c>
      <c r="N34" s="290" t="s">
        <v>197</v>
      </c>
      <c r="O34" s="411">
        <f>12*12*25.4</f>
        <v>3657.6</v>
      </c>
      <c r="P34" s="413">
        <v>0.02</v>
      </c>
      <c r="Q34" s="412">
        <f>IF(ISBLANK(N34),0,_xll.FlexuralStiffness(N34="Fixed",$L$12,M34*10^4,O34)/10^6)*P34</f>
        <v>270.43826546466261</v>
      </c>
      <c r="R34" s="290"/>
      <c r="S34" s="290"/>
      <c r="T34" s="411"/>
      <c r="U34" s="290"/>
      <c r="V34" s="290"/>
      <c r="W34" s="413">
        <v>1</v>
      </c>
      <c r="X34" s="412">
        <f>IF(ISBLANK(U34),0,_xll.FlexuralStiffness(U34="Fixed",$L$12,T34*10^4,V34)/10^6)*W34</f>
        <v>0</v>
      </c>
      <c r="Y34" s="290"/>
      <c r="Z34" s="290"/>
      <c r="AA34" s="411"/>
      <c r="AB34" s="290"/>
      <c r="AC34" s="290"/>
      <c r="AD34" s="413">
        <v>1</v>
      </c>
      <c r="AE34" s="412">
        <f>IF(ISBLANK(AB34),0,_xll.FlexuralStiffness(AB34="Fixed",$L$12,AA34*10^4,AC34)/10^6)*AD34</f>
        <v>0</v>
      </c>
      <c r="AF34" s="290"/>
      <c r="AG34" s="290"/>
      <c r="AH34" s="411"/>
      <c r="AI34" s="290"/>
      <c r="AJ34" s="290"/>
      <c r="AK34" s="413">
        <v>1</v>
      </c>
      <c r="AL34" s="412">
        <f>IF(ISBLANK(AI34),0,_xll.FlexuralStiffness(AI34="Fixed",$L$12,AH34*10^4,AJ34)/10^6)*AK34</f>
        <v>0</v>
      </c>
      <c r="AM34" s="290"/>
      <c r="AN34" s="290"/>
      <c r="AO34" s="411"/>
      <c r="AP34" s="290"/>
      <c r="AQ34" s="290"/>
      <c r="AR34" s="413">
        <v>1</v>
      </c>
      <c r="AS34" s="87" t="str">
        <f>IF(ISBLANK(AO34),"∞",_xll.FlexuralStiffness(AP34="Fixed",$L$12,AO34*10^4,AQ34)/10^6)</f>
        <v>∞</v>
      </c>
      <c r="AT34" s="290"/>
      <c r="AU34" s="411"/>
      <c r="AV34" s="290"/>
      <c r="AW34" s="413"/>
      <c r="AX34" s="290"/>
      <c r="AY34" s="413" t="b">
        <v>0</v>
      </c>
      <c r="AZ34" s="413">
        <v>1</v>
      </c>
      <c r="BA34" s="411">
        <f t="shared" si="19"/>
        <v>0</v>
      </c>
      <c r="BB34" s="414">
        <f t="shared" si="20"/>
        <v>0</v>
      </c>
      <c r="BC34" s="414">
        <f t="shared" si="10"/>
        <v>270.43826546466261</v>
      </c>
      <c r="BD34" s="415" t="s">
        <v>169</v>
      </c>
      <c r="BE34" s="290" t="s">
        <v>243</v>
      </c>
      <c r="BF34" s="290" t="s">
        <v>241</v>
      </c>
      <c r="BG34" s="411">
        <v>1378.6111813929601</v>
      </c>
      <c r="BH34" s="290" t="s">
        <v>197</v>
      </c>
      <c r="BI34" s="411">
        <f>12*12*25.4</f>
        <v>3657.6</v>
      </c>
      <c r="BJ34" s="413">
        <v>0.02</v>
      </c>
      <c r="BK34" s="412">
        <f>IF(ISBLANK(BH34),0,_xll.FlexuralStiffness(BH34="Fixed",$L$12,BG34*10^4,BI34)/10^6)*BJ34</f>
        <v>46.360776277158266</v>
      </c>
      <c r="BL34" s="290"/>
      <c r="BM34" s="290"/>
      <c r="BN34" s="411"/>
      <c r="BO34" s="290"/>
      <c r="BP34" s="290"/>
      <c r="BQ34" s="413">
        <v>1</v>
      </c>
      <c r="BR34" s="412">
        <f>IF(ISBLANK(BO34),0,_xll.FlexuralStiffness(BO34="Fixed",$L$12,BN34*10^4,BP34)/10^6)*BQ34</f>
        <v>0</v>
      </c>
      <c r="BS34" s="290"/>
      <c r="BT34" s="290"/>
      <c r="BU34" s="411"/>
      <c r="BV34" s="290"/>
      <c r="BW34" s="290"/>
      <c r="BX34" s="413">
        <v>1</v>
      </c>
      <c r="BY34" s="412">
        <f>IF(ISBLANK(BV34),0,_xll.FlexuralStiffness(BV34="Fixed",$L$12,BU34*10^4,BW34)/10^6)*BX34</f>
        <v>0</v>
      </c>
      <c r="BZ34" s="290"/>
      <c r="CA34" s="290"/>
      <c r="CB34" s="411"/>
      <c r="CC34" s="290"/>
      <c r="CD34" s="290"/>
      <c r="CE34" s="413">
        <v>1</v>
      </c>
      <c r="CF34" s="412">
        <f>IF(ISBLANK(CC34),0,_xll.FlexuralStiffness(CC34="Fixed",$L$12,CB34*10^4,CD34)/10^6)*CE34</f>
        <v>0</v>
      </c>
      <c r="CG34" s="414">
        <f t="shared" si="11"/>
        <v>46.360776277158266</v>
      </c>
      <c r="CH34" s="416">
        <f t="shared" si="12"/>
        <v>270.43826546466261</v>
      </c>
      <c r="CI34" s="416">
        <f t="shared" si="21"/>
        <v>46.360776277158266</v>
      </c>
      <c r="CJ34" s="334">
        <f t="shared" si="13"/>
        <v>45</v>
      </c>
      <c r="CK34" s="417" t="e">
        <f t="shared" ca="1" si="22"/>
        <v>#NAME?</v>
      </c>
      <c r="CM34" s="410" t="s">
        <v>169</v>
      </c>
      <c r="CN34" s="290" t="s">
        <v>239</v>
      </c>
      <c r="CO34" s="290" t="s">
        <v>241</v>
      </c>
      <c r="CP34" s="411">
        <v>8041.910567183334</v>
      </c>
      <c r="CQ34" s="290" t="s">
        <v>197</v>
      </c>
      <c r="CR34" s="411">
        <f>12*12*25.4</f>
        <v>3657.6</v>
      </c>
      <c r="CS34" s="413">
        <v>0.02</v>
      </c>
      <c r="CT34" s="412">
        <f>IF(ISBLANK(CQ34),0,_xll.FlexuralStiffness(CQ34="Fixed",$L$12,CP34*10^4,CR34)/10^6)*CS34</f>
        <v>270.43826546466261</v>
      </c>
      <c r="CU34" s="290"/>
      <c r="CV34" s="290"/>
      <c r="CW34" s="411"/>
      <c r="CX34" s="290"/>
      <c r="CY34" s="290"/>
      <c r="CZ34" s="413">
        <v>1</v>
      </c>
      <c r="DA34" s="412">
        <f>IF(ISBLANK(CX34),0,_xll.FlexuralStiffness(CX34="Fixed",$L$12,CW34*10^4,CY34)/10^6)*CZ34</f>
        <v>0</v>
      </c>
      <c r="DB34" s="290"/>
      <c r="DC34" s="290"/>
      <c r="DD34" s="411"/>
      <c r="DE34" s="290"/>
      <c r="DF34" s="290"/>
      <c r="DG34" s="413">
        <v>1</v>
      </c>
      <c r="DH34" s="412">
        <f>IF(ISBLANK(DE34),0,_xll.FlexuralStiffness(DE34="Fixed",$L$12,DD34*10^4,DF34)/10^6)*DG34</f>
        <v>0</v>
      </c>
      <c r="DI34" s="290"/>
      <c r="DJ34" s="290"/>
      <c r="DK34" s="411"/>
      <c r="DL34" s="290"/>
      <c r="DM34" s="290"/>
      <c r="DN34" s="413">
        <v>1</v>
      </c>
      <c r="DO34" s="412">
        <f>IF(ISBLANK(DL34),0,_xll.FlexuralStiffness(DL34="Fixed",$L$12,DK34*10^4,DM34)/10^6)*DN34</f>
        <v>0</v>
      </c>
      <c r="DP34" s="290"/>
      <c r="DQ34" s="290"/>
      <c r="DR34" s="411"/>
      <c r="DS34" s="290"/>
      <c r="DT34" s="290"/>
      <c r="DU34" s="413">
        <v>1</v>
      </c>
      <c r="DV34" s="87" t="str">
        <f>IF(ISBLANK(DR34),"∞",_xll.FlexuralStiffness(DS34="Fixed",$L$12,DR34*10^4,DT34)/10^6)</f>
        <v>∞</v>
      </c>
      <c r="DW34" s="290"/>
      <c r="DX34" s="411"/>
      <c r="DY34" s="290"/>
      <c r="DZ34" s="413"/>
      <c r="EA34" s="290"/>
      <c r="EB34" s="413" t="b">
        <v>0</v>
      </c>
      <c r="EC34" s="413">
        <v>1</v>
      </c>
      <c r="ED34" s="411">
        <f t="shared" si="23"/>
        <v>0</v>
      </c>
      <c r="EE34" s="414">
        <f t="shared" si="24"/>
        <v>0</v>
      </c>
      <c r="EF34" s="414">
        <f t="shared" si="14"/>
        <v>270.43826546466261</v>
      </c>
      <c r="EG34" s="415" t="s">
        <v>169</v>
      </c>
      <c r="EH34" s="290" t="s">
        <v>243</v>
      </c>
      <c r="EI34" s="290" t="s">
        <v>241</v>
      </c>
      <c r="EJ34" s="411">
        <v>1378.6111813929601</v>
      </c>
      <c r="EK34" s="290" t="s">
        <v>197</v>
      </c>
      <c r="EL34" s="411">
        <f>12*12*25.4</f>
        <v>3657.6</v>
      </c>
      <c r="EM34" s="413">
        <v>0.02</v>
      </c>
      <c r="EN34" s="412">
        <f>IF(ISBLANK(EK34),0,_xll.FlexuralStiffness(EK34="Fixed",$L$12,EJ34*10^4,EL34)/10^6)*EM34</f>
        <v>46.360776277158266</v>
      </c>
      <c r="EO34" s="290"/>
      <c r="EP34" s="290"/>
      <c r="EQ34" s="411"/>
      <c r="ER34" s="290"/>
      <c r="ES34" s="290"/>
      <c r="ET34" s="413">
        <v>1</v>
      </c>
      <c r="EU34" s="412">
        <f>IF(ISBLANK(ER34),0,_xll.FlexuralStiffness(ER34="Fixed",$L$12,EQ34*10^4,ES34)/10^6)*ET34</f>
        <v>0</v>
      </c>
      <c r="EV34" s="290"/>
      <c r="EW34" s="290"/>
      <c r="EX34" s="411"/>
      <c r="EY34" s="290"/>
      <c r="EZ34" s="290"/>
      <c r="FA34" s="413">
        <v>1</v>
      </c>
      <c r="FB34" s="412">
        <f>IF(ISBLANK(EY34),0,_xll.FlexuralStiffness(EY34="Fixed",$L$12,EX34*10^4,EZ34)/10^6)*FA34</f>
        <v>0</v>
      </c>
      <c r="FC34" s="290"/>
      <c r="FD34" s="290"/>
      <c r="FE34" s="411"/>
      <c r="FF34" s="290"/>
      <c r="FG34" s="290"/>
      <c r="FH34" s="413">
        <v>1</v>
      </c>
      <c r="FI34" s="412">
        <f>IF(ISBLANK(FF34),0,_xll.FlexuralStiffness(FF34="Fixed",$L$12,FE34*10^4,FG34)/10^6)*FH34</f>
        <v>0</v>
      </c>
      <c r="FJ34" s="414">
        <f t="shared" si="15"/>
        <v>46.360776277158266</v>
      </c>
      <c r="FK34" s="416">
        <f t="shared" si="16"/>
        <v>270.43826546466261</v>
      </c>
      <c r="FL34" s="416">
        <f t="shared" si="25"/>
        <v>46.360776277158266</v>
      </c>
      <c r="FM34" s="334">
        <f t="shared" si="17"/>
        <v>45</v>
      </c>
      <c r="FN34" s="417">
        <f t="shared" si="28"/>
        <v>79.152562160890199</v>
      </c>
      <c r="FO34" s="368"/>
      <c r="FP34" s="1"/>
      <c r="FQ34" s="1"/>
      <c r="FR34" s="367"/>
      <c r="FS34" s="1"/>
      <c r="FT34" s="1"/>
      <c r="FU34" s="368"/>
      <c r="FV34" s="368"/>
      <c r="FW34" s="368"/>
      <c r="FX34" s="368"/>
      <c r="FY34" s="173"/>
    </row>
    <row r="35" spans="1:181" x14ac:dyDescent="0.25">
      <c r="A35" s="326"/>
      <c r="B35" s="430">
        <v>41</v>
      </c>
      <c r="C35" s="58" t="e">
        <f t="shared" ref="C35" ca="1" si="35">CK35</f>
        <v>#NAME?</v>
      </c>
      <c r="D35" s="203">
        <f t="shared" ref="D35" si="36">FN35</f>
        <v>79.152562160890199</v>
      </c>
      <c r="E35" s="326"/>
      <c r="F35" s="637"/>
      <c r="G35" s="46" t="s">
        <v>22</v>
      </c>
      <c r="H35" s="84" t="s">
        <v>396</v>
      </c>
      <c r="I35" s="108">
        <v>45</v>
      </c>
      <c r="J35" s="391" t="s">
        <v>169</v>
      </c>
      <c r="K35" s="84" t="s">
        <v>239</v>
      </c>
      <c r="L35" s="84" t="s">
        <v>241</v>
      </c>
      <c r="M35" s="87">
        <v>8041.910567183334</v>
      </c>
      <c r="N35" s="84" t="s">
        <v>197</v>
      </c>
      <c r="O35" s="87">
        <f t="shared" ref="O35:O45" si="37">12*12*25.4</f>
        <v>3657.6</v>
      </c>
      <c r="P35" s="401">
        <v>0.02</v>
      </c>
      <c r="Q35" s="374">
        <f>IF(ISBLANK(N35),0,_xll.FlexuralStiffness(N35="Fixed",$L$12,M35*10^4,O35)/10^6)*P35</f>
        <v>270.43826546466261</v>
      </c>
      <c r="R35" s="84"/>
      <c r="S35" s="84"/>
      <c r="T35" s="87"/>
      <c r="U35" s="84"/>
      <c r="V35" s="84"/>
      <c r="W35" s="401">
        <v>1</v>
      </c>
      <c r="X35" s="374">
        <f>IF(ISBLANK(U35),0,_xll.FlexuralStiffness(U35="Fixed",$L$12,T35*10^4,V35)/10^6)*W35</f>
        <v>0</v>
      </c>
      <c r="Y35" s="84"/>
      <c r="Z35" s="84"/>
      <c r="AA35" s="87"/>
      <c r="AB35" s="84"/>
      <c r="AC35" s="84"/>
      <c r="AD35" s="401">
        <v>1</v>
      </c>
      <c r="AE35" s="374">
        <f>IF(ISBLANK(AB35),0,_xll.FlexuralStiffness(AB35="Fixed",$L$12,AA35*10^4,AC35)/10^6)*AD35</f>
        <v>0</v>
      </c>
      <c r="AF35" s="84"/>
      <c r="AG35" s="84"/>
      <c r="AH35" s="87"/>
      <c r="AI35" s="84"/>
      <c r="AJ35" s="84"/>
      <c r="AK35" s="401">
        <v>1</v>
      </c>
      <c r="AL35" s="374">
        <f>IF(ISBLANK(AI35),0,_xll.FlexuralStiffness(AI35="Fixed",$L$12,AH35*10^4,AJ35)/10^6)*AK35</f>
        <v>0</v>
      </c>
      <c r="AM35" s="84"/>
      <c r="AN35" s="84"/>
      <c r="AO35" s="87"/>
      <c r="AP35" s="84"/>
      <c r="AQ35" s="84"/>
      <c r="AR35" s="401">
        <v>1</v>
      </c>
      <c r="AS35" s="87" t="str">
        <f>IF(ISBLANK(AO35),"∞",_xll.FlexuralStiffness(AP35="Fixed",$L$12,AO35*10^4,AQ35)/10^6)</f>
        <v>∞</v>
      </c>
      <c r="AT35" s="84"/>
      <c r="AU35" s="87"/>
      <c r="AV35" s="84"/>
      <c r="AW35" s="401"/>
      <c r="AX35" s="84"/>
      <c r="AY35" s="401" t="b">
        <v>0</v>
      </c>
      <c r="AZ35" s="401">
        <v>1</v>
      </c>
      <c r="BA35" s="87">
        <f t="shared" si="19"/>
        <v>0</v>
      </c>
      <c r="BB35" s="381">
        <f t="shared" si="20"/>
        <v>0</v>
      </c>
      <c r="BC35" s="381">
        <f t="shared" si="10"/>
        <v>270.43826546466261</v>
      </c>
      <c r="BD35" s="394" t="s">
        <v>169</v>
      </c>
      <c r="BE35" s="84" t="s">
        <v>243</v>
      </c>
      <c r="BF35" s="84" t="s">
        <v>241</v>
      </c>
      <c r="BG35" s="87">
        <v>1378.6111813929601</v>
      </c>
      <c r="BH35" s="84" t="s">
        <v>197</v>
      </c>
      <c r="BI35" s="87">
        <f t="shared" ref="BI35:BI45" si="38">12*12*25.4</f>
        <v>3657.6</v>
      </c>
      <c r="BJ35" s="401">
        <v>0.02</v>
      </c>
      <c r="BK35" s="374">
        <f>IF(ISBLANK(BH35),0,_xll.FlexuralStiffness(BH35="Fixed",$L$12,BG35*10^4,BI35)/10^6)*BJ35</f>
        <v>46.360776277158266</v>
      </c>
      <c r="BL35" s="84"/>
      <c r="BM35" s="84"/>
      <c r="BN35" s="87"/>
      <c r="BO35" s="84"/>
      <c r="BP35" s="84"/>
      <c r="BQ35" s="401">
        <v>1</v>
      </c>
      <c r="BR35" s="374">
        <f>IF(ISBLANK(BO35),0,_xll.FlexuralStiffness(BO35="Fixed",$L$12,BN35*10^4,BP35)/10^6)*BQ35</f>
        <v>0</v>
      </c>
      <c r="BS35" s="84"/>
      <c r="BT35" s="84"/>
      <c r="BU35" s="87"/>
      <c r="BV35" s="84"/>
      <c r="BW35" s="84"/>
      <c r="BX35" s="401">
        <v>1</v>
      </c>
      <c r="BY35" s="374">
        <f>IF(ISBLANK(BV35),0,_xll.FlexuralStiffness(BV35="Fixed",$L$12,BU35*10^4,BW35)/10^6)*BX35</f>
        <v>0</v>
      </c>
      <c r="BZ35" s="84"/>
      <c r="CA35" s="84"/>
      <c r="CB35" s="87"/>
      <c r="CC35" s="84"/>
      <c r="CD35" s="84"/>
      <c r="CE35" s="401">
        <v>1</v>
      </c>
      <c r="CF35" s="374">
        <f>IF(ISBLANK(CC35),0,_xll.FlexuralStiffness(CC35="Fixed",$L$12,CB35*10^4,CD35)/10^6)*CE35</f>
        <v>0</v>
      </c>
      <c r="CG35" s="381">
        <f t="shared" si="11"/>
        <v>46.360776277158266</v>
      </c>
      <c r="CH35" s="365">
        <f t="shared" si="12"/>
        <v>270.43826546466261</v>
      </c>
      <c r="CI35" s="365">
        <f t="shared" si="21"/>
        <v>46.360776277158266</v>
      </c>
      <c r="CJ35" s="89">
        <f t="shared" si="13"/>
        <v>45</v>
      </c>
      <c r="CK35" s="379" t="e">
        <f t="shared" ca="1" si="22"/>
        <v>#NAME?</v>
      </c>
      <c r="CM35" s="391" t="s">
        <v>169</v>
      </c>
      <c r="CN35" s="84" t="s">
        <v>239</v>
      </c>
      <c r="CO35" s="84" t="s">
        <v>241</v>
      </c>
      <c r="CP35" s="87">
        <v>8041.910567183334</v>
      </c>
      <c r="CQ35" s="84" t="s">
        <v>197</v>
      </c>
      <c r="CR35" s="87">
        <f t="shared" ref="CR35:CR45" si="39">12*12*25.4</f>
        <v>3657.6</v>
      </c>
      <c r="CS35" s="401">
        <v>0.02</v>
      </c>
      <c r="CT35" s="374">
        <f>IF(ISBLANK(CQ35),0,_xll.FlexuralStiffness(CQ35="Fixed",$L$12,CP35*10^4,CR35)/10^6)*CS35</f>
        <v>270.43826546466261</v>
      </c>
      <c r="CU35" s="84"/>
      <c r="CV35" s="84"/>
      <c r="CW35" s="87"/>
      <c r="CX35" s="84"/>
      <c r="CY35" s="84"/>
      <c r="CZ35" s="401">
        <v>1</v>
      </c>
      <c r="DA35" s="374">
        <f>IF(ISBLANK(CX35),0,_xll.FlexuralStiffness(CX35="Fixed",$L$12,CW35*10^4,CY35)/10^6)*CZ35</f>
        <v>0</v>
      </c>
      <c r="DB35" s="84"/>
      <c r="DC35" s="84"/>
      <c r="DD35" s="87"/>
      <c r="DE35" s="84"/>
      <c r="DF35" s="84"/>
      <c r="DG35" s="401">
        <v>1</v>
      </c>
      <c r="DH35" s="374">
        <f>IF(ISBLANK(DE35),0,_xll.FlexuralStiffness(DE35="Fixed",$L$12,DD35*10^4,DF35)/10^6)*DG35</f>
        <v>0</v>
      </c>
      <c r="DI35" s="84"/>
      <c r="DJ35" s="84"/>
      <c r="DK35" s="87"/>
      <c r="DL35" s="84"/>
      <c r="DM35" s="84"/>
      <c r="DN35" s="401">
        <v>1</v>
      </c>
      <c r="DO35" s="374">
        <f>IF(ISBLANK(DL35),0,_xll.FlexuralStiffness(DL35="Fixed",$L$12,DK35*10^4,DM35)/10^6)*DN35</f>
        <v>0</v>
      </c>
      <c r="DP35" s="84"/>
      <c r="DQ35" s="84"/>
      <c r="DR35" s="87"/>
      <c r="DS35" s="84"/>
      <c r="DT35" s="84"/>
      <c r="DU35" s="401">
        <v>1</v>
      </c>
      <c r="DV35" s="87" t="str">
        <f>IF(ISBLANK(DR35),"∞",_xll.FlexuralStiffness(DS35="Fixed",$L$12,DR35*10^4,DT35)/10^6)</f>
        <v>∞</v>
      </c>
      <c r="DW35" s="84"/>
      <c r="DX35" s="87"/>
      <c r="DY35" s="84"/>
      <c r="DZ35" s="401"/>
      <c r="EA35" s="84"/>
      <c r="EB35" s="401" t="b">
        <v>0</v>
      </c>
      <c r="EC35" s="401">
        <v>1</v>
      </c>
      <c r="ED35" s="87">
        <f t="shared" si="23"/>
        <v>0</v>
      </c>
      <c r="EE35" s="381">
        <f t="shared" si="24"/>
        <v>0</v>
      </c>
      <c r="EF35" s="381">
        <f t="shared" si="14"/>
        <v>270.43826546466261</v>
      </c>
      <c r="EG35" s="394" t="s">
        <v>169</v>
      </c>
      <c r="EH35" s="84" t="s">
        <v>243</v>
      </c>
      <c r="EI35" s="84" t="s">
        <v>241</v>
      </c>
      <c r="EJ35" s="87">
        <v>1378.6111813929601</v>
      </c>
      <c r="EK35" s="84" t="s">
        <v>197</v>
      </c>
      <c r="EL35" s="87">
        <f t="shared" ref="EL35:EL45" si="40">12*12*25.4</f>
        <v>3657.6</v>
      </c>
      <c r="EM35" s="401">
        <v>0.02</v>
      </c>
      <c r="EN35" s="374">
        <f>IF(ISBLANK(EK35),0,_xll.FlexuralStiffness(EK35="Fixed",$L$12,EJ35*10^4,EL35)/10^6)*EM35</f>
        <v>46.360776277158266</v>
      </c>
      <c r="EO35" s="84"/>
      <c r="EP35" s="84"/>
      <c r="EQ35" s="87"/>
      <c r="ER35" s="84"/>
      <c r="ES35" s="84"/>
      <c r="ET35" s="401">
        <v>1</v>
      </c>
      <c r="EU35" s="374">
        <f>IF(ISBLANK(ER35),0,_xll.FlexuralStiffness(ER35="Fixed",$L$12,EQ35*10^4,ES35)/10^6)*ET35</f>
        <v>0</v>
      </c>
      <c r="EV35" s="84"/>
      <c r="EW35" s="84"/>
      <c r="EX35" s="87"/>
      <c r="EY35" s="84"/>
      <c r="EZ35" s="84"/>
      <c r="FA35" s="401">
        <v>1</v>
      </c>
      <c r="FB35" s="374">
        <f>IF(ISBLANK(EY35),0,_xll.FlexuralStiffness(EY35="Fixed",$L$12,EX35*10^4,EZ35)/10^6)*FA35</f>
        <v>0</v>
      </c>
      <c r="FC35" s="84"/>
      <c r="FD35" s="84"/>
      <c r="FE35" s="87"/>
      <c r="FF35" s="84"/>
      <c r="FG35" s="84"/>
      <c r="FH35" s="401">
        <v>1</v>
      </c>
      <c r="FI35" s="374">
        <f>IF(ISBLANK(FF35),0,_xll.FlexuralStiffness(FF35="Fixed",$L$12,FE35*10^4,FG35)/10^6)*FH35</f>
        <v>0</v>
      </c>
      <c r="FJ35" s="381">
        <f t="shared" si="15"/>
        <v>46.360776277158266</v>
      </c>
      <c r="FK35" s="365">
        <f t="shared" si="16"/>
        <v>270.43826546466261</v>
      </c>
      <c r="FL35" s="365">
        <f t="shared" si="25"/>
        <v>46.360776277158266</v>
      </c>
      <c r="FM35" s="89">
        <f t="shared" si="17"/>
        <v>45</v>
      </c>
      <c r="FN35" s="379">
        <f t="shared" si="26"/>
        <v>79.152562160890199</v>
      </c>
      <c r="FO35" s="368"/>
      <c r="FP35" s="1"/>
      <c r="FQ35" s="1"/>
      <c r="FR35" s="367"/>
      <c r="FS35" s="1"/>
      <c r="FT35" s="1"/>
      <c r="FU35" s="368"/>
      <c r="FV35" s="368"/>
      <c r="FW35" s="368"/>
      <c r="FX35" s="368"/>
      <c r="FY35" s="173"/>
    </row>
    <row r="36" spans="1:181" x14ac:dyDescent="0.25">
      <c r="A36" s="326"/>
      <c r="B36" s="430">
        <v>42</v>
      </c>
      <c r="C36" s="58" t="e">
        <f t="shared" ca="1" si="18"/>
        <v>#NAME?</v>
      </c>
      <c r="D36" s="203">
        <f t="shared" si="9"/>
        <v>79.152562160890199</v>
      </c>
      <c r="E36" s="326"/>
      <c r="F36" s="637"/>
      <c r="G36" s="46" t="s">
        <v>23</v>
      </c>
      <c r="H36" s="84" t="s">
        <v>396</v>
      </c>
      <c r="I36" s="108">
        <v>45</v>
      </c>
      <c r="J36" s="391" t="s">
        <v>169</v>
      </c>
      <c r="K36" s="84" t="s">
        <v>239</v>
      </c>
      <c r="L36" s="84" t="s">
        <v>241</v>
      </c>
      <c r="M36" s="87">
        <v>8041.910567183334</v>
      </c>
      <c r="N36" s="84" t="s">
        <v>197</v>
      </c>
      <c r="O36" s="87">
        <f t="shared" si="37"/>
        <v>3657.6</v>
      </c>
      <c r="P36" s="401">
        <v>0.02</v>
      </c>
      <c r="Q36" s="374">
        <f>IF(ISBLANK(N36),0,_xll.FlexuralStiffness(N36="Fixed",$L$12,M36*10^4,O36)/10^6)*P36</f>
        <v>270.43826546466261</v>
      </c>
      <c r="R36" s="84"/>
      <c r="S36" s="84"/>
      <c r="T36" s="87"/>
      <c r="U36" s="84"/>
      <c r="V36" s="84"/>
      <c r="W36" s="401">
        <v>1</v>
      </c>
      <c r="X36" s="374">
        <f>IF(ISBLANK(U36),0,_xll.FlexuralStiffness(U36="Fixed",$L$12,T36*10^4,V36)/10^6)*W36</f>
        <v>0</v>
      </c>
      <c r="Y36" s="84"/>
      <c r="Z36" s="84"/>
      <c r="AA36" s="87"/>
      <c r="AB36" s="84"/>
      <c r="AC36" s="84"/>
      <c r="AD36" s="401">
        <v>1</v>
      </c>
      <c r="AE36" s="374">
        <f>IF(ISBLANK(AB36),0,_xll.FlexuralStiffness(AB36="Fixed",$L$12,AA36*10^4,AC36)/10^6)*AD36</f>
        <v>0</v>
      </c>
      <c r="AF36" s="84"/>
      <c r="AG36" s="84"/>
      <c r="AH36" s="87"/>
      <c r="AI36" s="84"/>
      <c r="AJ36" s="84"/>
      <c r="AK36" s="401">
        <v>1</v>
      </c>
      <c r="AL36" s="374">
        <f>IF(ISBLANK(AI36),0,_xll.FlexuralStiffness(AI36="Fixed",$L$12,AH36*10^4,AJ36)/10^6)*AK36</f>
        <v>0</v>
      </c>
      <c r="AM36" s="84"/>
      <c r="AN36" s="84"/>
      <c r="AO36" s="87"/>
      <c r="AP36" s="84"/>
      <c r="AQ36" s="84"/>
      <c r="AR36" s="401">
        <v>1</v>
      </c>
      <c r="AS36" s="87" t="str">
        <f>IF(ISBLANK(AO36),"∞",_xll.FlexuralStiffness(AP36="Fixed",$L$12,AO36*10^4,AQ36)/10^6)</f>
        <v>∞</v>
      </c>
      <c r="AT36" s="84"/>
      <c r="AU36" s="87"/>
      <c r="AV36" s="84"/>
      <c r="AW36" s="401"/>
      <c r="AX36" s="84"/>
      <c r="AY36" s="401" t="b">
        <v>0</v>
      </c>
      <c r="AZ36" s="401">
        <v>1</v>
      </c>
      <c r="BA36" s="87">
        <f t="shared" si="19"/>
        <v>0</v>
      </c>
      <c r="BB36" s="381">
        <f t="shared" si="20"/>
        <v>0</v>
      </c>
      <c r="BC36" s="381">
        <f t="shared" si="10"/>
        <v>270.43826546466261</v>
      </c>
      <c r="BD36" s="394" t="s">
        <v>169</v>
      </c>
      <c r="BE36" s="84" t="s">
        <v>243</v>
      </c>
      <c r="BF36" s="84" t="s">
        <v>241</v>
      </c>
      <c r="BG36" s="87">
        <v>1378.6111813929601</v>
      </c>
      <c r="BH36" s="84" t="s">
        <v>197</v>
      </c>
      <c r="BI36" s="87">
        <f t="shared" si="38"/>
        <v>3657.6</v>
      </c>
      <c r="BJ36" s="401">
        <v>0.02</v>
      </c>
      <c r="BK36" s="374">
        <f>IF(ISBLANK(BH36),0,_xll.FlexuralStiffness(BH36="Fixed",$L$12,BG36*10^4,BI36)/10^6)*BJ36</f>
        <v>46.360776277158266</v>
      </c>
      <c r="BL36" s="84"/>
      <c r="BM36" s="84"/>
      <c r="BN36" s="87"/>
      <c r="BO36" s="84"/>
      <c r="BP36" s="84"/>
      <c r="BQ36" s="401">
        <v>1</v>
      </c>
      <c r="BR36" s="374">
        <f>IF(ISBLANK(BO36),0,_xll.FlexuralStiffness(BO36="Fixed",$L$12,BN36*10^4,BP36)/10^6)*BQ36</f>
        <v>0</v>
      </c>
      <c r="BS36" s="84"/>
      <c r="BT36" s="84"/>
      <c r="BU36" s="87"/>
      <c r="BV36" s="84"/>
      <c r="BW36" s="84"/>
      <c r="BX36" s="401">
        <v>1</v>
      </c>
      <c r="BY36" s="374">
        <f>IF(ISBLANK(BV36),0,_xll.FlexuralStiffness(BV36="Fixed",$L$12,BU36*10^4,BW36)/10^6)*BX36</f>
        <v>0</v>
      </c>
      <c r="BZ36" s="84"/>
      <c r="CA36" s="84"/>
      <c r="CB36" s="87"/>
      <c r="CC36" s="84"/>
      <c r="CD36" s="84"/>
      <c r="CE36" s="401">
        <v>1</v>
      </c>
      <c r="CF36" s="374">
        <f>IF(ISBLANK(CC36),0,_xll.FlexuralStiffness(CC36="Fixed",$L$12,CB36*10^4,CD36)/10^6)*CE36</f>
        <v>0</v>
      </c>
      <c r="CG36" s="381">
        <f t="shared" si="11"/>
        <v>46.360776277158266</v>
      </c>
      <c r="CH36" s="365">
        <f t="shared" si="12"/>
        <v>270.43826546466261</v>
      </c>
      <c r="CI36" s="365">
        <f t="shared" si="21"/>
        <v>46.360776277158266</v>
      </c>
      <c r="CJ36" s="89">
        <f t="shared" si="13"/>
        <v>45</v>
      </c>
      <c r="CK36" s="379" t="e">
        <f t="shared" ca="1" si="22"/>
        <v>#NAME?</v>
      </c>
      <c r="CM36" s="391" t="s">
        <v>169</v>
      </c>
      <c r="CN36" s="84" t="s">
        <v>239</v>
      </c>
      <c r="CO36" s="84" t="s">
        <v>241</v>
      </c>
      <c r="CP36" s="87">
        <v>8041.910567183334</v>
      </c>
      <c r="CQ36" s="84" t="s">
        <v>197</v>
      </c>
      <c r="CR36" s="87">
        <f t="shared" si="39"/>
        <v>3657.6</v>
      </c>
      <c r="CS36" s="401">
        <v>0.02</v>
      </c>
      <c r="CT36" s="374">
        <f>IF(ISBLANK(CQ36),0,_xll.FlexuralStiffness(CQ36="Fixed",$L$12,CP36*10^4,CR36)/10^6)*CS36</f>
        <v>270.43826546466261</v>
      </c>
      <c r="CU36" s="84"/>
      <c r="CV36" s="84"/>
      <c r="CW36" s="87"/>
      <c r="CX36" s="84"/>
      <c r="CY36" s="84"/>
      <c r="CZ36" s="401">
        <v>1</v>
      </c>
      <c r="DA36" s="374">
        <f>IF(ISBLANK(CX36),0,_xll.FlexuralStiffness(CX36="Fixed",$L$12,CW36*10^4,CY36)/10^6)*CZ36</f>
        <v>0</v>
      </c>
      <c r="DB36" s="84"/>
      <c r="DC36" s="84"/>
      <c r="DD36" s="87"/>
      <c r="DE36" s="84"/>
      <c r="DF36" s="84"/>
      <c r="DG36" s="401">
        <v>1</v>
      </c>
      <c r="DH36" s="374">
        <f>IF(ISBLANK(DE36),0,_xll.FlexuralStiffness(DE36="Fixed",$L$12,DD36*10^4,DF36)/10^6)*DG36</f>
        <v>0</v>
      </c>
      <c r="DI36" s="84"/>
      <c r="DJ36" s="84"/>
      <c r="DK36" s="87"/>
      <c r="DL36" s="84"/>
      <c r="DM36" s="84"/>
      <c r="DN36" s="401">
        <v>1</v>
      </c>
      <c r="DO36" s="374">
        <f>IF(ISBLANK(DL36),0,_xll.FlexuralStiffness(DL36="Fixed",$L$12,DK36*10^4,DM36)/10^6)*DN36</f>
        <v>0</v>
      </c>
      <c r="DP36" s="84"/>
      <c r="DQ36" s="84"/>
      <c r="DR36" s="87"/>
      <c r="DS36" s="84"/>
      <c r="DT36" s="84"/>
      <c r="DU36" s="401">
        <v>1</v>
      </c>
      <c r="DV36" s="87" t="str">
        <f>IF(ISBLANK(DR36),"∞",_xll.FlexuralStiffness(DS36="Fixed",$L$12,DR36*10^4,DT36)/10^6)</f>
        <v>∞</v>
      </c>
      <c r="DW36" s="84"/>
      <c r="DX36" s="87"/>
      <c r="DY36" s="84"/>
      <c r="DZ36" s="401"/>
      <c r="EA36" s="84"/>
      <c r="EB36" s="401" t="b">
        <v>0</v>
      </c>
      <c r="EC36" s="401">
        <v>1</v>
      </c>
      <c r="ED36" s="87">
        <f t="shared" si="23"/>
        <v>0</v>
      </c>
      <c r="EE36" s="381">
        <f t="shared" si="24"/>
        <v>0</v>
      </c>
      <c r="EF36" s="381">
        <f t="shared" si="14"/>
        <v>270.43826546466261</v>
      </c>
      <c r="EG36" s="394" t="s">
        <v>169</v>
      </c>
      <c r="EH36" s="84" t="s">
        <v>243</v>
      </c>
      <c r="EI36" s="84" t="s">
        <v>241</v>
      </c>
      <c r="EJ36" s="87">
        <v>1378.6111813929601</v>
      </c>
      <c r="EK36" s="84" t="s">
        <v>197</v>
      </c>
      <c r="EL36" s="87">
        <f t="shared" si="40"/>
        <v>3657.6</v>
      </c>
      <c r="EM36" s="401">
        <v>0.02</v>
      </c>
      <c r="EN36" s="374">
        <f>IF(ISBLANK(EK36),0,_xll.FlexuralStiffness(EK36="Fixed",$L$12,EJ36*10^4,EL36)/10^6)*EM36</f>
        <v>46.360776277158266</v>
      </c>
      <c r="EO36" s="84"/>
      <c r="EP36" s="84"/>
      <c r="EQ36" s="87"/>
      <c r="ER36" s="84"/>
      <c r="ES36" s="84"/>
      <c r="ET36" s="401">
        <v>1</v>
      </c>
      <c r="EU36" s="374">
        <f>IF(ISBLANK(ER36),0,_xll.FlexuralStiffness(ER36="Fixed",$L$12,EQ36*10^4,ES36)/10^6)*ET36</f>
        <v>0</v>
      </c>
      <c r="EV36" s="84"/>
      <c r="EW36" s="84"/>
      <c r="EX36" s="87"/>
      <c r="EY36" s="84"/>
      <c r="EZ36" s="84"/>
      <c r="FA36" s="401">
        <v>1</v>
      </c>
      <c r="FB36" s="374">
        <f>IF(ISBLANK(EY36),0,_xll.FlexuralStiffness(EY36="Fixed",$L$12,EX36*10^4,EZ36)/10^6)*FA36</f>
        <v>0</v>
      </c>
      <c r="FC36" s="84"/>
      <c r="FD36" s="84"/>
      <c r="FE36" s="87"/>
      <c r="FF36" s="84"/>
      <c r="FG36" s="84"/>
      <c r="FH36" s="401">
        <v>1</v>
      </c>
      <c r="FI36" s="374">
        <f>IF(ISBLANK(FF36),0,_xll.FlexuralStiffness(FF36="Fixed",$L$12,FE36*10^4,FG36)/10^6)*FH36</f>
        <v>0</v>
      </c>
      <c r="FJ36" s="381">
        <f t="shared" si="15"/>
        <v>46.360776277158266</v>
      </c>
      <c r="FK36" s="365">
        <f t="shared" si="16"/>
        <v>270.43826546466261</v>
      </c>
      <c r="FL36" s="365">
        <f t="shared" si="25"/>
        <v>46.360776277158266</v>
      </c>
      <c r="FM36" s="89">
        <f t="shared" si="17"/>
        <v>45</v>
      </c>
      <c r="FN36" s="379">
        <f t="shared" si="26"/>
        <v>79.152562160890199</v>
      </c>
      <c r="FO36" s="368"/>
      <c r="FP36" s="1"/>
      <c r="FQ36" s="1"/>
      <c r="FR36" s="367"/>
      <c r="FS36" s="1"/>
      <c r="FT36" s="1"/>
      <c r="FU36" s="368"/>
      <c r="FV36" s="368"/>
      <c r="FW36" s="368"/>
      <c r="FX36" s="368"/>
      <c r="FY36" s="173"/>
    </row>
    <row r="37" spans="1:181" x14ac:dyDescent="0.25">
      <c r="A37" s="326"/>
      <c r="B37" s="430">
        <v>43</v>
      </c>
      <c r="C37" s="58" t="e">
        <f t="shared" ca="1" si="18"/>
        <v>#NAME?</v>
      </c>
      <c r="D37" s="203">
        <f t="shared" si="9"/>
        <v>79.152562160890199</v>
      </c>
      <c r="E37" s="326"/>
      <c r="F37" s="637"/>
      <c r="G37" s="46" t="s">
        <v>24</v>
      </c>
      <c r="H37" s="84" t="s">
        <v>396</v>
      </c>
      <c r="I37" s="108">
        <v>45</v>
      </c>
      <c r="J37" s="391" t="s">
        <v>169</v>
      </c>
      <c r="K37" s="84" t="s">
        <v>239</v>
      </c>
      <c r="L37" s="84" t="s">
        <v>241</v>
      </c>
      <c r="M37" s="87">
        <v>8041.910567183334</v>
      </c>
      <c r="N37" s="84" t="s">
        <v>197</v>
      </c>
      <c r="O37" s="87">
        <f t="shared" si="37"/>
        <v>3657.6</v>
      </c>
      <c r="P37" s="401">
        <v>0.02</v>
      </c>
      <c r="Q37" s="374">
        <f>IF(ISBLANK(N37),0,_xll.FlexuralStiffness(N37="Fixed",$L$12,M37*10^4,O37)/10^6)*P37</f>
        <v>270.43826546466261</v>
      </c>
      <c r="R37" s="84"/>
      <c r="S37" s="84"/>
      <c r="T37" s="87"/>
      <c r="U37" s="84"/>
      <c r="V37" s="84"/>
      <c r="W37" s="401">
        <v>1</v>
      </c>
      <c r="X37" s="374">
        <f>IF(ISBLANK(U37),0,_xll.FlexuralStiffness(U37="Fixed",$L$12,T37*10^4,V37)/10^6)*W37</f>
        <v>0</v>
      </c>
      <c r="Y37" s="84"/>
      <c r="Z37" s="84"/>
      <c r="AA37" s="87"/>
      <c r="AB37" s="84"/>
      <c r="AC37" s="84"/>
      <c r="AD37" s="401">
        <v>1</v>
      </c>
      <c r="AE37" s="374">
        <f>IF(ISBLANK(AB37),0,_xll.FlexuralStiffness(AB37="Fixed",$L$12,AA37*10^4,AC37)/10^6)*AD37</f>
        <v>0</v>
      </c>
      <c r="AF37" s="84"/>
      <c r="AG37" s="84"/>
      <c r="AH37" s="87"/>
      <c r="AI37" s="84"/>
      <c r="AJ37" s="84"/>
      <c r="AK37" s="401">
        <v>1</v>
      </c>
      <c r="AL37" s="374">
        <f>IF(ISBLANK(AI37),0,_xll.FlexuralStiffness(AI37="Fixed",$L$12,AH37*10^4,AJ37)/10^6)*AK37</f>
        <v>0</v>
      </c>
      <c r="AM37" s="84"/>
      <c r="AN37" s="84"/>
      <c r="AO37" s="87"/>
      <c r="AP37" s="84"/>
      <c r="AQ37" s="84"/>
      <c r="AR37" s="401">
        <v>1</v>
      </c>
      <c r="AS37" s="87" t="str">
        <f>IF(ISBLANK(AO37),"∞",_xll.FlexuralStiffness(AP37="Fixed",$L$12,AO37*10^4,AQ37)/10^6)</f>
        <v>∞</v>
      </c>
      <c r="AT37" s="84"/>
      <c r="AU37" s="87"/>
      <c r="AV37" s="84"/>
      <c r="AW37" s="401"/>
      <c r="AX37" s="84"/>
      <c r="AY37" s="401" t="b">
        <v>0</v>
      </c>
      <c r="AZ37" s="401">
        <v>1</v>
      </c>
      <c r="BA37" s="87">
        <f t="shared" si="19"/>
        <v>0</v>
      </c>
      <c r="BB37" s="381">
        <f t="shared" si="20"/>
        <v>0</v>
      </c>
      <c r="BC37" s="381">
        <f t="shared" si="10"/>
        <v>270.43826546466261</v>
      </c>
      <c r="BD37" s="394" t="s">
        <v>169</v>
      </c>
      <c r="BE37" s="84" t="s">
        <v>243</v>
      </c>
      <c r="BF37" s="84" t="s">
        <v>241</v>
      </c>
      <c r="BG37" s="87">
        <v>1378.6111813929601</v>
      </c>
      <c r="BH37" s="84" t="s">
        <v>197</v>
      </c>
      <c r="BI37" s="87">
        <f t="shared" si="38"/>
        <v>3657.6</v>
      </c>
      <c r="BJ37" s="401">
        <v>0.02</v>
      </c>
      <c r="BK37" s="374">
        <f>IF(ISBLANK(BH37),0,_xll.FlexuralStiffness(BH37="Fixed",$L$12,BG37*10^4,BI37)/10^6)*BJ37</f>
        <v>46.360776277158266</v>
      </c>
      <c r="BL37" s="84"/>
      <c r="BM37" s="84"/>
      <c r="BN37" s="87"/>
      <c r="BO37" s="84"/>
      <c r="BP37" s="84"/>
      <c r="BQ37" s="401">
        <v>1</v>
      </c>
      <c r="BR37" s="374">
        <f>IF(ISBLANK(BO37),0,_xll.FlexuralStiffness(BO37="Fixed",$L$12,BN37*10^4,BP37)/10^6)*BQ37</f>
        <v>0</v>
      </c>
      <c r="BS37" s="84"/>
      <c r="BT37" s="84"/>
      <c r="BU37" s="87"/>
      <c r="BV37" s="84"/>
      <c r="BW37" s="84"/>
      <c r="BX37" s="401">
        <v>1</v>
      </c>
      <c r="BY37" s="374">
        <f>IF(ISBLANK(BV37),0,_xll.FlexuralStiffness(BV37="Fixed",$L$12,BU37*10^4,BW37)/10^6)*BX37</f>
        <v>0</v>
      </c>
      <c r="BZ37" s="84"/>
      <c r="CA37" s="84"/>
      <c r="CB37" s="87"/>
      <c r="CC37" s="84"/>
      <c r="CD37" s="84"/>
      <c r="CE37" s="401">
        <v>1</v>
      </c>
      <c r="CF37" s="374">
        <f>IF(ISBLANK(CC37),0,_xll.FlexuralStiffness(CC37="Fixed",$L$12,CB37*10^4,CD37)/10^6)*CE37</f>
        <v>0</v>
      </c>
      <c r="CG37" s="381">
        <f t="shared" si="11"/>
        <v>46.360776277158266</v>
      </c>
      <c r="CH37" s="365">
        <f t="shared" si="12"/>
        <v>270.43826546466261</v>
      </c>
      <c r="CI37" s="365">
        <f t="shared" si="21"/>
        <v>46.360776277158266</v>
      </c>
      <c r="CJ37" s="89">
        <f t="shared" si="13"/>
        <v>45</v>
      </c>
      <c r="CK37" s="379" t="e">
        <f t="shared" ca="1" si="22"/>
        <v>#NAME?</v>
      </c>
      <c r="CM37" s="391" t="s">
        <v>169</v>
      </c>
      <c r="CN37" s="84" t="s">
        <v>239</v>
      </c>
      <c r="CO37" s="84" t="s">
        <v>241</v>
      </c>
      <c r="CP37" s="87">
        <v>8041.910567183334</v>
      </c>
      <c r="CQ37" s="84" t="s">
        <v>197</v>
      </c>
      <c r="CR37" s="87">
        <f t="shared" si="39"/>
        <v>3657.6</v>
      </c>
      <c r="CS37" s="401">
        <v>0.02</v>
      </c>
      <c r="CT37" s="374">
        <f>IF(ISBLANK(CQ37),0,_xll.FlexuralStiffness(CQ37="Fixed",$L$12,CP37*10^4,CR37)/10^6)*CS37</f>
        <v>270.43826546466261</v>
      </c>
      <c r="CU37" s="84"/>
      <c r="CV37" s="84"/>
      <c r="CW37" s="87"/>
      <c r="CX37" s="84"/>
      <c r="CY37" s="84"/>
      <c r="CZ37" s="401">
        <v>1</v>
      </c>
      <c r="DA37" s="374">
        <f>IF(ISBLANK(CX37),0,_xll.FlexuralStiffness(CX37="Fixed",$L$12,CW37*10^4,CY37)/10^6)*CZ37</f>
        <v>0</v>
      </c>
      <c r="DB37" s="84"/>
      <c r="DC37" s="84"/>
      <c r="DD37" s="87"/>
      <c r="DE37" s="84"/>
      <c r="DF37" s="84"/>
      <c r="DG37" s="401">
        <v>1</v>
      </c>
      <c r="DH37" s="374">
        <f>IF(ISBLANK(DE37),0,_xll.FlexuralStiffness(DE37="Fixed",$L$12,DD37*10^4,DF37)/10^6)*DG37</f>
        <v>0</v>
      </c>
      <c r="DI37" s="84"/>
      <c r="DJ37" s="84"/>
      <c r="DK37" s="87"/>
      <c r="DL37" s="84"/>
      <c r="DM37" s="84"/>
      <c r="DN37" s="401">
        <v>1</v>
      </c>
      <c r="DO37" s="374">
        <f>IF(ISBLANK(DL37),0,_xll.FlexuralStiffness(DL37="Fixed",$L$12,DK37*10^4,DM37)/10^6)*DN37</f>
        <v>0</v>
      </c>
      <c r="DP37" s="84"/>
      <c r="DQ37" s="84"/>
      <c r="DR37" s="87"/>
      <c r="DS37" s="84"/>
      <c r="DT37" s="84"/>
      <c r="DU37" s="401">
        <v>1</v>
      </c>
      <c r="DV37" s="87" t="str">
        <f>IF(ISBLANK(DR37),"∞",_xll.FlexuralStiffness(DS37="Fixed",$L$12,DR37*10^4,DT37)/10^6)</f>
        <v>∞</v>
      </c>
      <c r="DW37" s="84"/>
      <c r="DX37" s="87"/>
      <c r="DY37" s="84"/>
      <c r="DZ37" s="401"/>
      <c r="EA37" s="84"/>
      <c r="EB37" s="401" t="b">
        <v>0</v>
      </c>
      <c r="EC37" s="401">
        <v>1</v>
      </c>
      <c r="ED37" s="87">
        <f t="shared" si="23"/>
        <v>0</v>
      </c>
      <c r="EE37" s="381">
        <f t="shared" si="24"/>
        <v>0</v>
      </c>
      <c r="EF37" s="381">
        <f t="shared" si="14"/>
        <v>270.43826546466261</v>
      </c>
      <c r="EG37" s="394" t="s">
        <v>169</v>
      </c>
      <c r="EH37" s="84" t="s">
        <v>243</v>
      </c>
      <c r="EI37" s="84" t="s">
        <v>241</v>
      </c>
      <c r="EJ37" s="87">
        <v>1378.6111813929601</v>
      </c>
      <c r="EK37" s="84" t="s">
        <v>197</v>
      </c>
      <c r="EL37" s="87">
        <f t="shared" si="40"/>
        <v>3657.6</v>
      </c>
      <c r="EM37" s="401">
        <v>0.02</v>
      </c>
      <c r="EN37" s="374">
        <f>IF(ISBLANK(EK37),0,_xll.FlexuralStiffness(EK37="Fixed",$L$12,EJ37*10^4,EL37)/10^6)*EM37</f>
        <v>46.360776277158266</v>
      </c>
      <c r="EO37" s="84"/>
      <c r="EP37" s="84"/>
      <c r="EQ37" s="87"/>
      <c r="ER37" s="84"/>
      <c r="ES37" s="84"/>
      <c r="ET37" s="401">
        <v>1</v>
      </c>
      <c r="EU37" s="374">
        <f>IF(ISBLANK(ER37),0,_xll.FlexuralStiffness(ER37="Fixed",$L$12,EQ37*10^4,ES37)/10^6)*ET37</f>
        <v>0</v>
      </c>
      <c r="EV37" s="84"/>
      <c r="EW37" s="84"/>
      <c r="EX37" s="87"/>
      <c r="EY37" s="84"/>
      <c r="EZ37" s="84"/>
      <c r="FA37" s="401">
        <v>1</v>
      </c>
      <c r="FB37" s="374">
        <f>IF(ISBLANK(EY37),0,_xll.FlexuralStiffness(EY37="Fixed",$L$12,EX37*10^4,EZ37)/10^6)*FA37</f>
        <v>0</v>
      </c>
      <c r="FC37" s="84"/>
      <c r="FD37" s="84"/>
      <c r="FE37" s="87"/>
      <c r="FF37" s="84"/>
      <c r="FG37" s="84"/>
      <c r="FH37" s="401">
        <v>1</v>
      </c>
      <c r="FI37" s="374">
        <f>IF(ISBLANK(FF37),0,_xll.FlexuralStiffness(FF37="Fixed",$L$12,FE37*10^4,FG37)/10^6)*FH37</f>
        <v>0</v>
      </c>
      <c r="FJ37" s="381">
        <f t="shared" si="15"/>
        <v>46.360776277158266</v>
      </c>
      <c r="FK37" s="365">
        <f t="shared" si="16"/>
        <v>270.43826546466261</v>
      </c>
      <c r="FL37" s="365">
        <f t="shared" si="25"/>
        <v>46.360776277158266</v>
      </c>
      <c r="FM37" s="89">
        <f t="shared" si="17"/>
        <v>45</v>
      </c>
      <c r="FN37" s="379">
        <f t="shared" si="26"/>
        <v>79.152562160890199</v>
      </c>
      <c r="FO37" s="368"/>
      <c r="FP37" s="1"/>
      <c r="FQ37" s="1"/>
      <c r="FR37" s="367"/>
      <c r="FS37" s="1"/>
      <c r="FT37" s="1"/>
      <c r="FU37" s="368"/>
      <c r="FV37" s="368"/>
      <c r="FW37" s="368"/>
      <c r="FX37" s="368"/>
      <c r="FY37" s="173"/>
    </row>
    <row r="38" spans="1:181" x14ac:dyDescent="0.25">
      <c r="A38" s="326"/>
      <c r="B38" s="430">
        <v>44</v>
      </c>
      <c r="C38" s="58" t="e">
        <f t="shared" ca="1" si="18"/>
        <v>#NAME?</v>
      </c>
      <c r="D38" s="203">
        <f t="shared" si="9"/>
        <v>79.152562160890199</v>
      </c>
      <c r="E38" s="326"/>
      <c r="F38" s="637"/>
      <c r="G38" s="46" t="s">
        <v>172</v>
      </c>
      <c r="H38" s="84" t="s">
        <v>396</v>
      </c>
      <c r="I38" s="108">
        <v>45</v>
      </c>
      <c r="J38" s="391" t="s">
        <v>169</v>
      </c>
      <c r="K38" s="84" t="s">
        <v>239</v>
      </c>
      <c r="L38" s="84" t="s">
        <v>241</v>
      </c>
      <c r="M38" s="87">
        <v>8041.910567183334</v>
      </c>
      <c r="N38" s="84" t="s">
        <v>197</v>
      </c>
      <c r="O38" s="87">
        <f t="shared" si="37"/>
        <v>3657.6</v>
      </c>
      <c r="P38" s="401">
        <v>0.02</v>
      </c>
      <c r="Q38" s="374">
        <f>IF(ISBLANK(N38),0,_xll.FlexuralStiffness(N38="Fixed",$L$12,M38*10^4,O38)/10^6)*P38</f>
        <v>270.43826546466261</v>
      </c>
      <c r="R38" s="84"/>
      <c r="S38" s="84"/>
      <c r="T38" s="87"/>
      <c r="U38" s="84"/>
      <c r="V38" s="84"/>
      <c r="W38" s="401">
        <v>1</v>
      </c>
      <c r="X38" s="374">
        <f>IF(ISBLANK(U38),0,_xll.FlexuralStiffness(U38="Fixed",$L$12,T38*10^4,V38)/10^6)*W38</f>
        <v>0</v>
      </c>
      <c r="Y38" s="84"/>
      <c r="Z38" s="84"/>
      <c r="AA38" s="87"/>
      <c r="AB38" s="84"/>
      <c r="AC38" s="84"/>
      <c r="AD38" s="401">
        <v>1</v>
      </c>
      <c r="AE38" s="374">
        <f>IF(ISBLANK(AB38),0,_xll.FlexuralStiffness(AB38="Fixed",$L$12,AA38*10^4,AC38)/10^6)*AD38</f>
        <v>0</v>
      </c>
      <c r="AF38" s="84"/>
      <c r="AG38" s="84"/>
      <c r="AH38" s="87"/>
      <c r="AI38" s="84"/>
      <c r="AJ38" s="84"/>
      <c r="AK38" s="401">
        <v>1</v>
      </c>
      <c r="AL38" s="374">
        <f>IF(ISBLANK(AI38),0,_xll.FlexuralStiffness(AI38="Fixed",$L$12,AH38*10^4,AJ38)/10^6)*AK38</f>
        <v>0</v>
      </c>
      <c r="AM38" s="84"/>
      <c r="AN38" s="84"/>
      <c r="AO38" s="87"/>
      <c r="AP38" s="84"/>
      <c r="AQ38" s="84"/>
      <c r="AR38" s="401">
        <v>1</v>
      </c>
      <c r="AS38" s="87" t="str">
        <f>IF(ISBLANK(AO38),"∞",_xll.FlexuralStiffness(AP38="Fixed",$L$12,AO38*10^4,AQ38)/10^6)</f>
        <v>∞</v>
      </c>
      <c r="AT38" s="84"/>
      <c r="AU38" s="87"/>
      <c r="AV38" s="84"/>
      <c r="AW38" s="401"/>
      <c r="AX38" s="84"/>
      <c r="AY38" s="401" t="b">
        <v>0</v>
      </c>
      <c r="AZ38" s="401">
        <v>1</v>
      </c>
      <c r="BA38" s="87">
        <f t="shared" si="19"/>
        <v>0</v>
      </c>
      <c r="BB38" s="381">
        <f t="shared" si="20"/>
        <v>0</v>
      </c>
      <c r="BC38" s="381">
        <f t="shared" si="10"/>
        <v>270.43826546466261</v>
      </c>
      <c r="BD38" s="394" t="s">
        <v>169</v>
      </c>
      <c r="BE38" s="84" t="s">
        <v>243</v>
      </c>
      <c r="BF38" s="84" t="s">
        <v>241</v>
      </c>
      <c r="BG38" s="87">
        <v>1378.6111813929601</v>
      </c>
      <c r="BH38" s="84" t="s">
        <v>197</v>
      </c>
      <c r="BI38" s="87">
        <f t="shared" si="38"/>
        <v>3657.6</v>
      </c>
      <c r="BJ38" s="401">
        <v>0.02</v>
      </c>
      <c r="BK38" s="374">
        <f>IF(ISBLANK(BH38),0,_xll.FlexuralStiffness(BH38="Fixed",$L$12,BG38*10^4,BI38)/10^6)*BJ38</f>
        <v>46.360776277158266</v>
      </c>
      <c r="BL38" s="84"/>
      <c r="BM38" s="84"/>
      <c r="BN38" s="87"/>
      <c r="BO38" s="84"/>
      <c r="BP38" s="84"/>
      <c r="BQ38" s="401">
        <v>1</v>
      </c>
      <c r="BR38" s="374">
        <f>IF(ISBLANK(BO38),0,_xll.FlexuralStiffness(BO38="Fixed",$L$12,BN38*10^4,BP38)/10^6)*BQ38</f>
        <v>0</v>
      </c>
      <c r="BS38" s="84"/>
      <c r="BT38" s="84"/>
      <c r="BU38" s="87"/>
      <c r="BV38" s="84"/>
      <c r="BW38" s="84"/>
      <c r="BX38" s="401">
        <v>1</v>
      </c>
      <c r="BY38" s="374">
        <f>IF(ISBLANK(BV38),0,_xll.FlexuralStiffness(BV38="Fixed",$L$12,BU38*10^4,BW38)/10^6)*BX38</f>
        <v>0</v>
      </c>
      <c r="BZ38" s="84"/>
      <c r="CA38" s="84"/>
      <c r="CB38" s="87"/>
      <c r="CC38" s="84"/>
      <c r="CD38" s="84"/>
      <c r="CE38" s="401">
        <v>1</v>
      </c>
      <c r="CF38" s="374">
        <f>IF(ISBLANK(CC38),0,_xll.FlexuralStiffness(CC38="Fixed",$L$12,CB38*10^4,CD38)/10^6)*CE38</f>
        <v>0</v>
      </c>
      <c r="CG38" s="381">
        <f t="shared" si="11"/>
        <v>46.360776277158266</v>
      </c>
      <c r="CH38" s="365">
        <f t="shared" si="12"/>
        <v>270.43826546466261</v>
      </c>
      <c r="CI38" s="365">
        <f t="shared" si="21"/>
        <v>46.360776277158266</v>
      </c>
      <c r="CJ38" s="89">
        <f t="shared" si="13"/>
        <v>45</v>
      </c>
      <c r="CK38" s="379" t="e">
        <f t="shared" ca="1" si="22"/>
        <v>#NAME?</v>
      </c>
      <c r="CM38" s="391" t="s">
        <v>169</v>
      </c>
      <c r="CN38" s="84" t="s">
        <v>239</v>
      </c>
      <c r="CO38" s="84" t="s">
        <v>241</v>
      </c>
      <c r="CP38" s="87">
        <v>8041.910567183334</v>
      </c>
      <c r="CQ38" s="84" t="s">
        <v>197</v>
      </c>
      <c r="CR38" s="87">
        <f t="shared" si="39"/>
        <v>3657.6</v>
      </c>
      <c r="CS38" s="401">
        <v>0.02</v>
      </c>
      <c r="CT38" s="374">
        <f>IF(ISBLANK(CQ38),0,_xll.FlexuralStiffness(CQ38="Fixed",$L$12,CP38*10^4,CR38)/10^6)*CS38</f>
        <v>270.43826546466261</v>
      </c>
      <c r="CU38" s="84"/>
      <c r="CV38" s="84"/>
      <c r="CW38" s="87"/>
      <c r="CX38" s="84"/>
      <c r="CY38" s="84"/>
      <c r="CZ38" s="401">
        <v>1</v>
      </c>
      <c r="DA38" s="374">
        <f>IF(ISBLANK(CX38),0,_xll.FlexuralStiffness(CX38="Fixed",$L$12,CW38*10^4,CY38)/10^6)*CZ38</f>
        <v>0</v>
      </c>
      <c r="DB38" s="84"/>
      <c r="DC38" s="84"/>
      <c r="DD38" s="87"/>
      <c r="DE38" s="84"/>
      <c r="DF38" s="84"/>
      <c r="DG38" s="401">
        <v>1</v>
      </c>
      <c r="DH38" s="374">
        <f>IF(ISBLANK(DE38),0,_xll.FlexuralStiffness(DE38="Fixed",$L$12,DD38*10^4,DF38)/10^6)*DG38</f>
        <v>0</v>
      </c>
      <c r="DI38" s="84"/>
      <c r="DJ38" s="84"/>
      <c r="DK38" s="87"/>
      <c r="DL38" s="84"/>
      <c r="DM38" s="84"/>
      <c r="DN38" s="401">
        <v>1</v>
      </c>
      <c r="DO38" s="374">
        <f>IF(ISBLANK(DL38),0,_xll.FlexuralStiffness(DL38="Fixed",$L$12,DK38*10^4,DM38)/10^6)*DN38</f>
        <v>0</v>
      </c>
      <c r="DP38" s="84"/>
      <c r="DQ38" s="84"/>
      <c r="DR38" s="87"/>
      <c r="DS38" s="84"/>
      <c r="DT38" s="84"/>
      <c r="DU38" s="401">
        <v>1</v>
      </c>
      <c r="DV38" s="87" t="str">
        <f>IF(ISBLANK(DR38),"∞",_xll.FlexuralStiffness(DS38="Fixed",$L$12,DR38*10^4,DT38)/10^6)</f>
        <v>∞</v>
      </c>
      <c r="DW38" s="84"/>
      <c r="DX38" s="87"/>
      <c r="DY38" s="84"/>
      <c r="DZ38" s="401"/>
      <c r="EA38" s="84"/>
      <c r="EB38" s="401" t="b">
        <v>0</v>
      </c>
      <c r="EC38" s="401">
        <v>1</v>
      </c>
      <c r="ED38" s="87">
        <f t="shared" si="23"/>
        <v>0</v>
      </c>
      <c r="EE38" s="381">
        <f t="shared" si="24"/>
        <v>0</v>
      </c>
      <c r="EF38" s="381">
        <f t="shared" si="14"/>
        <v>270.43826546466261</v>
      </c>
      <c r="EG38" s="394" t="s">
        <v>169</v>
      </c>
      <c r="EH38" s="84" t="s">
        <v>243</v>
      </c>
      <c r="EI38" s="84" t="s">
        <v>241</v>
      </c>
      <c r="EJ38" s="87">
        <v>1378.6111813929601</v>
      </c>
      <c r="EK38" s="84" t="s">
        <v>197</v>
      </c>
      <c r="EL38" s="87">
        <f t="shared" si="40"/>
        <v>3657.6</v>
      </c>
      <c r="EM38" s="401">
        <v>0.02</v>
      </c>
      <c r="EN38" s="374">
        <f>IF(ISBLANK(EK38),0,_xll.FlexuralStiffness(EK38="Fixed",$L$12,EJ38*10^4,EL38)/10^6)*EM38</f>
        <v>46.360776277158266</v>
      </c>
      <c r="EO38" s="84"/>
      <c r="EP38" s="84"/>
      <c r="EQ38" s="87"/>
      <c r="ER38" s="84"/>
      <c r="ES38" s="84"/>
      <c r="ET38" s="401">
        <v>1</v>
      </c>
      <c r="EU38" s="374">
        <f>IF(ISBLANK(ER38),0,_xll.FlexuralStiffness(ER38="Fixed",$L$12,EQ38*10^4,ES38)/10^6)*ET38</f>
        <v>0</v>
      </c>
      <c r="EV38" s="84"/>
      <c r="EW38" s="84"/>
      <c r="EX38" s="87"/>
      <c r="EY38" s="84"/>
      <c r="EZ38" s="84"/>
      <c r="FA38" s="401">
        <v>1</v>
      </c>
      <c r="FB38" s="374">
        <f>IF(ISBLANK(EY38),0,_xll.FlexuralStiffness(EY38="Fixed",$L$12,EX38*10^4,EZ38)/10^6)*FA38</f>
        <v>0</v>
      </c>
      <c r="FC38" s="84"/>
      <c r="FD38" s="84"/>
      <c r="FE38" s="87"/>
      <c r="FF38" s="84"/>
      <c r="FG38" s="84"/>
      <c r="FH38" s="401">
        <v>1</v>
      </c>
      <c r="FI38" s="374">
        <f>IF(ISBLANK(FF38),0,_xll.FlexuralStiffness(FF38="Fixed",$L$12,FE38*10^4,FG38)/10^6)*FH38</f>
        <v>0</v>
      </c>
      <c r="FJ38" s="381">
        <f t="shared" si="15"/>
        <v>46.360776277158266</v>
      </c>
      <c r="FK38" s="365">
        <f t="shared" si="16"/>
        <v>270.43826546466261</v>
      </c>
      <c r="FL38" s="365">
        <f t="shared" si="25"/>
        <v>46.360776277158266</v>
      </c>
      <c r="FM38" s="89">
        <f t="shared" si="17"/>
        <v>45</v>
      </c>
      <c r="FN38" s="379">
        <f t="shared" si="26"/>
        <v>79.152562160890199</v>
      </c>
      <c r="FO38" s="368"/>
      <c r="FP38" s="1"/>
      <c r="FQ38" s="1"/>
      <c r="FR38" s="367"/>
      <c r="FS38" s="1"/>
      <c r="FT38" s="1"/>
      <c r="FU38" s="368"/>
      <c r="FV38" s="368"/>
      <c r="FW38" s="368"/>
      <c r="FX38" s="368"/>
      <c r="FY38" s="173"/>
    </row>
    <row r="39" spans="1:181" x14ac:dyDescent="0.25">
      <c r="A39" s="326"/>
      <c r="B39" s="429">
        <v>45</v>
      </c>
      <c r="C39" s="19" t="e">
        <f t="shared" ca="1" si="18"/>
        <v>#NAME?</v>
      </c>
      <c r="D39" s="204">
        <f t="shared" si="9"/>
        <v>79.152562160890199</v>
      </c>
      <c r="E39" s="326"/>
      <c r="F39" s="638"/>
      <c r="G39" s="6" t="s">
        <v>86</v>
      </c>
      <c r="H39" s="9" t="s">
        <v>396</v>
      </c>
      <c r="I39" s="111">
        <v>45</v>
      </c>
      <c r="J39" s="392" t="s">
        <v>169</v>
      </c>
      <c r="K39" s="9" t="s">
        <v>239</v>
      </c>
      <c r="L39" s="9" t="s">
        <v>241</v>
      </c>
      <c r="M39" s="104">
        <v>8041.910567183334</v>
      </c>
      <c r="N39" s="9" t="s">
        <v>197</v>
      </c>
      <c r="O39" s="104">
        <f t="shared" si="37"/>
        <v>3657.6</v>
      </c>
      <c r="P39" s="402">
        <v>0.02</v>
      </c>
      <c r="Q39" s="375">
        <f>IF(ISBLANK(N39),0,_xll.FlexuralStiffness(N39="Fixed",$L$12,M39*10^4,O39)/10^6)*P39</f>
        <v>270.43826546466261</v>
      </c>
      <c r="R39" s="9"/>
      <c r="S39" s="9"/>
      <c r="T39" s="104"/>
      <c r="U39" s="9"/>
      <c r="V39" s="9"/>
      <c r="W39" s="402">
        <v>1</v>
      </c>
      <c r="X39" s="375">
        <f>IF(ISBLANK(U39),0,_xll.FlexuralStiffness(U39="Fixed",$L$12,T39*10^4,V39)/10^6)*W39</f>
        <v>0</v>
      </c>
      <c r="Y39" s="9"/>
      <c r="Z39" s="9"/>
      <c r="AA39" s="104"/>
      <c r="AB39" s="9"/>
      <c r="AC39" s="9"/>
      <c r="AD39" s="402">
        <v>1</v>
      </c>
      <c r="AE39" s="375">
        <f>IF(ISBLANK(AB39),0,_xll.FlexuralStiffness(AB39="Fixed",$L$12,AA39*10^4,AC39)/10^6)*AD39</f>
        <v>0</v>
      </c>
      <c r="AF39" s="9"/>
      <c r="AG39" s="9"/>
      <c r="AH39" s="104"/>
      <c r="AI39" s="9"/>
      <c r="AJ39" s="9"/>
      <c r="AK39" s="402">
        <v>1</v>
      </c>
      <c r="AL39" s="375">
        <f>IF(ISBLANK(AI39),0,_xll.FlexuralStiffness(AI39="Fixed",$L$12,AH39*10^4,AJ39)/10^6)*AK39</f>
        <v>0</v>
      </c>
      <c r="AM39" s="9"/>
      <c r="AN39" s="9"/>
      <c r="AO39" s="104"/>
      <c r="AP39" s="9"/>
      <c r="AQ39" s="9"/>
      <c r="AR39" s="402">
        <v>1</v>
      </c>
      <c r="AS39" s="104" t="str">
        <f>IF(ISBLANK(AO39),"∞",_xll.FlexuralStiffness(AP39="Fixed",$L$12,AO39*10^4,AQ39)/10^6)</f>
        <v>∞</v>
      </c>
      <c r="AT39" s="9"/>
      <c r="AU39" s="104"/>
      <c r="AV39" s="9"/>
      <c r="AW39" s="402"/>
      <c r="AX39" s="9"/>
      <c r="AY39" s="402" t="b">
        <v>0</v>
      </c>
      <c r="AZ39" s="402">
        <v>1</v>
      </c>
      <c r="BA39" s="104">
        <f t="shared" si="19"/>
        <v>0</v>
      </c>
      <c r="BB39" s="382">
        <f t="shared" si="20"/>
        <v>0</v>
      </c>
      <c r="BC39" s="382">
        <f t="shared" si="10"/>
        <v>270.43826546466261</v>
      </c>
      <c r="BD39" s="395" t="s">
        <v>169</v>
      </c>
      <c r="BE39" s="9" t="s">
        <v>243</v>
      </c>
      <c r="BF39" s="9" t="s">
        <v>241</v>
      </c>
      <c r="BG39" s="104">
        <v>1378.6111813929601</v>
      </c>
      <c r="BH39" s="9" t="s">
        <v>197</v>
      </c>
      <c r="BI39" s="104">
        <f t="shared" si="38"/>
        <v>3657.6</v>
      </c>
      <c r="BJ39" s="402">
        <v>0.02</v>
      </c>
      <c r="BK39" s="375">
        <f>IF(ISBLANK(BH39),0,_xll.FlexuralStiffness(BH39="Fixed",$L$12,BG39*10^4,BI39)/10^6)*BJ39</f>
        <v>46.360776277158266</v>
      </c>
      <c r="BL39" s="9"/>
      <c r="BM39" s="9"/>
      <c r="BN39" s="104"/>
      <c r="BO39" s="9"/>
      <c r="BP39" s="9"/>
      <c r="BQ39" s="402">
        <v>1</v>
      </c>
      <c r="BR39" s="375">
        <f>IF(ISBLANK(BO39),0,_xll.FlexuralStiffness(BO39="Fixed",$L$12,BN39*10^4,BP39)/10^6)*BQ39</f>
        <v>0</v>
      </c>
      <c r="BS39" s="9"/>
      <c r="BT39" s="9"/>
      <c r="BU39" s="104"/>
      <c r="BV39" s="9"/>
      <c r="BW39" s="9"/>
      <c r="BX39" s="402">
        <v>1</v>
      </c>
      <c r="BY39" s="375">
        <f>IF(ISBLANK(BV39),0,_xll.FlexuralStiffness(BV39="Fixed",$L$12,BU39*10^4,BW39)/10^6)*BX39</f>
        <v>0</v>
      </c>
      <c r="BZ39" s="9"/>
      <c r="CA39" s="9"/>
      <c r="CB39" s="104"/>
      <c r="CC39" s="9"/>
      <c r="CD39" s="9"/>
      <c r="CE39" s="402">
        <v>1</v>
      </c>
      <c r="CF39" s="375">
        <f>IF(ISBLANK(CC39),0,_xll.FlexuralStiffness(CC39="Fixed",$L$12,CB39*10^4,CD39)/10^6)*CE39</f>
        <v>0</v>
      </c>
      <c r="CG39" s="382">
        <f t="shared" si="11"/>
        <v>46.360776277158266</v>
      </c>
      <c r="CH39" s="366">
        <f t="shared" si="12"/>
        <v>270.43826546466261</v>
      </c>
      <c r="CI39" s="366">
        <f t="shared" si="21"/>
        <v>46.360776277158266</v>
      </c>
      <c r="CJ39" s="14">
        <f>$I39</f>
        <v>45</v>
      </c>
      <c r="CK39" s="380" t="e">
        <f t="shared" ca="1" si="22"/>
        <v>#NAME?</v>
      </c>
      <c r="CM39" s="392" t="s">
        <v>169</v>
      </c>
      <c r="CN39" s="9" t="s">
        <v>239</v>
      </c>
      <c r="CO39" s="9" t="s">
        <v>241</v>
      </c>
      <c r="CP39" s="104">
        <v>8041.910567183334</v>
      </c>
      <c r="CQ39" s="9" t="s">
        <v>197</v>
      </c>
      <c r="CR39" s="104">
        <f t="shared" si="39"/>
        <v>3657.6</v>
      </c>
      <c r="CS39" s="402">
        <v>0.02</v>
      </c>
      <c r="CT39" s="375">
        <f>IF(ISBLANK(CQ39),0,_xll.FlexuralStiffness(CQ39="Fixed",$L$12,CP39*10^4,CR39)/10^6)*CS39</f>
        <v>270.43826546466261</v>
      </c>
      <c r="CU39" s="9"/>
      <c r="CV39" s="9"/>
      <c r="CW39" s="104"/>
      <c r="CX39" s="9"/>
      <c r="CY39" s="9"/>
      <c r="CZ39" s="402">
        <v>1</v>
      </c>
      <c r="DA39" s="375">
        <f>IF(ISBLANK(CX39),0,_xll.FlexuralStiffness(CX39="Fixed",$L$12,CW39*10^4,CY39)/10^6)*CZ39</f>
        <v>0</v>
      </c>
      <c r="DB39" s="9"/>
      <c r="DC39" s="9"/>
      <c r="DD39" s="104"/>
      <c r="DE39" s="9"/>
      <c r="DF39" s="9"/>
      <c r="DG39" s="402">
        <v>1</v>
      </c>
      <c r="DH39" s="375">
        <f>IF(ISBLANK(DE39),0,_xll.FlexuralStiffness(DE39="Fixed",$L$12,DD39*10^4,DF39)/10^6)*DG39</f>
        <v>0</v>
      </c>
      <c r="DI39" s="9"/>
      <c r="DJ39" s="9"/>
      <c r="DK39" s="104"/>
      <c r="DL39" s="9"/>
      <c r="DM39" s="9"/>
      <c r="DN39" s="402">
        <v>1</v>
      </c>
      <c r="DO39" s="375">
        <f>IF(ISBLANK(DL39),0,_xll.FlexuralStiffness(DL39="Fixed",$L$12,DK39*10^4,DM39)/10^6)*DN39</f>
        <v>0</v>
      </c>
      <c r="DP39" s="9"/>
      <c r="DQ39" s="9"/>
      <c r="DR39" s="104"/>
      <c r="DS39" s="9"/>
      <c r="DT39" s="9"/>
      <c r="DU39" s="402">
        <v>1</v>
      </c>
      <c r="DV39" s="104" t="str">
        <f>IF(ISBLANK(DR39),"∞",_xll.FlexuralStiffness(DS39="Fixed",$L$12,DR39*10^4,DT39)/10^6)</f>
        <v>∞</v>
      </c>
      <c r="DW39" s="9"/>
      <c r="DX39" s="104"/>
      <c r="DY39" s="9"/>
      <c r="DZ39" s="402"/>
      <c r="EA39" s="9"/>
      <c r="EB39" s="402" t="b">
        <v>0</v>
      </c>
      <c r="EC39" s="402">
        <v>1</v>
      </c>
      <c r="ED39" s="104">
        <f t="shared" si="23"/>
        <v>0</v>
      </c>
      <c r="EE39" s="382">
        <f t="shared" si="24"/>
        <v>0</v>
      </c>
      <c r="EF39" s="382">
        <f t="shared" si="14"/>
        <v>270.43826546466261</v>
      </c>
      <c r="EG39" s="395" t="s">
        <v>169</v>
      </c>
      <c r="EH39" s="9" t="s">
        <v>243</v>
      </c>
      <c r="EI39" s="9" t="s">
        <v>241</v>
      </c>
      <c r="EJ39" s="104">
        <v>1378.6111813929601</v>
      </c>
      <c r="EK39" s="9" t="s">
        <v>197</v>
      </c>
      <c r="EL39" s="104">
        <f t="shared" si="40"/>
        <v>3657.6</v>
      </c>
      <c r="EM39" s="402">
        <v>0.02</v>
      </c>
      <c r="EN39" s="375">
        <f>IF(ISBLANK(EK39),0,_xll.FlexuralStiffness(EK39="Fixed",$L$12,EJ39*10^4,EL39)/10^6)*EM39</f>
        <v>46.360776277158266</v>
      </c>
      <c r="EO39" s="9"/>
      <c r="EP39" s="9"/>
      <c r="EQ39" s="104"/>
      <c r="ER39" s="9"/>
      <c r="ES39" s="9"/>
      <c r="ET39" s="402">
        <v>1</v>
      </c>
      <c r="EU39" s="375">
        <f>IF(ISBLANK(ER39),0,_xll.FlexuralStiffness(ER39="Fixed",$L$12,EQ39*10^4,ES39)/10^6)*ET39</f>
        <v>0</v>
      </c>
      <c r="EV39" s="9"/>
      <c r="EW39" s="9"/>
      <c r="EX39" s="104"/>
      <c r="EY39" s="9"/>
      <c r="EZ39" s="9"/>
      <c r="FA39" s="402">
        <v>1</v>
      </c>
      <c r="FB39" s="375">
        <f>IF(ISBLANK(EY39),0,_xll.FlexuralStiffness(EY39="Fixed",$L$12,EX39*10^4,EZ39)/10^6)*FA39</f>
        <v>0</v>
      </c>
      <c r="FC39" s="9"/>
      <c r="FD39" s="9"/>
      <c r="FE39" s="104"/>
      <c r="FF39" s="9"/>
      <c r="FG39" s="9"/>
      <c r="FH39" s="402">
        <v>1</v>
      </c>
      <c r="FI39" s="375">
        <f>IF(ISBLANK(FF39),0,_xll.FlexuralStiffness(FF39="Fixed",$L$12,FE39*10^4,FG39)/10^6)*FH39</f>
        <v>0</v>
      </c>
      <c r="FJ39" s="382">
        <f t="shared" si="15"/>
        <v>46.360776277158266</v>
      </c>
      <c r="FK39" s="366">
        <f t="shared" si="16"/>
        <v>270.43826546466261</v>
      </c>
      <c r="FL39" s="366">
        <f t="shared" si="25"/>
        <v>46.360776277158266</v>
      </c>
      <c r="FM39" s="14">
        <f>$I39</f>
        <v>45</v>
      </c>
      <c r="FN39" s="380">
        <f t="shared" si="26"/>
        <v>79.152562160890199</v>
      </c>
      <c r="FO39" s="368"/>
      <c r="FP39" s="1"/>
      <c r="FQ39" s="1"/>
      <c r="FR39" s="367"/>
      <c r="FS39" s="1"/>
      <c r="FT39" s="1"/>
      <c r="FU39" s="368"/>
      <c r="FV39" s="368"/>
      <c r="FW39" s="368"/>
      <c r="FX39" s="368"/>
      <c r="FY39" s="173"/>
    </row>
    <row r="40" spans="1:181" s="326" customFormat="1" x14ac:dyDescent="0.25">
      <c r="B40" s="430">
        <v>46</v>
      </c>
      <c r="C40" s="58" t="e">
        <f t="shared" ca="1" si="18"/>
        <v>#NAME?</v>
      </c>
      <c r="D40" s="203">
        <f t="shared" si="9"/>
        <v>3957.6281080445096</v>
      </c>
      <c r="F40" s="636" t="s">
        <v>520</v>
      </c>
      <c r="G40" s="289" t="s">
        <v>21</v>
      </c>
      <c r="H40" s="290" t="s">
        <v>396</v>
      </c>
      <c r="I40" s="431">
        <v>45</v>
      </c>
      <c r="J40" s="410" t="s">
        <v>169</v>
      </c>
      <c r="K40" s="290" t="s">
        <v>239</v>
      </c>
      <c r="L40" s="290" t="s">
        <v>241</v>
      </c>
      <c r="M40" s="411">
        <v>8041.910567183334</v>
      </c>
      <c r="N40" s="290" t="s">
        <v>197</v>
      </c>
      <c r="O40" s="411">
        <f>12*12*25.4</f>
        <v>3657.6</v>
      </c>
      <c r="P40" s="413">
        <v>1</v>
      </c>
      <c r="Q40" s="412">
        <f>IF(ISBLANK(N40),0,_xll.FlexuralStiffness(N40="Fixed",$L$12,M40*10^4,O40)/10^6)*P40</f>
        <v>13521.913273233131</v>
      </c>
      <c r="R40" s="290"/>
      <c r="S40" s="290"/>
      <c r="T40" s="411"/>
      <c r="U40" s="290"/>
      <c r="V40" s="290"/>
      <c r="W40" s="413">
        <v>1</v>
      </c>
      <c r="X40" s="412">
        <f>IF(ISBLANK(U40),0,_xll.FlexuralStiffness(U40="Fixed",$L$12,T40*10^4,V40)/10^6)*W40</f>
        <v>0</v>
      </c>
      <c r="Y40" s="290"/>
      <c r="Z40" s="290"/>
      <c r="AA40" s="411"/>
      <c r="AB40" s="290"/>
      <c r="AC40" s="290"/>
      <c r="AD40" s="413">
        <v>1</v>
      </c>
      <c r="AE40" s="412">
        <f>IF(ISBLANK(AB40),0,_xll.FlexuralStiffness(AB40="Fixed",$L$12,AA40*10^4,AC40)/10^6)*AD40</f>
        <v>0</v>
      </c>
      <c r="AF40" s="290"/>
      <c r="AG40" s="290"/>
      <c r="AH40" s="411"/>
      <c r="AI40" s="290"/>
      <c r="AJ40" s="290"/>
      <c r="AK40" s="413">
        <v>1</v>
      </c>
      <c r="AL40" s="412">
        <f>IF(ISBLANK(AI40),0,_xll.FlexuralStiffness(AI40="Fixed",$L$12,AH40*10^4,AJ40)/10^6)*AK40</f>
        <v>0</v>
      </c>
      <c r="AM40" s="290"/>
      <c r="AN40" s="290"/>
      <c r="AO40" s="411"/>
      <c r="AP40" s="290"/>
      <c r="AQ40" s="290"/>
      <c r="AR40" s="413">
        <v>1</v>
      </c>
      <c r="AS40" s="87" t="str">
        <f>IF(ISBLANK(AO40),"∞",_xll.FlexuralStiffness(AP40="Fixed",$L$12,AO40*10^4,AQ40)/10^6)</f>
        <v>∞</v>
      </c>
      <c r="AT40" s="290"/>
      <c r="AU40" s="411"/>
      <c r="AV40" s="290"/>
      <c r="AW40" s="413"/>
      <c r="AX40" s="290"/>
      <c r="AY40" s="413" t="b">
        <v>0</v>
      </c>
      <c r="AZ40" s="413">
        <v>1</v>
      </c>
      <c r="BA40" s="411">
        <f t="shared" ref="BA40:BA45" si="41">_xll.TorsionalStiffness(AU40*10^4,AV40*10^6,AW40*AX40,AX40,$L$12,$L$13,AY40)/10^6*AZ40</f>
        <v>0</v>
      </c>
      <c r="BB40" s="414">
        <f t="shared" ref="BB40:BB45" si="42">IF(AS40="∞",BA40,1/(1/BA40+1/AS40))</f>
        <v>0</v>
      </c>
      <c r="BC40" s="414">
        <f t="shared" si="10"/>
        <v>13521.913273233131</v>
      </c>
      <c r="BD40" s="415" t="s">
        <v>169</v>
      </c>
      <c r="BE40" s="290" t="s">
        <v>243</v>
      </c>
      <c r="BF40" s="290" t="s">
        <v>241</v>
      </c>
      <c r="BG40" s="411">
        <v>1378.6111813929601</v>
      </c>
      <c r="BH40" s="290" t="s">
        <v>197</v>
      </c>
      <c r="BI40" s="411">
        <f>12*12*25.4</f>
        <v>3657.6</v>
      </c>
      <c r="BJ40" s="413">
        <v>1</v>
      </c>
      <c r="BK40" s="412">
        <f>IF(ISBLANK(BH40),0,_xll.FlexuralStiffness(BH40="Fixed",$L$12,BG40*10^4,BI40)/10^6)*BJ40</f>
        <v>2318.0388138579133</v>
      </c>
      <c r="BL40" s="290"/>
      <c r="BM40" s="290"/>
      <c r="BN40" s="411"/>
      <c r="BO40" s="290"/>
      <c r="BP40" s="290"/>
      <c r="BQ40" s="413">
        <v>1</v>
      </c>
      <c r="BR40" s="412">
        <f>IF(ISBLANK(BO40),0,_xll.FlexuralStiffness(BO40="Fixed",$L$12,BN40*10^4,BP40)/10^6)*BQ40</f>
        <v>0</v>
      </c>
      <c r="BS40" s="290"/>
      <c r="BT40" s="290"/>
      <c r="BU40" s="411"/>
      <c r="BV40" s="290"/>
      <c r="BW40" s="290"/>
      <c r="BX40" s="413">
        <v>1</v>
      </c>
      <c r="BY40" s="412">
        <f>IF(ISBLANK(BV40),0,_xll.FlexuralStiffness(BV40="Fixed",$L$12,BU40*10^4,BW40)/10^6)*BX40</f>
        <v>0</v>
      </c>
      <c r="BZ40" s="290"/>
      <c r="CA40" s="290"/>
      <c r="CB40" s="411"/>
      <c r="CC40" s="290"/>
      <c r="CD40" s="290"/>
      <c r="CE40" s="413">
        <v>1</v>
      </c>
      <c r="CF40" s="412">
        <f>IF(ISBLANK(CC40),0,_xll.FlexuralStiffness(CC40="Fixed",$L$12,CB40*10^4,CD40)/10^6)*CE40</f>
        <v>0</v>
      </c>
      <c r="CG40" s="414">
        <f t="shared" ref="CG40:CG45" si="43">IF(BD40="Yes","∞",IF(BD40="No",SUM(BK40,BR40,BY40,CF40),#N/A))</f>
        <v>2318.0388138579133</v>
      </c>
      <c r="CH40" s="416">
        <f t="shared" ref="CH40:CH45" si="44">BC40</f>
        <v>13521.913273233131</v>
      </c>
      <c r="CI40" s="416">
        <f t="shared" ref="CI40:CI45" si="45">CG40</f>
        <v>2318.0388138579133</v>
      </c>
      <c r="CJ40" s="334">
        <f t="shared" si="13"/>
        <v>45</v>
      </c>
      <c r="CK40" s="417" t="e">
        <f t="shared" ref="CK40:CK45" ca="1" si="46">EffectiveStiffness(CH40,CI40,RADIANS(CJ40))</f>
        <v>#NAME?</v>
      </c>
      <c r="CM40" s="410" t="s">
        <v>169</v>
      </c>
      <c r="CN40" s="290" t="s">
        <v>239</v>
      </c>
      <c r="CO40" s="290" t="s">
        <v>241</v>
      </c>
      <c r="CP40" s="411">
        <v>8041.910567183334</v>
      </c>
      <c r="CQ40" s="290" t="s">
        <v>197</v>
      </c>
      <c r="CR40" s="411">
        <f>12*12*25.4</f>
        <v>3657.6</v>
      </c>
      <c r="CS40" s="413">
        <v>1</v>
      </c>
      <c r="CT40" s="412">
        <f>IF(ISBLANK(CQ40),0,_xll.FlexuralStiffness(CQ40="Fixed",$L$12,CP40*10^4,CR40)/10^6)*CS40</f>
        <v>13521.913273233131</v>
      </c>
      <c r="CU40" s="290"/>
      <c r="CV40" s="290"/>
      <c r="CW40" s="411"/>
      <c r="CX40" s="290"/>
      <c r="CY40" s="290"/>
      <c r="CZ40" s="413">
        <v>1</v>
      </c>
      <c r="DA40" s="412">
        <f>IF(ISBLANK(CX40),0,_xll.FlexuralStiffness(CX40="Fixed",$L$12,CW40*10^4,CY40)/10^6)*CZ40</f>
        <v>0</v>
      </c>
      <c r="DB40" s="290"/>
      <c r="DC40" s="290"/>
      <c r="DD40" s="411"/>
      <c r="DE40" s="290"/>
      <c r="DF40" s="290"/>
      <c r="DG40" s="413">
        <v>1</v>
      </c>
      <c r="DH40" s="412">
        <f>IF(ISBLANK(DE40),0,_xll.FlexuralStiffness(DE40="Fixed",$L$12,DD40*10^4,DF40)/10^6)*DG40</f>
        <v>0</v>
      </c>
      <c r="DI40" s="290"/>
      <c r="DJ40" s="290"/>
      <c r="DK40" s="411"/>
      <c r="DL40" s="290"/>
      <c r="DM40" s="290"/>
      <c r="DN40" s="413">
        <v>1</v>
      </c>
      <c r="DO40" s="412">
        <f>IF(ISBLANK(DL40),0,_xll.FlexuralStiffness(DL40="Fixed",$L$12,DK40*10^4,DM40)/10^6)*DN40</f>
        <v>0</v>
      </c>
      <c r="DP40" s="290"/>
      <c r="DQ40" s="290"/>
      <c r="DR40" s="411"/>
      <c r="DS40" s="290"/>
      <c r="DT40" s="290"/>
      <c r="DU40" s="413">
        <v>1</v>
      </c>
      <c r="DV40" s="87" t="str">
        <f>IF(ISBLANK(DR40),"∞",_xll.FlexuralStiffness(DS40="Fixed",$L$12,DR40*10^4,DT40)/10^6)</f>
        <v>∞</v>
      </c>
      <c r="DW40" s="290"/>
      <c r="DX40" s="411"/>
      <c r="DY40" s="290"/>
      <c r="DZ40" s="413"/>
      <c r="EA40" s="290"/>
      <c r="EB40" s="413" t="b">
        <v>0</v>
      </c>
      <c r="EC40" s="413">
        <v>1</v>
      </c>
      <c r="ED40" s="411">
        <f t="shared" ref="ED40:ED45" si="47">_xll.TorsionalStiffness(DX40*10^4,DY40*10^6,DZ40*EA40,EA40,$L$12,$L$13,EB40)/10^6*EC40</f>
        <v>0</v>
      </c>
      <c r="EE40" s="414">
        <f t="shared" ref="EE40:EE45" si="48">IF(DV40="∞",ED40,1/(1/ED40+1/DV40))</f>
        <v>0</v>
      </c>
      <c r="EF40" s="414">
        <f t="shared" si="14"/>
        <v>13521.913273233131</v>
      </c>
      <c r="EG40" s="415" t="s">
        <v>169</v>
      </c>
      <c r="EH40" s="290" t="s">
        <v>243</v>
      </c>
      <c r="EI40" s="290" t="s">
        <v>241</v>
      </c>
      <c r="EJ40" s="411">
        <v>1378.6111813929601</v>
      </c>
      <c r="EK40" s="290" t="s">
        <v>197</v>
      </c>
      <c r="EL40" s="411">
        <f>12*12*25.4</f>
        <v>3657.6</v>
      </c>
      <c r="EM40" s="413">
        <v>1</v>
      </c>
      <c r="EN40" s="412">
        <f>IF(ISBLANK(EK40),0,_xll.FlexuralStiffness(EK40="Fixed",$L$12,EJ40*10^4,EL40)/10^6)*EM40</f>
        <v>2318.0388138579133</v>
      </c>
      <c r="EO40" s="290"/>
      <c r="EP40" s="290"/>
      <c r="EQ40" s="411"/>
      <c r="ER40" s="290"/>
      <c r="ES40" s="290"/>
      <c r="ET40" s="413">
        <v>1</v>
      </c>
      <c r="EU40" s="412">
        <f>IF(ISBLANK(ER40),0,_xll.FlexuralStiffness(ER40="Fixed",$L$12,EQ40*10^4,ES40)/10^6)*ET40</f>
        <v>0</v>
      </c>
      <c r="EV40" s="290"/>
      <c r="EW40" s="290"/>
      <c r="EX40" s="411"/>
      <c r="EY40" s="290"/>
      <c r="EZ40" s="290"/>
      <c r="FA40" s="413">
        <v>1</v>
      </c>
      <c r="FB40" s="412">
        <f>IF(ISBLANK(EY40),0,_xll.FlexuralStiffness(EY40="Fixed",$L$12,EX40*10^4,EZ40)/10^6)*FA40</f>
        <v>0</v>
      </c>
      <c r="FC40" s="290"/>
      <c r="FD40" s="290"/>
      <c r="FE40" s="411"/>
      <c r="FF40" s="290"/>
      <c r="FG40" s="290"/>
      <c r="FH40" s="413">
        <v>1</v>
      </c>
      <c r="FI40" s="412">
        <f>IF(ISBLANK(FF40),0,_xll.FlexuralStiffness(FF40="Fixed",$L$12,FE40*10^4,FG40)/10^6)*FH40</f>
        <v>0</v>
      </c>
      <c r="FJ40" s="414">
        <f t="shared" ref="FJ40:FJ45" si="49">IF(EG40="Yes","∞",IF(EG40="No",SUM(EN40,EU40,FB40,FI40),#N/A))</f>
        <v>2318.0388138579133</v>
      </c>
      <c r="FK40" s="416">
        <f t="shared" ref="FK40:FK45" si="50">EF40</f>
        <v>13521.913273233131</v>
      </c>
      <c r="FL40" s="416">
        <f t="shared" ref="FL40:FL45" si="51">FJ40</f>
        <v>2318.0388138579133</v>
      </c>
      <c r="FM40" s="334">
        <f t="shared" si="17"/>
        <v>45</v>
      </c>
      <c r="FN40" s="417">
        <f t="shared" si="26"/>
        <v>3957.6281080445096</v>
      </c>
      <c r="FO40" s="368"/>
      <c r="FP40" s="1"/>
      <c r="FQ40" s="1"/>
      <c r="FR40" s="367"/>
      <c r="FS40" s="1"/>
      <c r="FT40" s="1"/>
      <c r="FU40" s="368"/>
      <c r="FV40" s="368"/>
      <c r="FW40" s="368"/>
      <c r="FX40" s="368"/>
      <c r="FY40" s="173"/>
    </row>
    <row r="41" spans="1:181" s="326" customFormat="1" x14ac:dyDescent="0.25">
      <c r="B41" s="430">
        <v>47</v>
      </c>
      <c r="C41" s="58" t="e">
        <f t="shared" ca="1" si="18"/>
        <v>#NAME?</v>
      </c>
      <c r="D41" s="203">
        <f t="shared" si="9"/>
        <v>3957.6281080445096</v>
      </c>
      <c r="F41" s="637"/>
      <c r="G41" s="46" t="s">
        <v>22</v>
      </c>
      <c r="H41" s="84" t="s">
        <v>396</v>
      </c>
      <c r="I41" s="108">
        <v>45</v>
      </c>
      <c r="J41" s="391" t="s">
        <v>169</v>
      </c>
      <c r="K41" s="84" t="s">
        <v>239</v>
      </c>
      <c r="L41" s="84" t="s">
        <v>241</v>
      </c>
      <c r="M41" s="87">
        <v>8041.910567183334</v>
      </c>
      <c r="N41" s="84" t="s">
        <v>197</v>
      </c>
      <c r="O41" s="87">
        <f t="shared" si="37"/>
        <v>3657.6</v>
      </c>
      <c r="P41" s="401">
        <v>1</v>
      </c>
      <c r="Q41" s="374">
        <f>IF(ISBLANK(N41),0,_xll.FlexuralStiffness(N41="Fixed",$L$12,M41*10^4,O41)/10^6)*P41</f>
        <v>13521.913273233131</v>
      </c>
      <c r="R41" s="84"/>
      <c r="S41" s="84"/>
      <c r="T41" s="87"/>
      <c r="U41" s="84"/>
      <c r="V41" s="84"/>
      <c r="W41" s="401">
        <v>1</v>
      </c>
      <c r="X41" s="374">
        <f>IF(ISBLANK(U41),0,_xll.FlexuralStiffness(U41="Fixed",$L$12,T41*10^4,V41)/10^6)*W41</f>
        <v>0</v>
      </c>
      <c r="Y41" s="84"/>
      <c r="Z41" s="84"/>
      <c r="AA41" s="87"/>
      <c r="AB41" s="84"/>
      <c r="AC41" s="84"/>
      <c r="AD41" s="401">
        <v>1</v>
      </c>
      <c r="AE41" s="374">
        <f>IF(ISBLANK(AB41),0,_xll.FlexuralStiffness(AB41="Fixed",$L$12,AA41*10^4,AC41)/10^6)*AD41</f>
        <v>0</v>
      </c>
      <c r="AF41" s="84"/>
      <c r="AG41" s="84"/>
      <c r="AH41" s="87"/>
      <c r="AI41" s="84"/>
      <c r="AJ41" s="84"/>
      <c r="AK41" s="401">
        <v>1</v>
      </c>
      <c r="AL41" s="374">
        <f>IF(ISBLANK(AI41),0,_xll.FlexuralStiffness(AI41="Fixed",$L$12,AH41*10^4,AJ41)/10^6)*AK41</f>
        <v>0</v>
      </c>
      <c r="AM41" s="84"/>
      <c r="AN41" s="84"/>
      <c r="AO41" s="87"/>
      <c r="AP41" s="84"/>
      <c r="AQ41" s="84"/>
      <c r="AR41" s="401">
        <v>1</v>
      </c>
      <c r="AS41" s="87" t="str">
        <f>IF(ISBLANK(AO41),"∞",_xll.FlexuralStiffness(AP41="Fixed",$L$12,AO41*10^4,AQ41)/10^6)</f>
        <v>∞</v>
      </c>
      <c r="AT41" s="84"/>
      <c r="AU41" s="87"/>
      <c r="AV41" s="84"/>
      <c r="AW41" s="401"/>
      <c r="AX41" s="84"/>
      <c r="AY41" s="401" t="b">
        <v>0</v>
      </c>
      <c r="AZ41" s="401">
        <v>1</v>
      </c>
      <c r="BA41" s="87">
        <f t="shared" si="41"/>
        <v>0</v>
      </c>
      <c r="BB41" s="381">
        <f t="shared" si="42"/>
        <v>0</v>
      </c>
      <c r="BC41" s="381">
        <f t="shared" si="10"/>
        <v>13521.913273233131</v>
      </c>
      <c r="BD41" s="394" t="s">
        <v>169</v>
      </c>
      <c r="BE41" s="84" t="s">
        <v>243</v>
      </c>
      <c r="BF41" s="84" t="s">
        <v>241</v>
      </c>
      <c r="BG41" s="87">
        <v>1378.6111813929601</v>
      </c>
      <c r="BH41" s="84" t="s">
        <v>197</v>
      </c>
      <c r="BI41" s="87">
        <f t="shared" si="38"/>
        <v>3657.6</v>
      </c>
      <c r="BJ41" s="401">
        <v>1</v>
      </c>
      <c r="BK41" s="374">
        <f>IF(ISBLANK(BH41),0,_xll.FlexuralStiffness(BH41="Fixed",$L$12,BG41*10^4,BI41)/10^6)*BJ41</f>
        <v>2318.0388138579133</v>
      </c>
      <c r="BL41" s="84"/>
      <c r="BM41" s="84"/>
      <c r="BN41" s="87"/>
      <c r="BO41" s="84"/>
      <c r="BP41" s="84"/>
      <c r="BQ41" s="401">
        <v>1</v>
      </c>
      <c r="BR41" s="374">
        <f>IF(ISBLANK(BO41),0,_xll.FlexuralStiffness(BO41="Fixed",$L$12,BN41*10^4,BP41)/10^6)*BQ41</f>
        <v>0</v>
      </c>
      <c r="BS41" s="84"/>
      <c r="BT41" s="84"/>
      <c r="BU41" s="87"/>
      <c r="BV41" s="84"/>
      <c r="BW41" s="84"/>
      <c r="BX41" s="401">
        <v>1</v>
      </c>
      <c r="BY41" s="374">
        <f>IF(ISBLANK(BV41),0,_xll.FlexuralStiffness(BV41="Fixed",$L$12,BU41*10^4,BW41)/10^6)*BX41</f>
        <v>0</v>
      </c>
      <c r="BZ41" s="84"/>
      <c r="CA41" s="84"/>
      <c r="CB41" s="87"/>
      <c r="CC41" s="84"/>
      <c r="CD41" s="84"/>
      <c r="CE41" s="401">
        <v>1</v>
      </c>
      <c r="CF41" s="374">
        <f>IF(ISBLANK(CC41),0,_xll.FlexuralStiffness(CC41="Fixed",$L$12,CB41*10^4,CD41)/10^6)*CE41</f>
        <v>0</v>
      </c>
      <c r="CG41" s="381">
        <f t="shared" si="43"/>
        <v>2318.0388138579133</v>
      </c>
      <c r="CH41" s="365">
        <f t="shared" si="44"/>
        <v>13521.913273233131</v>
      </c>
      <c r="CI41" s="365">
        <f t="shared" si="45"/>
        <v>2318.0388138579133</v>
      </c>
      <c r="CJ41" s="89">
        <f t="shared" si="13"/>
        <v>45</v>
      </c>
      <c r="CK41" s="379" t="e">
        <f t="shared" ca="1" si="46"/>
        <v>#NAME?</v>
      </c>
      <c r="CM41" s="391" t="s">
        <v>169</v>
      </c>
      <c r="CN41" s="84" t="s">
        <v>239</v>
      </c>
      <c r="CO41" s="84" t="s">
        <v>241</v>
      </c>
      <c r="CP41" s="87">
        <v>8041.910567183334</v>
      </c>
      <c r="CQ41" s="84" t="s">
        <v>197</v>
      </c>
      <c r="CR41" s="87">
        <f t="shared" si="39"/>
        <v>3657.6</v>
      </c>
      <c r="CS41" s="401">
        <v>1</v>
      </c>
      <c r="CT41" s="374">
        <f>IF(ISBLANK(CQ41),0,_xll.FlexuralStiffness(CQ41="Fixed",$L$12,CP41*10^4,CR41)/10^6)*CS41</f>
        <v>13521.913273233131</v>
      </c>
      <c r="CU41" s="84"/>
      <c r="CV41" s="84"/>
      <c r="CW41" s="87"/>
      <c r="CX41" s="84"/>
      <c r="CY41" s="84"/>
      <c r="CZ41" s="401">
        <v>1</v>
      </c>
      <c r="DA41" s="374">
        <f>IF(ISBLANK(CX41),0,_xll.FlexuralStiffness(CX41="Fixed",$L$12,CW41*10^4,CY41)/10^6)*CZ41</f>
        <v>0</v>
      </c>
      <c r="DB41" s="84"/>
      <c r="DC41" s="84"/>
      <c r="DD41" s="87"/>
      <c r="DE41" s="84"/>
      <c r="DF41" s="84"/>
      <c r="DG41" s="401">
        <v>1</v>
      </c>
      <c r="DH41" s="374">
        <f>IF(ISBLANK(DE41),0,_xll.FlexuralStiffness(DE41="Fixed",$L$12,DD41*10^4,DF41)/10^6)*DG41</f>
        <v>0</v>
      </c>
      <c r="DI41" s="84"/>
      <c r="DJ41" s="84"/>
      <c r="DK41" s="87"/>
      <c r="DL41" s="84"/>
      <c r="DM41" s="84"/>
      <c r="DN41" s="401">
        <v>1</v>
      </c>
      <c r="DO41" s="374">
        <f>IF(ISBLANK(DL41),0,_xll.FlexuralStiffness(DL41="Fixed",$L$12,DK41*10^4,DM41)/10^6)*DN41</f>
        <v>0</v>
      </c>
      <c r="DP41" s="84"/>
      <c r="DQ41" s="84"/>
      <c r="DR41" s="87"/>
      <c r="DS41" s="84"/>
      <c r="DT41" s="84"/>
      <c r="DU41" s="401">
        <v>1</v>
      </c>
      <c r="DV41" s="87" t="str">
        <f>IF(ISBLANK(DR41),"∞",_xll.FlexuralStiffness(DS41="Fixed",$L$12,DR41*10^4,DT41)/10^6)</f>
        <v>∞</v>
      </c>
      <c r="DW41" s="84"/>
      <c r="DX41" s="87"/>
      <c r="DY41" s="84"/>
      <c r="DZ41" s="401"/>
      <c r="EA41" s="84"/>
      <c r="EB41" s="401" t="b">
        <v>0</v>
      </c>
      <c r="EC41" s="401">
        <v>1</v>
      </c>
      <c r="ED41" s="87">
        <f t="shared" si="47"/>
        <v>0</v>
      </c>
      <c r="EE41" s="381">
        <f t="shared" si="48"/>
        <v>0</v>
      </c>
      <c r="EF41" s="381">
        <f t="shared" si="14"/>
        <v>13521.913273233131</v>
      </c>
      <c r="EG41" s="394" t="s">
        <v>169</v>
      </c>
      <c r="EH41" s="84" t="s">
        <v>243</v>
      </c>
      <c r="EI41" s="84" t="s">
        <v>241</v>
      </c>
      <c r="EJ41" s="87">
        <v>1378.6111813929601</v>
      </c>
      <c r="EK41" s="84" t="s">
        <v>197</v>
      </c>
      <c r="EL41" s="87">
        <f t="shared" si="40"/>
        <v>3657.6</v>
      </c>
      <c r="EM41" s="401">
        <v>1</v>
      </c>
      <c r="EN41" s="374">
        <f>IF(ISBLANK(EK41),0,_xll.FlexuralStiffness(EK41="Fixed",$L$12,EJ41*10^4,EL41)/10^6)*EM41</f>
        <v>2318.0388138579133</v>
      </c>
      <c r="EO41" s="84"/>
      <c r="EP41" s="84"/>
      <c r="EQ41" s="87"/>
      <c r="ER41" s="84"/>
      <c r="ES41" s="84"/>
      <c r="ET41" s="401">
        <v>1</v>
      </c>
      <c r="EU41" s="374">
        <f>IF(ISBLANK(ER41),0,_xll.FlexuralStiffness(ER41="Fixed",$L$12,EQ41*10^4,ES41)/10^6)*ET41</f>
        <v>0</v>
      </c>
      <c r="EV41" s="84"/>
      <c r="EW41" s="84"/>
      <c r="EX41" s="87"/>
      <c r="EY41" s="84"/>
      <c r="EZ41" s="84"/>
      <c r="FA41" s="401">
        <v>1</v>
      </c>
      <c r="FB41" s="374">
        <f>IF(ISBLANK(EY41),0,_xll.FlexuralStiffness(EY41="Fixed",$L$12,EX41*10^4,EZ41)/10^6)*FA41</f>
        <v>0</v>
      </c>
      <c r="FC41" s="84"/>
      <c r="FD41" s="84"/>
      <c r="FE41" s="87"/>
      <c r="FF41" s="84"/>
      <c r="FG41" s="84"/>
      <c r="FH41" s="401">
        <v>1</v>
      </c>
      <c r="FI41" s="374">
        <f>IF(ISBLANK(FF41),0,_xll.FlexuralStiffness(FF41="Fixed",$L$12,FE41*10^4,FG41)/10^6)*FH41</f>
        <v>0</v>
      </c>
      <c r="FJ41" s="381">
        <f t="shared" si="49"/>
        <v>2318.0388138579133</v>
      </c>
      <c r="FK41" s="365">
        <f t="shared" si="50"/>
        <v>13521.913273233131</v>
      </c>
      <c r="FL41" s="365">
        <f t="shared" si="51"/>
        <v>2318.0388138579133</v>
      </c>
      <c r="FM41" s="89">
        <f t="shared" si="17"/>
        <v>45</v>
      </c>
      <c r="FN41" s="379">
        <f t="shared" ref="FN41:FN45" si="52">IF(FK41="∞",IF(FL41="∞","∞",FK41/SIN(RADIANS(FM41))^2),IF(FK41="∞",FL41/SIN(RADIANS(FM41))^2,1/(SIN(RADIANS(FM41))^2/FL41+SIN(RADIANS(FM41))^2/FK41)))</f>
        <v>3957.6281080445096</v>
      </c>
      <c r="FO41" s="368"/>
      <c r="FP41" s="1"/>
      <c r="FQ41" s="1"/>
      <c r="FR41" s="367"/>
      <c r="FS41" s="1"/>
      <c r="FT41" s="1"/>
      <c r="FU41" s="368"/>
      <c r="FV41" s="368"/>
      <c r="FW41" s="368"/>
      <c r="FX41" s="368"/>
      <c r="FY41" s="173"/>
    </row>
    <row r="42" spans="1:181" s="326" customFormat="1" x14ac:dyDescent="0.25">
      <c r="B42" s="430">
        <v>48</v>
      </c>
      <c r="C42" s="58" t="e">
        <f t="shared" ref="C42:C44" ca="1" si="53">CK42</f>
        <v>#NAME?</v>
      </c>
      <c r="D42" s="203">
        <f t="shared" ref="D42:D44" si="54">FN42</f>
        <v>3957.6281080445096</v>
      </c>
      <c r="F42" s="637"/>
      <c r="G42" s="46" t="s">
        <v>23</v>
      </c>
      <c r="H42" s="84" t="s">
        <v>396</v>
      </c>
      <c r="I42" s="108">
        <v>45</v>
      </c>
      <c r="J42" s="391" t="s">
        <v>169</v>
      </c>
      <c r="K42" s="84" t="s">
        <v>239</v>
      </c>
      <c r="L42" s="84" t="s">
        <v>241</v>
      </c>
      <c r="M42" s="87">
        <v>8041.910567183334</v>
      </c>
      <c r="N42" s="84" t="s">
        <v>197</v>
      </c>
      <c r="O42" s="87">
        <f t="shared" si="37"/>
        <v>3657.6</v>
      </c>
      <c r="P42" s="401">
        <v>1</v>
      </c>
      <c r="Q42" s="374">
        <f>IF(ISBLANK(N42),0,_xll.FlexuralStiffness(N42="Fixed",$L$12,M42*10^4,O42)/10^6)*P42</f>
        <v>13521.913273233131</v>
      </c>
      <c r="R42" s="84"/>
      <c r="S42" s="84"/>
      <c r="T42" s="87"/>
      <c r="U42" s="84"/>
      <c r="V42" s="84"/>
      <c r="W42" s="401">
        <v>1</v>
      </c>
      <c r="X42" s="374">
        <f>IF(ISBLANK(U42),0,_xll.FlexuralStiffness(U42="Fixed",$L$12,T42*10^4,V42)/10^6)*W42</f>
        <v>0</v>
      </c>
      <c r="Y42" s="84"/>
      <c r="Z42" s="84"/>
      <c r="AA42" s="87"/>
      <c r="AB42" s="84"/>
      <c r="AC42" s="84"/>
      <c r="AD42" s="401">
        <v>1</v>
      </c>
      <c r="AE42" s="374">
        <f>IF(ISBLANK(AB42),0,_xll.FlexuralStiffness(AB42="Fixed",$L$12,AA42*10^4,AC42)/10^6)*AD42</f>
        <v>0</v>
      </c>
      <c r="AF42" s="84"/>
      <c r="AG42" s="84"/>
      <c r="AH42" s="87"/>
      <c r="AI42" s="84"/>
      <c r="AJ42" s="84"/>
      <c r="AK42" s="401">
        <v>1</v>
      </c>
      <c r="AL42" s="374">
        <f>IF(ISBLANK(AI42),0,_xll.FlexuralStiffness(AI42="Fixed",$L$12,AH42*10^4,AJ42)/10^6)*AK42</f>
        <v>0</v>
      </c>
      <c r="AM42" s="84"/>
      <c r="AN42" s="84"/>
      <c r="AO42" s="87"/>
      <c r="AP42" s="84"/>
      <c r="AQ42" s="84"/>
      <c r="AR42" s="401">
        <v>1</v>
      </c>
      <c r="AS42" s="87" t="str">
        <f>IF(ISBLANK(AO42),"∞",_xll.FlexuralStiffness(AP42="Fixed",$L$12,AO42*10^4,AQ42)/10^6)</f>
        <v>∞</v>
      </c>
      <c r="AT42" s="84"/>
      <c r="AU42" s="87"/>
      <c r="AV42" s="84"/>
      <c r="AW42" s="401"/>
      <c r="AX42" s="84"/>
      <c r="AY42" s="401" t="b">
        <v>0</v>
      </c>
      <c r="AZ42" s="401">
        <v>1</v>
      </c>
      <c r="BA42" s="87">
        <f t="shared" si="41"/>
        <v>0</v>
      </c>
      <c r="BB42" s="381">
        <f t="shared" si="42"/>
        <v>0</v>
      </c>
      <c r="BC42" s="381">
        <f t="shared" si="10"/>
        <v>13521.913273233131</v>
      </c>
      <c r="BD42" s="394" t="s">
        <v>169</v>
      </c>
      <c r="BE42" s="84" t="s">
        <v>243</v>
      </c>
      <c r="BF42" s="84" t="s">
        <v>241</v>
      </c>
      <c r="BG42" s="87">
        <v>1378.6111813929601</v>
      </c>
      <c r="BH42" s="84" t="s">
        <v>197</v>
      </c>
      <c r="BI42" s="87">
        <f t="shared" si="38"/>
        <v>3657.6</v>
      </c>
      <c r="BJ42" s="401">
        <v>1</v>
      </c>
      <c r="BK42" s="374">
        <f>IF(ISBLANK(BH42),0,_xll.FlexuralStiffness(BH42="Fixed",$L$12,BG42*10^4,BI42)/10^6)*BJ42</f>
        <v>2318.0388138579133</v>
      </c>
      <c r="BL42" s="84"/>
      <c r="BM42" s="84"/>
      <c r="BN42" s="87"/>
      <c r="BO42" s="84"/>
      <c r="BP42" s="84"/>
      <c r="BQ42" s="401">
        <v>1</v>
      </c>
      <c r="BR42" s="374">
        <f>IF(ISBLANK(BO42),0,_xll.FlexuralStiffness(BO42="Fixed",$L$12,BN42*10^4,BP42)/10^6)*BQ42</f>
        <v>0</v>
      </c>
      <c r="BS42" s="84"/>
      <c r="BT42" s="84"/>
      <c r="BU42" s="87"/>
      <c r="BV42" s="84"/>
      <c r="BW42" s="84"/>
      <c r="BX42" s="401">
        <v>1</v>
      </c>
      <c r="BY42" s="374">
        <f>IF(ISBLANK(BV42),0,_xll.FlexuralStiffness(BV42="Fixed",$L$12,BU42*10^4,BW42)/10^6)*BX42</f>
        <v>0</v>
      </c>
      <c r="BZ42" s="84"/>
      <c r="CA42" s="84"/>
      <c r="CB42" s="87"/>
      <c r="CC42" s="84"/>
      <c r="CD42" s="84"/>
      <c r="CE42" s="401">
        <v>1</v>
      </c>
      <c r="CF42" s="374">
        <f>IF(ISBLANK(CC42),0,_xll.FlexuralStiffness(CC42="Fixed",$L$12,CB42*10^4,CD42)/10^6)*CE42</f>
        <v>0</v>
      </c>
      <c r="CG42" s="381">
        <f t="shared" si="43"/>
        <v>2318.0388138579133</v>
      </c>
      <c r="CH42" s="365">
        <f t="shared" si="44"/>
        <v>13521.913273233131</v>
      </c>
      <c r="CI42" s="365">
        <f t="shared" si="45"/>
        <v>2318.0388138579133</v>
      </c>
      <c r="CJ42" s="89">
        <f t="shared" si="13"/>
        <v>45</v>
      </c>
      <c r="CK42" s="379" t="e">
        <f t="shared" ca="1" si="46"/>
        <v>#NAME?</v>
      </c>
      <c r="CM42" s="391" t="s">
        <v>169</v>
      </c>
      <c r="CN42" s="84" t="s">
        <v>239</v>
      </c>
      <c r="CO42" s="84" t="s">
        <v>241</v>
      </c>
      <c r="CP42" s="87">
        <v>8041.910567183334</v>
      </c>
      <c r="CQ42" s="84" t="s">
        <v>197</v>
      </c>
      <c r="CR42" s="87">
        <f t="shared" si="39"/>
        <v>3657.6</v>
      </c>
      <c r="CS42" s="401">
        <v>1</v>
      </c>
      <c r="CT42" s="374">
        <f>IF(ISBLANK(CQ42),0,_xll.FlexuralStiffness(CQ42="Fixed",$L$12,CP42*10^4,CR42)/10^6)*CS42</f>
        <v>13521.913273233131</v>
      </c>
      <c r="CU42" s="84"/>
      <c r="CV42" s="84"/>
      <c r="CW42" s="87"/>
      <c r="CX42" s="84"/>
      <c r="CY42" s="84"/>
      <c r="CZ42" s="401">
        <v>1</v>
      </c>
      <c r="DA42" s="374">
        <f>IF(ISBLANK(CX42),0,_xll.FlexuralStiffness(CX42="Fixed",$L$12,CW42*10^4,CY42)/10^6)*CZ42</f>
        <v>0</v>
      </c>
      <c r="DB42" s="84"/>
      <c r="DC42" s="84"/>
      <c r="DD42" s="87"/>
      <c r="DE42" s="84"/>
      <c r="DF42" s="84"/>
      <c r="DG42" s="401">
        <v>1</v>
      </c>
      <c r="DH42" s="374">
        <f>IF(ISBLANK(DE42),0,_xll.FlexuralStiffness(DE42="Fixed",$L$12,DD42*10^4,DF42)/10^6)*DG42</f>
        <v>0</v>
      </c>
      <c r="DI42" s="84"/>
      <c r="DJ42" s="84"/>
      <c r="DK42" s="87"/>
      <c r="DL42" s="84"/>
      <c r="DM42" s="84"/>
      <c r="DN42" s="401">
        <v>1</v>
      </c>
      <c r="DO42" s="374">
        <f>IF(ISBLANK(DL42),0,_xll.FlexuralStiffness(DL42="Fixed",$L$12,DK42*10^4,DM42)/10^6)*DN42</f>
        <v>0</v>
      </c>
      <c r="DP42" s="84"/>
      <c r="DQ42" s="84"/>
      <c r="DR42" s="87"/>
      <c r="DS42" s="84"/>
      <c r="DT42" s="84"/>
      <c r="DU42" s="401">
        <v>1</v>
      </c>
      <c r="DV42" s="87" t="str">
        <f>IF(ISBLANK(DR42),"∞",_xll.FlexuralStiffness(DS42="Fixed",$L$12,DR42*10^4,DT42)/10^6)</f>
        <v>∞</v>
      </c>
      <c r="DW42" s="84"/>
      <c r="DX42" s="87"/>
      <c r="DY42" s="84"/>
      <c r="DZ42" s="401"/>
      <c r="EA42" s="84"/>
      <c r="EB42" s="401" t="b">
        <v>0</v>
      </c>
      <c r="EC42" s="401">
        <v>1</v>
      </c>
      <c r="ED42" s="87">
        <f t="shared" si="47"/>
        <v>0</v>
      </c>
      <c r="EE42" s="381">
        <f t="shared" si="48"/>
        <v>0</v>
      </c>
      <c r="EF42" s="381">
        <f t="shared" si="14"/>
        <v>13521.913273233131</v>
      </c>
      <c r="EG42" s="394" t="s">
        <v>169</v>
      </c>
      <c r="EH42" s="84" t="s">
        <v>243</v>
      </c>
      <c r="EI42" s="84" t="s">
        <v>241</v>
      </c>
      <c r="EJ42" s="87">
        <v>1378.6111813929601</v>
      </c>
      <c r="EK42" s="84" t="s">
        <v>197</v>
      </c>
      <c r="EL42" s="87">
        <f t="shared" si="40"/>
        <v>3657.6</v>
      </c>
      <c r="EM42" s="401">
        <v>1</v>
      </c>
      <c r="EN42" s="374">
        <f>IF(ISBLANK(EK42),0,_xll.FlexuralStiffness(EK42="Fixed",$L$12,EJ42*10^4,EL42)/10^6)*EM42</f>
        <v>2318.0388138579133</v>
      </c>
      <c r="EO42" s="84"/>
      <c r="EP42" s="84"/>
      <c r="EQ42" s="87"/>
      <c r="ER42" s="84"/>
      <c r="ES42" s="84"/>
      <c r="ET42" s="401">
        <v>1</v>
      </c>
      <c r="EU42" s="374">
        <f>IF(ISBLANK(ER42),0,_xll.FlexuralStiffness(ER42="Fixed",$L$12,EQ42*10^4,ES42)/10^6)*ET42</f>
        <v>0</v>
      </c>
      <c r="EV42" s="84"/>
      <c r="EW42" s="84"/>
      <c r="EX42" s="87"/>
      <c r="EY42" s="84"/>
      <c r="EZ42" s="84"/>
      <c r="FA42" s="401">
        <v>1</v>
      </c>
      <c r="FB42" s="374">
        <f>IF(ISBLANK(EY42),0,_xll.FlexuralStiffness(EY42="Fixed",$L$12,EX42*10^4,EZ42)/10^6)*FA42</f>
        <v>0</v>
      </c>
      <c r="FC42" s="84"/>
      <c r="FD42" s="84"/>
      <c r="FE42" s="87"/>
      <c r="FF42" s="84"/>
      <c r="FG42" s="84"/>
      <c r="FH42" s="401">
        <v>1</v>
      </c>
      <c r="FI42" s="374">
        <f>IF(ISBLANK(FF42),0,_xll.FlexuralStiffness(FF42="Fixed",$L$12,FE42*10^4,FG42)/10^6)*FH42</f>
        <v>0</v>
      </c>
      <c r="FJ42" s="381">
        <f t="shared" si="49"/>
        <v>2318.0388138579133</v>
      </c>
      <c r="FK42" s="365">
        <f t="shared" si="50"/>
        <v>13521.913273233131</v>
      </c>
      <c r="FL42" s="365">
        <f t="shared" si="51"/>
        <v>2318.0388138579133</v>
      </c>
      <c r="FM42" s="89">
        <f t="shared" si="17"/>
        <v>45</v>
      </c>
      <c r="FN42" s="379">
        <f t="shared" si="52"/>
        <v>3957.6281080445096</v>
      </c>
      <c r="FO42" s="368"/>
      <c r="FP42" s="1"/>
      <c r="FQ42" s="1"/>
      <c r="FR42" s="367"/>
      <c r="FS42" s="1"/>
      <c r="FT42" s="1"/>
      <c r="FU42" s="368"/>
      <c r="FV42" s="368"/>
      <c r="FW42" s="368"/>
      <c r="FX42" s="368"/>
      <c r="FY42" s="173"/>
    </row>
    <row r="43" spans="1:181" s="326" customFormat="1" x14ac:dyDescent="0.25">
      <c r="B43" s="430">
        <v>49</v>
      </c>
      <c r="C43" s="58" t="e">
        <f t="shared" ca="1" si="53"/>
        <v>#NAME?</v>
      </c>
      <c r="D43" s="203">
        <f t="shared" si="54"/>
        <v>3957.6281080445096</v>
      </c>
      <c r="F43" s="637"/>
      <c r="G43" s="46" t="s">
        <v>24</v>
      </c>
      <c r="H43" s="84" t="s">
        <v>396</v>
      </c>
      <c r="I43" s="108">
        <v>45</v>
      </c>
      <c r="J43" s="391" t="s">
        <v>169</v>
      </c>
      <c r="K43" s="84" t="s">
        <v>239</v>
      </c>
      <c r="L43" s="84" t="s">
        <v>241</v>
      </c>
      <c r="M43" s="87">
        <v>8041.910567183334</v>
      </c>
      <c r="N43" s="84" t="s">
        <v>197</v>
      </c>
      <c r="O43" s="87">
        <f t="shared" si="37"/>
        <v>3657.6</v>
      </c>
      <c r="P43" s="401">
        <v>1</v>
      </c>
      <c r="Q43" s="374">
        <f>IF(ISBLANK(N43),0,_xll.FlexuralStiffness(N43="Fixed",$L$12,M43*10^4,O43)/10^6)*P43</f>
        <v>13521.913273233131</v>
      </c>
      <c r="R43" s="84"/>
      <c r="S43" s="84"/>
      <c r="T43" s="87"/>
      <c r="U43" s="84"/>
      <c r="V43" s="84"/>
      <c r="W43" s="401">
        <v>1</v>
      </c>
      <c r="X43" s="374">
        <f>IF(ISBLANK(U43),0,_xll.FlexuralStiffness(U43="Fixed",$L$12,T43*10^4,V43)/10^6)*W43</f>
        <v>0</v>
      </c>
      <c r="Y43" s="84"/>
      <c r="Z43" s="84"/>
      <c r="AA43" s="87"/>
      <c r="AB43" s="84"/>
      <c r="AC43" s="84"/>
      <c r="AD43" s="401">
        <v>1</v>
      </c>
      <c r="AE43" s="374">
        <f>IF(ISBLANK(AB43),0,_xll.FlexuralStiffness(AB43="Fixed",$L$12,AA43*10^4,AC43)/10^6)*AD43</f>
        <v>0</v>
      </c>
      <c r="AF43" s="84"/>
      <c r="AG43" s="84"/>
      <c r="AH43" s="87"/>
      <c r="AI43" s="84"/>
      <c r="AJ43" s="84"/>
      <c r="AK43" s="401">
        <v>1</v>
      </c>
      <c r="AL43" s="374">
        <f>IF(ISBLANK(AI43),0,_xll.FlexuralStiffness(AI43="Fixed",$L$12,AH43*10^4,AJ43)/10^6)*AK43</f>
        <v>0</v>
      </c>
      <c r="AM43" s="84"/>
      <c r="AN43" s="84"/>
      <c r="AO43" s="87"/>
      <c r="AP43" s="84"/>
      <c r="AQ43" s="84"/>
      <c r="AR43" s="401">
        <v>1</v>
      </c>
      <c r="AS43" s="87" t="str">
        <f>IF(ISBLANK(AO43),"∞",_xll.FlexuralStiffness(AP43="Fixed",$L$12,AO43*10^4,AQ43)/10^6)</f>
        <v>∞</v>
      </c>
      <c r="AT43" s="84"/>
      <c r="AU43" s="87"/>
      <c r="AV43" s="84"/>
      <c r="AW43" s="401"/>
      <c r="AX43" s="84"/>
      <c r="AY43" s="401" t="b">
        <v>0</v>
      </c>
      <c r="AZ43" s="401">
        <v>1</v>
      </c>
      <c r="BA43" s="87">
        <f t="shared" si="41"/>
        <v>0</v>
      </c>
      <c r="BB43" s="381">
        <f t="shared" si="42"/>
        <v>0</v>
      </c>
      <c r="BC43" s="381">
        <f t="shared" si="10"/>
        <v>13521.913273233131</v>
      </c>
      <c r="BD43" s="394" t="s">
        <v>169</v>
      </c>
      <c r="BE43" s="84" t="s">
        <v>243</v>
      </c>
      <c r="BF43" s="84" t="s">
        <v>241</v>
      </c>
      <c r="BG43" s="87">
        <v>1378.6111813929601</v>
      </c>
      <c r="BH43" s="84" t="s">
        <v>197</v>
      </c>
      <c r="BI43" s="87">
        <f t="shared" si="38"/>
        <v>3657.6</v>
      </c>
      <c r="BJ43" s="401">
        <v>1</v>
      </c>
      <c r="BK43" s="374">
        <f>IF(ISBLANK(BH43),0,_xll.FlexuralStiffness(BH43="Fixed",$L$12,BG43*10^4,BI43)/10^6)*BJ43</f>
        <v>2318.0388138579133</v>
      </c>
      <c r="BL43" s="84"/>
      <c r="BM43" s="84"/>
      <c r="BN43" s="87"/>
      <c r="BO43" s="84"/>
      <c r="BP43" s="84"/>
      <c r="BQ43" s="401">
        <v>1</v>
      </c>
      <c r="BR43" s="374">
        <f>IF(ISBLANK(BO43),0,_xll.FlexuralStiffness(BO43="Fixed",$L$12,BN43*10^4,BP43)/10^6)*BQ43</f>
        <v>0</v>
      </c>
      <c r="BS43" s="84"/>
      <c r="BT43" s="84"/>
      <c r="BU43" s="87"/>
      <c r="BV43" s="84"/>
      <c r="BW43" s="84"/>
      <c r="BX43" s="401">
        <v>1</v>
      </c>
      <c r="BY43" s="374">
        <f>IF(ISBLANK(BV43),0,_xll.FlexuralStiffness(BV43="Fixed",$L$12,BU43*10^4,BW43)/10^6)*BX43</f>
        <v>0</v>
      </c>
      <c r="BZ43" s="84"/>
      <c r="CA43" s="84"/>
      <c r="CB43" s="87"/>
      <c r="CC43" s="84"/>
      <c r="CD43" s="84"/>
      <c r="CE43" s="401">
        <v>1</v>
      </c>
      <c r="CF43" s="374">
        <f>IF(ISBLANK(CC43),0,_xll.FlexuralStiffness(CC43="Fixed",$L$12,CB43*10^4,CD43)/10^6)*CE43</f>
        <v>0</v>
      </c>
      <c r="CG43" s="381">
        <f t="shared" si="43"/>
        <v>2318.0388138579133</v>
      </c>
      <c r="CH43" s="365">
        <f t="shared" si="44"/>
        <v>13521.913273233131</v>
      </c>
      <c r="CI43" s="365">
        <f t="shared" si="45"/>
        <v>2318.0388138579133</v>
      </c>
      <c r="CJ43" s="89">
        <f t="shared" si="13"/>
        <v>45</v>
      </c>
      <c r="CK43" s="379" t="e">
        <f t="shared" ca="1" si="46"/>
        <v>#NAME?</v>
      </c>
      <c r="CM43" s="391" t="s">
        <v>169</v>
      </c>
      <c r="CN43" s="84" t="s">
        <v>239</v>
      </c>
      <c r="CO43" s="84" t="s">
        <v>241</v>
      </c>
      <c r="CP43" s="87">
        <v>8041.910567183334</v>
      </c>
      <c r="CQ43" s="84" t="s">
        <v>197</v>
      </c>
      <c r="CR43" s="87">
        <f t="shared" si="39"/>
        <v>3657.6</v>
      </c>
      <c r="CS43" s="401">
        <v>1</v>
      </c>
      <c r="CT43" s="374">
        <f>IF(ISBLANK(CQ43),0,_xll.FlexuralStiffness(CQ43="Fixed",$L$12,CP43*10^4,CR43)/10^6)*CS43</f>
        <v>13521.913273233131</v>
      </c>
      <c r="CU43" s="84"/>
      <c r="CV43" s="84"/>
      <c r="CW43" s="87"/>
      <c r="CX43" s="84"/>
      <c r="CY43" s="84"/>
      <c r="CZ43" s="401">
        <v>1</v>
      </c>
      <c r="DA43" s="374">
        <f>IF(ISBLANK(CX43),0,_xll.FlexuralStiffness(CX43="Fixed",$L$12,CW43*10^4,CY43)/10^6)*CZ43</f>
        <v>0</v>
      </c>
      <c r="DB43" s="84"/>
      <c r="DC43" s="84"/>
      <c r="DD43" s="87"/>
      <c r="DE43" s="84"/>
      <c r="DF43" s="84"/>
      <c r="DG43" s="401">
        <v>1</v>
      </c>
      <c r="DH43" s="374">
        <f>IF(ISBLANK(DE43),0,_xll.FlexuralStiffness(DE43="Fixed",$L$12,DD43*10^4,DF43)/10^6)*DG43</f>
        <v>0</v>
      </c>
      <c r="DI43" s="84"/>
      <c r="DJ43" s="84"/>
      <c r="DK43" s="87"/>
      <c r="DL43" s="84"/>
      <c r="DM43" s="84"/>
      <c r="DN43" s="401">
        <v>1</v>
      </c>
      <c r="DO43" s="374">
        <f>IF(ISBLANK(DL43),0,_xll.FlexuralStiffness(DL43="Fixed",$L$12,DK43*10^4,DM43)/10^6)*DN43</f>
        <v>0</v>
      </c>
      <c r="DP43" s="84"/>
      <c r="DQ43" s="84"/>
      <c r="DR43" s="87"/>
      <c r="DS43" s="84"/>
      <c r="DT43" s="84"/>
      <c r="DU43" s="401">
        <v>1</v>
      </c>
      <c r="DV43" s="87" t="str">
        <f>IF(ISBLANK(DR43),"∞",_xll.FlexuralStiffness(DS43="Fixed",$L$12,DR43*10^4,DT43)/10^6)</f>
        <v>∞</v>
      </c>
      <c r="DW43" s="84"/>
      <c r="DX43" s="87"/>
      <c r="DY43" s="84"/>
      <c r="DZ43" s="401"/>
      <c r="EA43" s="84"/>
      <c r="EB43" s="401" t="b">
        <v>0</v>
      </c>
      <c r="EC43" s="401">
        <v>1</v>
      </c>
      <c r="ED43" s="87">
        <f t="shared" si="47"/>
        <v>0</v>
      </c>
      <c r="EE43" s="381">
        <f t="shared" si="48"/>
        <v>0</v>
      </c>
      <c r="EF43" s="381">
        <f t="shared" si="14"/>
        <v>13521.913273233131</v>
      </c>
      <c r="EG43" s="394" t="s">
        <v>169</v>
      </c>
      <c r="EH43" s="84" t="s">
        <v>243</v>
      </c>
      <c r="EI43" s="84" t="s">
        <v>241</v>
      </c>
      <c r="EJ43" s="87">
        <v>1378.6111813929601</v>
      </c>
      <c r="EK43" s="84" t="s">
        <v>197</v>
      </c>
      <c r="EL43" s="87">
        <f t="shared" si="40"/>
        <v>3657.6</v>
      </c>
      <c r="EM43" s="401">
        <v>1</v>
      </c>
      <c r="EN43" s="374">
        <f>IF(ISBLANK(EK43),0,_xll.FlexuralStiffness(EK43="Fixed",$L$12,EJ43*10^4,EL43)/10^6)*EM43</f>
        <v>2318.0388138579133</v>
      </c>
      <c r="EO43" s="84"/>
      <c r="EP43" s="84"/>
      <c r="EQ43" s="87"/>
      <c r="ER43" s="84"/>
      <c r="ES43" s="84"/>
      <c r="ET43" s="401">
        <v>1</v>
      </c>
      <c r="EU43" s="374">
        <f>IF(ISBLANK(ER43),0,_xll.FlexuralStiffness(ER43="Fixed",$L$12,EQ43*10^4,ES43)/10^6)*ET43</f>
        <v>0</v>
      </c>
      <c r="EV43" s="84"/>
      <c r="EW43" s="84"/>
      <c r="EX43" s="87"/>
      <c r="EY43" s="84"/>
      <c r="EZ43" s="84"/>
      <c r="FA43" s="401">
        <v>1</v>
      </c>
      <c r="FB43" s="374">
        <f>IF(ISBLANK(EY43),0,_xll.FlexuralStiffness(EY43="Fixed",$L$12,EX43*10^4,EZ43)/10^6)*FA43</f>
        <v>0</v>
      </c>
      <c r="FC43" s="84"/>
      <c r="FD43" s="84"/>
      <c r="FE43" s="87"/>
      <c r="FF43" s="84"/>
      <c r="FG43" s="84"/>
      <c r="FH43" s="401">
        <v>1</v>
      </c>
      <c r="FI43" s="374">
        <f>IF(ISBLANK(FF43),0,_xll.FlexuralStiffness(FF43="Fixed",$L$12,FE43*10^4,FG43)/10^6)*FH43</f>
        <v>0</v>
      </c>
      <c r="FJ43" s="381">
        <f t="shared" si="49"/>
        <v>2318.0388138579133</v>
      </c>
      <c r="FK43" s="365">
        <f t="shared" si="50"/>
        <v>13521.913273233131</v>
      </c>
      <c r="FL43" s="365">
        <f t="shared" si="51"/>
        <v>2318.0388138579133</v>
      </c>
      <c r="FM43" s="89">
        <f t="shared" si="17"/>
        <v>45</v>
      </c>
      <c r="FN43" s="379">
        <f t="shared" si="52"/>
        <v>3957.6281080445096</v>
      </c>
      <c r="FO43" s="368"/>
      <c r="FP43" s="1"/>
      <c r="FQ43" s="1"/>
      <c r="FR43" s="367"/>
      <c r="FS43" s="1"/>
      <c r="FT43" s="1"/>
      <c r="FU43" s="368"/>
      <c r="FV43" s="368"/>
      <c r="FW43" s="368"/>
      <c r="FX43" s="368"/>
      <c r="FY43" s="173"/>
    </row>
    <row r="44" spans="1:181" s="326" customFormat="1" x14ac:dyDescent="0.25">
      <c r="B44" s="430">
        <v>50</v>
      </c>
      <c r="C44" s="58" t="e">
        <f t="shared" ca="1" si="53"/>
        <v>#NAME?</v>
      </c>
      <c r="D44" s="203">
        <f t="shared" si="54"/>
        <v>3957.6281080445096</v>
      </c>
      <c r="F44" s="637"/>
      <c r="G44" s="46" t="s">
        <v>172</v>
      </c>
      <c r="H44" s="84" t="s">
        <v>396</v>
      </c>
      <c r="I44" s="108">
        <v>45</v>
      </c>
      <c r="J44" s="391" t="s">
        <v>169</v>
      </c>
      <c r="K44" s="84" t="s">
        <v>239</v>
      </c>
      <c r="L44" s="84" t="s">
        <v>241</v>
      </c>
      <c r="M44" s="87">
        <v>8041.910567183334</v>
      </c>
      <c r="N44" s="84" t="s">
        <v>197</v>
      </c>
      <c r="O44" s="87">
        <f t="shared" si="37"/>
        <v>3657.6</v>
      </c>
      <c r="P44" s="401">
        <v>1</v>
      </c>
      <c r="Q44" s="374">
        <f>IF(ISBLANK(N44),0,_xll.FlexuralStiffness(N44="Fixed",$L$12,M44*10^4,O44)/10^6)*P44</f>
        <v>13521.913273233131</v>
      </c>
      <c r="R44" s="84"/>
      <c r="S44" s="84"/>
      <c r="T44" s="87"/>
      <c r="U44" s="84"/>
      <c r="V44" s="84"/>
      <c r="W44" s="401">
        <v>1</v>
      </c>
      <c r="X44" s="374">
        <f>IF(ISBLANK(U44),0,_xll.FlexuralStiffness(U44="Fixed",$L$12,T44*10^4,V44)/10^6)*W44</f>
        <v>0</v>
      </c>
      <c r="Y44" s="84"/>
      <c r="Z44" s="84"/>
      <c r="AA44" s="87"/>
      <c r="AB44" s="84"/>
      <c r="AC44" s="84"/>
      <c r="AD44" s="401">
        <v>1</v>
      </c>
      <c r="AE44" s="374">
        <f>IF(ISBLANK(AB44),0,_xll.FlexuralStiffness(AB44="Fixed",$L$12,AA44*10^4,AC44)/10^6)*AD44</f>
        <v>0</v>
      </c>
      <c r="AF44" s="84"/>
      <c r="AG44" s="84"/>
      <c r="AH44" s="87"/>
      <c r="AI44" s="84"/>
      <c r="AJ44" s="84"/>
      <c r="AK44" s="401">
        <v>1</v>
      </c>
      <c r="AL44" s="374">
        <f>IF(ISBLANK(AI44),0,_xll.FlexuralStiffness(AI44="Fixed",$L$12,AH44*10^4,AJ44)/10^6)*AK44</f>
        <v>0</v>
      </c>
      <c r="AM44" s="84"/>
      <c r="AN44" s="84"/>
      <c r="AO44" s="87"/>
      <c r="AP44" s="84"/>
      <c r="AQ44" s="84"/>
      <c r="AR44" s="401">
        <v>1</v>
      </c>
      <c r="AS44" s="87" t="str">
        <f>IF(ISBLANK(AO44),"∞",_xll.FlexuralStiffness(AP44="Fixed",$L$12,AO44*10^4,AQ44)/10^6)</f>
        <v>∞</v>
      </c>
      <c r="AT44" s="84"/>
      <c r="AU44" s="87"/>
      <c r="AV44" s="84"/>
      <c r="AW44" s="401"/>
      <c r="AX44" s="84"/>
      <c r="AY44" s="401" t="b">
        <v>0</v>
      </c>
      <c r="AZ44" s="401">
        <v>1</v>
      </c>
      <c r="BA44" s="87">
        <f t="shared" si="41"/>
        <v>0</v>
      </c>
      <c r="BB44" s="381">
        <f t="shared" si="42"/>
        <v>0</v>
      </c>
      <c r="BC44" s="381">
        <f t="shared" si="10"/>
        <v>13521.913273233131</v>
      </c>
      <c r="BD44" s="394" t="s">
        <v>169</v>
      </c>
      <c r="BE44" s="84" t="s">
        <v>243</v>
      </c>
      <c r="BF44" s="84" t="s">
        <v>241</v>
      </c>
      <c r="BG44" s="87">
        <v>1378.6111813929601</v>
      </c>
      <c r="BH44" s="84" t="s">
        <v>197</v>
      </c>
      <c r="BI44" s="87">
        <f t="shared" si="38"/>
        <v>3657.6</v>
      </c>
      <c r="BJ44" s="401">
        <v>1</v>
      </c>
      <c r="BK44" s="374">
        <f>IF(ISBLANK(BH44),0,_xll.FlexuralStiffness(BH44="Fixed",$L$12,BG44*10^4,BI44)/10^6)*BJ44</f>
        <v>2318.0388138579133</v>
      </c>
      <c r="BL44" s="84"/>
      <c r="BM44" s="84"/>
      <c r="BN44" s="87"/>
      <c r="BO44" s="84"/>
      <c r="BP44" s="84"/>
      <c r="BQ44" s="401">
        <v>1</v>
      </c>
      <c r="BR44" s="374">
        <f>IF(ISBLANK(BO44),0,_xll.FlexuralStiffness(BO44="Fixed",$L$12,BN44*10^4,BP44)/10^6)*BQ44</f>
        <v>0</v>
      </c>
      <c r="BS44" s="84"/>
      <c r="BT44" s="84"/>
      <c r="BU44" s="87"/>
      <c r="BV44" s="84"/>
      <c r="BW44" s="84"/>
      <c r="BX44" s="401">
        <v>1</v>
      </c>
      <c r="BY44" s="374">
        <f>IF(ISBLANK(BV44),0,_xll.FlexuralStiffness(BV44="Fixed",$L$12,BU44*10^4,BW44)/10^6)*BX44</f>
        <v>0</v>
      </c>
      <c r="BZ44" s="84"/>
      <c r="CA44" s="84"/>
      <c r="CB44" s="87"/>
      <c r="CC44" s="84"/>
      <c r="CD44" s="84"/>
      <c r="CE44" s="401">
        <v>1</v>
      </c>
      <c r="CF44" s="374">
        <f>IF(ISBLANK(CC44),0,_xll.FlexuralStiffness(CC44="Fixed",$L$12,CB44*10^4,CD44)/10^6)*CE44</f>
        <v>0</v>
      </c>
      <c r="CG44" s="381">
        <f t="shared" si="43"/>
        <v>2318.0388138579133</v>
      </c>
      <c r="CH44" s="365">
        <f t="shared" si="44"/>
        <v>13521.913273233131</v>
      </c>
      <c r="CI44" s="365">
        <f t="shared" si="45"/>
        <v>2318.0388138579133</v>
      </c>
      <c r="CJ44" s="89">
        <f t="shared" si="13"/>
        <v>45</v>
      </c>
      <c r="CK44" s="379" t="e">
        <f t="shared" ca="1" si="46"/>
        <v>#NAME?</v>
      </c>
      <c r="CM44" s="391" t="s">
        <v>169</v>
      </c>
      <c r="CN44" s="84" t="s">
        <v>239</v>
      </c>
      <c r="CO44" s="84" t="s">
        <v>241</v>
      </c>
      <c r="CP44" s="87">
        <v>8041.910567183334</v>
      </c>
      <c r="CQ44" s="84" t="s">
        <v>197</v>
      </c>
      <c r="CR44" s="87">
        <f t="shared" si="39"/>
        <v>3657.6</v>
      </c>
      <c r="CS44" s="401">
        <v>1</v>
      </c>
      <c r="CT44" s="374">
        <f>IF(ISBLANK(CQ44),0,_xll.FlexuralStiffness(CQ44="Fixed",$L$12,CP44*10^4,CR44)/10^6)*CS44</f>
        <v>13521.913273233131</v>
      </c>
      <c r="CU44" s="84"/>
      <c r="CV44" s="84"/>
      <c r="CW44" s="87"/>
      <c r="CX44" s="84"/>
      <c r="CY44" s="84"/>
      <c r="CZ44" s="401">
        <v>1</v>
      </c>
      <c r="DA44" s="374">
        <f>IF(ISBLANK(CX44),0,_xll.FlexuralStiffness(CX44="Fixed",$L$12,CW44*10^4,CY44)/10^6)*CZ44</f>
        <v>0</v>
      </c>
      <c r="DB44" s="84"/>
      <c r="DC44" s="84"/>
      <c r="DD44" s="87"/>
      <c r="DE44" s="84"/>
      <c r="DF44" s="84"/>
      <c r="DG44" s="401">
        <v>1</v>
      </c>
      <c r="DH44" s="374">
        <f>IF(ISBLANK(DE44),0,_xll.FlexuralStiffness(DE44="Fixed",$L$12,DD44*10^4,DF44)/10^6)*DG44</f>
        <v>0</v>
      </c>
      <c r="DI44" s="84"/>
      <c r="DJ44" s="84"/>
      <c r="DK44" s="87"/>
      <c r="DL44" s="84"/>
      <c r="DM44" s="84"/>
      <c r="DN44" s="401">
        <v>1</v>
      </c>
      <c r="DO44" s="374">
        <f>IF(ISBLANK(DL44),0,_xll.FlexuralStiffness(DL44="Fixed",$L$12,DK44*10^4,DM44)/10^6)*DN44</f>
        <v>0</v>
      </c>
      <c r="DP44" s="84"/>
      <c r="DQ44" s="84"/>
      <c r="DR44" s="87"/>
      <c r="DS44" s="84"/>
      <c r="DT44" s="84"/>
      <c r="DU44" s="401">
        <v>1</v>
      </c>
      <c r="DV44" s="87" t="str">
        <f>IF(ISBLANK(DR44),"∞",_xll.FlexuralStiffness(DS44="Fixed",$L$12,DR44*10^4,DT44)/10^6)</f>
        <v>∞</v>
      </c>
      <c r="DW44" s="84"/>
      <c r="DX44" s="87"/>
      <c r="DY44" s="84"/>
      <c r="DZ44" s="401"/>
      <c r="EA44" s="84"/>
      <c r="EB44" s="401" t="b">
        <v>0</v>
      </c>
      <c r="EC44" s="401">
        <v>1</v>
      </c>
      <c r="ED44" s="87">
        <f t="shared" si="47"/>
        <v>0</v>
      </c>
      <c r="EE44" s="381">
        <f t="shared" si="48"/>
        <v>0</v>
      </c>
      <c r="EF44" s="381">
        <f t="shared" si="14"/>
        <v>13521.913273233131</v>
      </c>
      <c r="EG44" s="394" t="s">
        <v>169</v>
      </c>
      <c r="EH44" s="84" t="s">
        <v>243</v>
      </c>
      <c r="EI44" s="84" t="s">
        <v>241</v>
      </c>
      <c r="EJ44" s="87">
        <v>1378.6111813929601</v>
      </c>
      <c r="EK44" s="84" t="s">
        <v>197</v>
      </c>
      <c r="EL44" s="87">
        <f t="shared" si="40"/>
        <v>3657.6</v>
      </c>
      <c r="EM44" s="401">
        <v>1</v>
      </c>
      <c r="EN44" s="374">
        <f>IF(ISBLANK(EK44),0,_xll.FlexuralStiffness(EK44="Fixed",$L$12,EJ44*10^4,EL44)/10^6)*EM44</f>
        <v>2318.0388138579133</v>
      </c>
      <c r="EO44" s="84"/>
      <c r="EP44" s="84"/>
      <c r="EQ44" s="87"/>
      <c r="ER44" s="84"/>
      <c r="ES44" s="84"/>
      <c r="ET44" s="401">
        <v>1</v>
      </c>
      <c r="EU44" s="374">
        <f>IF(ISBLANK(ER44),0,_xll.FlexuralStiffness(ER44="Fixed",$L$12,EQ44*10^4,ES44)/10^6)*ET44</f>
        <v>0</v>
      </c>
      <c r="EV44" s="84"/>
      <c r="EW44" s="84"/>
      <c r="EX44" s="87"/>
      <c r="EY44" s="84"/>
      <c r="EZ44" s="84"/>
      <c r="FA44" s="401">
        <v>1</v>
      </c>
      <c r="FB44" s="374">
        <f>IF(ISBLANK(EY44),0,_xll.FlexuralStiffness(EY44="Fixed",$L$12,EX44*10^4,EZ44)/10^6)*FA44</f>
        <v>0</v>
      </c>
      <c r="FC44" s="84"/>
      <c r="FD44" s="84"/>
      <c r="FE44" s="87"/>
      <c r="FF44" s="84"/>
      <c r="FG44" s="84"/>
      <c r="FH44" s="401">
        <v>1</v>
      </c>
      <c r="FI44" s="374">
        <f>IF(ISBLANK(FF44),0,_xll.FlexuralStiffness(FF44="Fixed",$L$12,FE44*10^4,FG44)/10^6)*FH44</f>
        <v>0</v>
      </c>
      <c r="FJ44" s="381">
        <f t="shared" si="49"/>
        <v>2318.0388138579133</v>
      </c>
      <c r="FK44" s="365">
        <f t="shared" si="50"/>
        <v>13521.913273233131</v>
      </c>
      <c r="FL44" s="365">
        <f t="shared" si="51"/>
        <v>2318.0388138579133</v>
      </c>
      <c r="FM44" s="89">
        <f t="shared" si="17"/>
        <v>45</v>
      </c>
      <c r="FN44" s="379">
        <f t="shared" si="52"/>
        <v>3957.6281080445096</v>
      </c>
      <c r="FO44" s="368"/>
      <c r="FP44" s="1"/>
      <c r="FQ44" s="1"/>
      <c r="FR44" s="367"/>
      <c r="FS44" s="1"/>
      <c r="FT44" s="1"/>
      <c r="FU44" s="368"/>
      <c r="FV44" s="368"/>
      <c r="FW44" s="368"/>
      <c r="FX44" s="368"/>
      <c r="FY44" s="173"/>
    </row>
    <row r="45" spans="1:181" s="326" customFormat="1" x14ac:dyDescent="0.25">
      <c r="B45" s="429">
        <v>51</v>
      </c>
      <c r="C45" s="19" t="e">
        <f t="shared" ref="C45" ca="1" si="55">CK45</f>
        <v>#NAME?</v>
      </c>
      <c r="D45" s="204">
        <f t="shared" ref="D45" si="56">FN45</f>
        <v>3957.6281080445096</v>
      </c>
      <c r="F45" s="638"/>
      <c r="G45" s="6" t="s">
        <v>86</v>
      </c>
      <c r="H45" s="9" t="s">
        <v>396</v>
      </c>
      <c r="I45" s="111">
        <v>45</v>
      </c>
      <c r="J45" s="392" t="s">
        <v>169</v>
      </c>
      <c r="K45" s="9" t="s">
        <v>239</v>
      </c>
      <c r="L45" s="9" t="s">
        <v>241</v>
      </c>
      <c r="M45" s="104">
        <v>8041.910567183334</v>
      </c>
      <c r="N45" s="9" t="s">
        <v>197</v>
      </c>
      <c r="O45" s="104">
        <f t="shared" si="37"/>
        <v>3657.6</v>
      </c>
      <c r="P45" s="402">
        <v>1</v>
      </c>
      <c r="Q45" s="375">
        <f>IF(ISBLANK(N45),0,_xll.FlexuralStiffness(N45="Fixed",$L$12,M45*10^4,O45)/10^6)*P45</f>
        <v>13521.913273233131</v>
      </c>
      <c r="R45" s="9"/>
      <c r="S45" s="9"/>
      <c r="T45" s="104"/>
      <c r="U45" s="9"/>
      <c r="V45" s="9"/>
      <c r="W45" s="402">
        <v>1</v>
      </c>
      <c r="X45" s="375">
        <f>IF(ISBLANK(U45),0,_xll.FlexuralStiffness(U45="Fixed",$L$12,T45*10^4,V45)/10^6)*W45</f>
        <v>0</v>
      </c>
      <c r="Y45" s="9"/>
      <c r="Z45" s="9"/>
      <c r="AA45" s="104"/>
      <c r="AB45" s="9"/>
      <c r="AC45" s="9"/>
      <c r="AD45" s="402">
        <v>1</v>
      </c>
      <c r="AE45" s="375">
        <f>IF(ISBLANK(AB45),0,_xll.FlexuralStiffness(AB45="Fixed",$L$12,AA45*10^4,AC45)/10^6)*AD45</f>
        <v>0</v>
      </c>
      <c r="AF45" s="9"/>
      <c r="AG45" s="9"/>
      <c r="AH45" s="104"/>
      <c r="AI45" s="9"/>
      <c r="AJ45" s="9"/>
      <c r="AK45" s="402">
        <v>1</v>
      </c>
      <c r="AL45" s="375">
        <f>IF(ISBLANK(AI45),0,_xll.FlexuralStiffness(AI45="Fixed",$L$12,AH45*10^4,AJ45)/10^6)*AK45</f>
        <v>0</v>
      </c>
      <c r="AM45" s="9"/>
      <c r="AN45" s="9"/>
      <c r="AO45" s="104"/>
      <c r="AP45" s="9"/>
      <c r="AQ45" s="9"/>
      <c r="AR45" s="402">
        <v>1</v>
      </c>
      <c r="AS45" s="104" t="str">
        <f>IF(ISBLANK(AO45),"∞",_xll.FlexuralStiffness(AP45="Fixed",$L$12,AO45*10^4,AQ45)/10^6)</f>
        <v>∞</v>
      </c>
      <c r="AT45" s="9"/>
      <c r="AU45" s="104"/>
      <c r="AV45" s="9"/>
      <c r="AW45" s="402"/>
      <c r="AX45" s="9"/>
      <c r="AY45" s="402" t="b">
        <v>0</v>
      </c>
      <c r="AZ45" s="402">
        <v>1</v>
      </c>
      <c r="BA45" s="104">
        <f t="shared" si="41"/>
        <v>0</v>
      </c>
      <c r="BB45" s="382">
        <f t="shared" si="42"/>
        <v>0</v>
      </c>
      <c r="BC45" s="382">
        <f t="shared" si="10"/>
        <v>13521.913273233131</v>
      </c>
      <c r="BD45" s="395" t="s">
        <v>169</v>
      </c>
      <c r="BE45" s="9" t="s">
        <v>243</v>
      </c>
      <c r="BF45" s="9" t="s">
        <v>241</v>
      </c>
      <c r="BG45" s="104">
        <v>1378.6111813929601</v>
      </c>
      <c r="BH45" s="9" t="s">
        <v>197</v>
      </c>
      <c r="BI45" s="104">
        <f t="shared" si="38"/>
        <v>3657.6</v>
      </c>
      <c r="BJ45" s="402">
        <v>1</v>
      </c>
      <c r="BK45" s="375">
        <f>IF(ISBLANK(BH45),0,_xll.FlexuralStiffness(BH45="Fixed",$L$12,BG45*10^4,BI45)/10^6)*BJ45</f>
        <v>2318.0388138579133</v>
      </c>
      <c r="BL45" s="9"/>
      <c r="BM45" s="9"/>
      <c r="BN45" s="104"/>
      <c r="BO45" s="9"/>
      <c r="BP45" s="9"/>
      <c r="BQ45" s="402">
        <v>1</v>
      </c>
      <c r="BR45" s="375">
        <f>IF(ISBLANK(BO45),0,_xll.FlexuralStiffness(BO45="Fixed",$L$12,BN45*10^4,BP45)/10^6)*BQ45</f>
        <v>0</v>
      </c>
      <c r="BS45" s="9"/>
      <c r="BT45" s="9"/>
      <c r="BU45" s="104"/>
      <c r="BV45" s="9"/>
      <c r="BW45" s="9"/>
      <c r="BX45" s="402">
        <v>1</v>
      </c>
      <c r="BY45" s="375">
        <f>IF(ISBLANK(BV45),0,_xll.FlexuralStiffness(BV45="Fixed",$L$12,BU45*10^4,BW45)/10^6)*BX45</f>
        <v>0</v>
      </c>
      <c r="BZ45" s="9"/>
      <c r="CA45" s="9"/>
      <c r="CB45" s="104"/>
      <c r="CC45" s="9"/>
      <c r="CD45" s="9"/>
      <c r="CE45" s="402">
        <v>1</v>
      </c>
      <c r="CF45" s="375">
        <f>IF(ISBLANK(CC45),0,_xll.FlexuralStiffness(CC45="Fixed",$L$12,CB45*10^4,CD45)/10^6)*CE45</f>
        <v>0</v>
      </c>
      <c r="CG45" s="382">
        <f t="shared" si="43"/>
        <v>2318.0388138579133</v>
      </c>
      <c r="CH45" s="366">
        <f t="shared" si="44"/>
        <v>13521.913273233131</v>
      </c>
      <c r="CI45" s="366">
        <f t="shared" si="45"/>
        <v>2318.0388138579133</v>
      </c>
      <c r="CJ45" s="14">
        <f>$I45</f>
        <v>45</v>
      </c>
      <c r="CK45" s="380" t="e">
        <f t="shared" ca="1" si="46"/>
        <v>#NAME?</v>
      </c>
      <c r="CM45" s="392" t="s">
        <v>169</v>
      </c>
      <c r="CN45" s="9" t="s">
        <v>239</v>
      </c>
      <c r="CO45" s="9" t="s">
        <v>241</v>
      </c>
      <c r="CP45" s="104">
        <v>8041.910567183334</v>
      </c>
      <c r="CQ45" s="9" t="s">
        <v>197</v>
      </c>
      <c r="CR45" s="104">
        <f t="shared" si="39"/>
        <v>3657.6</v>
      </c>
      <c r="CS45" s="402">
        <v>1</v>
      </c>
      <c r="CT45" s="375">
        <f>IF(ISBLANK(CQ45),0,_xll.FlexuralStiffness(CQ45="Fixed",$L$12,CP45*10^4,CR45)/10^6)*CS45</f>
        <v>13521.913273233131</v>
      </c>
      <c r="CU45" s="9"/>
      <c r="CV45" s="9"/>
      <c r="CW45" s="104"/>
      <c r="CX45" s="9"/>
      <c r="CY45" s="9"/>
      <c r="CZ45" s="402">
        <v>1</v>
      </c>
      <c r="DA45" s="375">
        <f>IF(ISBLANK(CX45),0,_xll.FlexuralStiffness(CX45="Fixed",$L$12,CW45*10^4,CY45)/10^6)*CZ45</f>
        <v>0</v>
      </c>
      <c r="DB45" s="9"/>
      <c r="DC45" s="9"/>
      <c r="DD45" s="104"/>
      <c r="DE45" s="9"/>
      <c r="DF45" s="9"/>
      <c r="DG45" s="402">
        <v>1</v>
      </c>
      <c r="DH45" s="375">
        <f>IF(ISBLANK(DE45),0,_xll.FlexuralStiffness(DE45="Fixed",$L$12,DD45*10^4,DF45)/10^6)*DG45</f>
        <v>0</v>
      </c>
      <c r="DI45" s="9"/>
      <c r="DJ45" s="9"/>
      <c r="DK45" s="104"/>
      <c r="DL45" s="9"/>
      <c r="DM45" s="9"/>
      <c r="DN45" s="402">
        <v>1</v>
      </c>
      <c r="DO45" s="375">
        <f>IF(ISBLANK(DL45),0,_xll.FlexuralStiffness(DL45="Fixed",$L$12,DK45*10^4,DM45)/10^6)*DN45</f>
        <v>0</v>
      </c>
      <c r="DP45" s="9"/>
      <c r="DQ45" s="9"/>
      <c r="DR45" s="104"/>
      <c r="DS45" s="9"/>
      <c r="DT45" s="9"/>
      <c r="DU45" s="402">
        <v>1</v>
      </c>
      <c r="DV45" s="104" t="str">
        <f>IF(ISBLANK(DR45),"∞",_xll.FlexuralStiffness(DS45="Fixed",$L$12,DR45*10^4,DT45)/10^6)</f>
        <v>∞</v>
      </c>
      <c r="DW45" s="9"/>
      <c r="DX45" s="104"/>
      <c r="DY45" s="9"/>
      <c r="DZ45" s="402"/>
      <c r="EA45" s="9"/>
      <c r="EB45" s="402" t="b">
        <v>0</v>
      </c>
      <c r="EC45" s="402">
        <v>1</v>
      </c>
      <c r="ED45" s="104">
        <f t="shared" si="47"/>
        <v>0</v>
      </c>
      <c r="EE45" s="382">
        <f t="shared" si="48"/>
        <v>0</v>
      </c>
      <c r="EF45" s="382">
        <f t="shared" si="14"/>
        <v>13521.913273233131</v>
      </c>
      <c r="EG45" s="395" t="s">
        <v>169</v>
      </c>
      <c r="EH45" s="9" t="s">
        <v>243</v>
      </c>
      <c r="EI45" s="9" t="s">
        <v>241</v>
      </c>
      <c r="EJ45" s="104">
        <v>1378.6111813929601</v>
      </c>
      <c r="EK45" s="9" t="s">
        <v>197</v>
      </c>
      <c r="EL45" s="104">
        <f t="shared" si="40"/>
        <v>3657.6</v>
      </c>
      <c r="EM45" s="402">
        <v>1</v>
      </c>
      <c r="EN45" s="375">
        <f>IF(ISBLANK(EK45),0,_xll.FlexuralStiffness(EK45="Fixed",$L$12,EJ45*10^4,EL45)/10^6)*EM45</f>
        <v>2318.0388138579133</v>
      </c>
      <c r="EO45" s="9"/>
      <c r="EP45" s="9"/>
      <c r="EQ45" s="104"/>
      <c r="ER45" s="9"/>
      <c r="ES45" s="9"/>
      <c r="ET45" s="402">
        <v>1</v>
      </c>
      <c r="EU45" s="375">
        <f>IF(ISBLANK(ER45),0,_xll.FlexuralStiffness(ER45="Fixed",$L$12,EQ45*10^4,ES45)/10^6)*ET45</f>
        <v>0</v>
      </c>
      <c r="EV45" s="9"/>
      <c r="EW45" s="9"/>
      <c r="EX45" s="104"/>
      <c r="EY45" s="9"/>
      <c r="EZ45" s="9"/>
      <c r="FA45" s="402">
        <v>1</v>
      </c>
      <c r="FB45" s="375">
        <f>IF(ISBLANK(EY45),0,_xll.FlexuralStiffness(EY45="Fixed",$L$12,EX45*10^4,EZ45)/10^6)*FA45</f>
        <v>0</v>
      </c>
      <c r="FC45" s="9"/>
      <c r="FD45" s="9"/>
      <c r="FE45" s="104"/>
      <c r="FF45" s="9"/>
      <c r="FG45" s="9"/>
      <c r="FH45" s="402">
        <v>1</v>
      </c>
      <c r="FI45" s="375">
        <f>IF(ISBLANK(FF45),0,_xll.FlexuralStiffness(FF45="Fixed",$L$12,FE45*10^4,FG45)/10^6)*FH45</f>
        <v>0</v>
      </c>
      <c r="FJ45" s="382">
        <f t="shared" si="49"/>
        <v>2318.0388138579133</v>
      </c>
      <c r="FK45" s="366">
        <f t="shared" si="50"/>
        <v>13521.913273233131</v>
      </c>
      <c r="FL45" s="366">
        <f t="shared" si="51"/>
        <v>2318.0388138579133</v>
      </c>
      <c r="FM45" s="14">
        <f>$I45</f>
        <v>45</v>
      </c>
      <c r="FN45" s="380">
        <f t="shared" si="52"/>
        <v>3957.6281080445096</v>
      </c>
      <c r="FO45" s="368"/>
      <c r="FP45" s="1"/>
      <c r="FQ45" s="1"/>
      <c r="FR45" s="367"/>
      <c r="FS45" s="1"/>
      <c r="FT45" s="1"/>
      <c r="FU45" s="368"/>
      <c r="FV45" s="368"/>
      <c r="FW45" s="368"/>
      <c r="FX45" s="368"/>
      <c r="FY45" s="173"/>
    </row>
    <row r="46" spans="1:181" ht="15.75" thickBot="1" x14ac:dyDescent="0.3">
      <c r="B46" s="484"/>
      <c r="C46" s="201"/>
      <c r="D46" s="205"/>
    </row>
  </sheetData>
  <mergeCells count="13">
    <mergeCell ref="C16:C17"/>
    <mergeCell ref="D16:D17"/>
    <mergeCell ref="F40:F45"/>
    <mergeCell ref="F20:F25"/>
    <mergeCell ref="F26:F31"/>
    <mergeCell ref="F32:F33"/>
    <mergeCell ref="F34:F39"/>
    <mergeCell ref="AC1:AC2"/>
    <mergeCell ref="K1:K2"/>
    <mergeCell ref="CM16:CP16"/>
    <mergeCell ref="AI1:AI2"/>
    <mergeCell ref="J16:L16"/>
    <mergeCell ref="U1:U2"/>
  </mergeCells>
  <dataValidations count="1">
    <dataValidation type="list" allowBlank="1" showInputMessage="1" showErrorMessage="1" sqref="N20:N45 BH20:BH45 AI20:AI45 AB20:AB45 BV20:BV45 CC20:CC45 U20:U45 BO20:BO45 AP20:AP45 CQ20:CQ45 EK20:EK45 DL20:DL45 DE20:DE45 EY20:EY45 FF20:FF45 CX20:CX45 ER20:ER45 DS20:DS45">
      <formula1>$N$13:$N$14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9"/>
  <sheetViews>
    <sheetView workbookViewId="0">
      <selection activeCell="E10" sqref="E10:F35"/>
    </sheetView>
  </sheetViews>
  <sheetFormatPr defaultRowHeight="15" x14ac:dyDescent="0.25"/>
  <cols>
    <col min="1" max="9" width="9.140625" style="326"/>
    <col min="10" max="10" width="11.140625" style="326" bestFit="1" customWidth="1"/>
    <col min="11" max="11" width="10" style="326" customWidth="1"/>
    <col min="12" max="13" width="9.140625" style="326"/>
    <col min="19" max="23" width="9.140625" style="326"/>
  </cols>
  <sheetData>
    <row r="1" spans="2:29" x14ac:dyDescent="0.25">
      <c r="B1" s="23" t="s">
        <v>283</v>
      </c>
      <c r="C1" s="23"/>
    </row>
    <row r="2" spans="2:29" x14ac:dyDescent="0.25">
      <c r="B2" s="325"/>
    </row>
    <row r="3" spans="2:29" x14ac:dyDescent="0.25">
      <c r="B3" s="325"/>
    </row>
    <row r="4" spans="2:29" x14ac:dyDescent="0.25">
      <c r="B4" s="325"/>
    </row>
    <row r="5" spans="2:29" x14ac:dyDescent="0.25">
      <c r="B5" s="325"/>
    </row>
    <row r="7" spans="2:29" ht="18.75" thickBot="1" x14ac:dyDescent="0.4">
      <c r="B7" s="427"/>
      <c r="C7" s="469"/>
      <c r="D7" s="470"/>
      <c r="E7" s="470"/>
      <c r="F7" s="470"/>
      <c r="G7" s="471"/>
      <c r="I7" s="23" t="s">
        <v>277</v>
      </c>
      <c r="L7" s="320"/>
      <c r="M7" s="320"/>
      <c r="V7" s="515" t="s">
        <v>563</v>
      </c>
      <c r="W7" s="515" t="s">
        <v>562</v>
      </c>
    </row>
    <row r="8" spans="2:29" ht="18" x14ac:dyDescent="0.35">
      <c r="B8" s="428" t="s">
        <v>284</v>
      </c>
      <c r="C8" s="515" t="s">
        <v>493</v>
      </c>
      <c r="D8" s="515" t="s">
        <v>494</v>
      </c>
      <c r="E8" s="515" t="s">
        <v>563</v>
      </c>
      <c r="F8" s="515" t="s">
        <v>562</v>
      </c>
      <c r="G8" s="42"/>
      <c r="I8" s="40" t="s">
        <v>1</v>
      </c>
      <c r="J8" s="273" t="s">
        <v>2</v>
      </c>
      <c r="K8" s="273" t="s">
        <v>29</v>
      </c>
      <c r="L8" s="273" t="s">
        <v>433</v>
      </c>
      <c r="M8" s="273" t="s">
        <v>350</v>
      </c>
      <c r="N8" s="273" t="s">
        <v>432</v>
      </c>
      <c r="O8" s="273" t="s">
        <v>352</v>
      </c>
      <c r="P8" s="273" t="s">
        <v>35</v>
      </c>
      <c r="Q8" s="273" t="s">
        <v>45</v>
      </c>
      <c r="R8" s="515" t="s">
        <v>495</v>
      </c>
      <c r="S8" s="515" t="s">
        <v>500</v>
      </c>
      <c r="W8" s="515" t="s">
        <v>496</v>
      </c>
      <c r="X8" s="515" t="s">
        <v>493</v>
      </c>
      <c r="Y8" s="515" t="s">
        <v>494</v>
      </c>
      <c r="AA8" s="351" t="s">
        <v>497</v>
      </c>
      <c r="AB8" s="515" t="s">
        <v>498</v>
      </c>
      <c r="AC8" s="515" t="s">
        <v>499</v>
      </c>
    </row>
    <row r="9" spans="2:29" x14ac:dyDescent="0.25">
      <c r="B9" s="430"/>
      <c r="C9" s="46" t="s">
        <v>38</v>
      </c>
      <c r="D9" s="46" t="s">
        <v>38</v>
      </c>
      <c r="E9" s="46"/>
      <c r="F9" s="600"/>
      <c r="G9" s="192"/>
      <c r="I9" s="195"/>
      <c r="J9" s="489"/>
      <c r="K9" s="489" t="s">
        <v>109</v>
      </c>
      <c r="L9" s="489" t="s">
        <v>109</v>
      </c>
      <c r="M9" s="489" t="s">
        <v>49</v>
      </c>
      <c r="N9" s="489" t="s">
        <v>109</v>
      </c>
      <c r="O9" s="489" t="s">
        <v>49</v>
      </c>
      <c r="P9" s="489" t="s">
        <v>38</v>
      </c>
      <c r="Q9" s="489" t="s">
        <v>38</v>
      </c>
      <c r="R9" s="515" t="s">
        <v>58</v>
      </c>
      <c r="S9" s="515" t="s">
        <v>58</v>
      </c>
      <c r="W9" s="515" t="s">
        <v>58</v>
      </c>
      <c r="X9" s="515" t="s">
        <v>38</v>
      </c>
      <c r="Y9" s="515" t="s">
        <v>38</v>
      </c>
      <c r="AB9" s="515" t="s">
        <v>39</v>
      </c>
      <c r="AC9" s="515" t="s">
        <v>39</v>
      </c>
    </row>
    <row r="10" spans="2:29" x14ac:dyDescent="0.25">
      <c r="B10" s="430">
        <v>10</v>
      </c>
      <c r="C10" s="65" t="e">
        <f ca="1">X10</f>
        <v>#NAME?</v>
      </c>
      <c r="D10" s="65" t="e">
        <f ca="1">Y10</f>
        <v>#NAME?</v>
      </c>
      <c r="E10" s="622" t="e">
        <f ca="1">V10</f>
        <v>#NAME?</v>
      </c>
      <c r="F10" s="622">
        <f>W10</f>
        <v>2.2222222222222223E-2</v>
      </c>
      <c r="G10" s="275"/>
      <c r="I10" s="637" t="s">
        <v>255</v>
      </c>
      <c r="J10" s="510" t="s">
        <v>82</v>
      </c>
      <c r="K10" s="541" t="e">
        <f ca="1">VLOOKUP($B10,'Equiv Connection'!$B$10:$H$29,MATCH(K$8,'Equiv Connection'!$B$8:$H$8,0),FALSE)</f>
        <v>#NAME?</v>
      </c>
      <c r="L10" s="541" t="e">
        <f ca="1">VLOOKUP($B10,'Equiv Connection'!$B$10:$H$29,MATCH(L$8,'Equiv Connection'!$B$8:$H$8,0),FALSE)</f>
        <v>#NAME?</v>
      </c>
      <c r="M10" s="86" t="e">
        <f ca="1">VLOOKUP($B10,'Equiv Connection'!$B$10:$H$29,MATCH(M$8,'Equiv Connection'!$B$8:$H$8,0),FALSE)</f>
        <v>#NAME?</v>
      </c>
      <c r="N10" s="541" t="e">
        <f ca="1">VLOOKUP($B10,'Equiv Connection'!$B$10:$H$29,MATCH(N$8,'Equiv Connection'!$B$8:$H$8,0),FALSE)</f>
        <v>#NAME?</v>
      </c>
      <c r="O10" s="86" t="e">
        <f ca="1">VLOOKUP($B10,'Equiv Connection'!$B$10:$H$29,MATCH(O$8,'Equiv Connection'!$B$8:$H$8,0),FALSE)</f>
        <v>#NAME?</v>
      </c>
      <c r="P10" s="483">
        <v>90</v>
      </c>
      <c r="Q10" s="501">
        <v>1</v>
      </c>
      <c r="R10" s="617">
        <f>1/2000</f>
        <v>5.0000000000000001E-4</v>
      </c>
      <c r="S10" s="551">
        <v>0.01</v>
      </c>
      <c r="V10" s="621" t="e">
        <f ca="1">R10+Q10/(L10*10^3)</f>
        <v>#NAME?</v>
      </c>
      <c r="W10" s="349">
        <f t="shared" ref="W10:W29" si="0">2*Q10/P10</f>
        <v>2.2222222222222223E-2</v>
      </c>
      <c r="X10" s="344" t="e">
        <f ca="1">(R10+W10)*L10*10^3+Q10</f>
        <v>#NAME?</v>
      </c>
      <c r="Y10" s="344" t="e">
        <f ca="1">(R10+W10)*N10*10^3+Q10</f>
        <v>#NAME?</v>
      </c>
      <c r="AC10" t="e">
        <f ca="1">(1-2*L10/K10)*AA10</f>
        <v>#NAME?</v>
      </c>
    </row>
    <row r="11" spans="2:29" x14ac:dyDescent="0.25">
      <c r="B11" s="430">
        <v>11</v>
      </c>
      <c r="C11" s="65" t="e">
        <f t="shared" ref="C11:C28" ca="1" si="1">X11</f>
        <v>#NAME?</v>
      </c>
      <c r="D11" s="65" t="e">
        <f t="shared" ref="D11:D28" ca="1" si="2">Y11</f>
        <v>#NAME?</v>
      </c>
      <c r="E11" s="622" t="e">
        <f t="shared" ref="E11:E35" ca="1" si="3">V11</f>
        <v>#NAME?</v>
      </c>
      <c r="F11" s="622">
        <f t="shared" ref="F11:F35" si="4">W11</f>
        <v>1.1111111111111112E-2</v>
      </c>
      <c r="G11" s="275"/>
      <c r="I11" s="637"/>
      <c r="J11" s="510" t="s">
        <v>15</v>
      </c>
      <c r="K11" s="542" t="e">
        <f ca="1">VLOOKUP($B11,'Equiv Connection'!$B$10:$H$29,MATCH(K$8,'Equiv Connection'!$B$8:$H$8,0),FALSE)</f>
        <v>#NAME?</v>
      </c>
      <c r="L11" s="542" t="e">
        <f ca="1">VLOOKUP($B11,'Equiv Connection'!$B$10:$H$29,MATCH(L$8,'Equiv Connection'!$B$8:$H$8,0),FALSE)</f>
        <v>#NAME?</v>
      </c>
      <c r="M11" s="546" t="e">
        <f ca="1">VLOOKUP($B11,'Equiv Connection'!$B$10:$H$29,MATCH(M$8,'Equiv Connection'!$B$8:$H$8,0),FALSE)</f>
        <v>#NAME?</v>
      </c>
      <c r="N11" s="542" t="e">
        <f ca="1">VLOOKUP($B11,'Equiv Connection'!$B$10:$H$29,MATCH(N$8,'Equiv Connection'!$B$8:$H$8,0),FALSE)</f>
        <v>#NAME?</v>
      </c>
      <c r="O11" s="546" t="e">
        <f ca="1">VLOOKUP($B11,'Equiv Connection'!$B$10:$H$29,MATCH(O$8,'Equiv Connection'!$B$8:$H$8,0),FALSE)</f>
        <v>#NAME?</v>
      </c>
      <c r="P11" s="483">
        <v>180</v>
      </c>
      <c r="Q11" s="501">
        <v>1</v>
      </c>
      <c r="R11" s="617">
        <f t="shared" ref="R11:R15" si="5">1/2000</f>
        <v>5.0000000000000001E-4</v>
      </c>
      <c r="S11" s="551">
        <v>0.01</v>
      </c>
      <c r="V11" s="621" t="e">
        <f t="shared" ref="V11:V29" ca="1" si="6">R11+Q11/(L11*10^3)</f>
        <v>#NAME?</v>
      </c>
      <c r="W11" s="349">
        <f t="shared" si="0"/>
        <v>1.1111111111111112E-2</v>
      </c>
      <c r="X11" s="344" t="e">
        <f t="shared" ref="X11:X29" ca="1" si="7">(R11+W11)*L11*10^3+Q11</f>
        <v>#NAME?</v>
      </c>
      <c r="Y11" s="344" t="e">
        <f t="shared" ref="Y11:Y29" ca="1" si="8">(R11+W11)*N11*10^3+Q11</f>
        <v>#NAME?</v>
      </c>
    </row>
    <row r="12" spans="2:29" x14ac:dyDescent="0.25">
      <c r="B12" s="430">
        <v>12</v>
      </c>
      <c r="C12" s="65" t="e">
        <f t="shared" ca="1" si="1"/>
        <v>#NAME?</v>
      </c>
      <c r="D12" s="65" t="e">
        <f t="shared" ca="1" si="2"/>
        <v>#NAME?</v>
      </c>
      <c r="E12" s="622" t="e">
        <f t="shared" ca="1" si="3"/>
        <v>#NAME?</v>
      </c>
      <c r="F12" s="622">
        <f t="shared" si="4"/>
        <v>2.2222222222222223E-2</v>
      </c>
      <c r="G12" s="275"/>
      <c r="I12" s="637"/>
      <c r="J12" s="510" t="s">
        <v>16</v>
      </c>
      <c r="K12" s="542" t="e">
        <f ca="1">VLOOKUP($B12,'Equiv Connection'!$B$10:$H$29,MATCH(K$8,'Equiv Connection'!$B$8:$H$8,0),FALSE)</f>
        <v>#NAME?</v>
      </c>
      <c r="L12" s="542" t="e">
        <f ca="1">VLOOKUP($B12,'Equiv Connection'!$B$10:$H$29,MATCH(L$8,'Equiv Connection'!$B$8:$H$8,0),FALSE)</f>
        <v>#NAME?</v>
      </c>
      <c r="M12" s="546" t="e">
        <f ca="1">VLOOKUP($B12,'Equiv Connection'!$B$10:$H$29,MATCH(M$8,'Equiv Connection'!$B$8:$H$8,0),FALSE)</f>
        <v>#NAME?</v>
      </c>
      <c r="N12" s="542" t="e">
        <f ca="1">VLOOKUP($B12,'Equiv Connection'!$B$10:$H$29,MATCH(N$8,'Equiv Connection'!$B$8:$H$8,0),FALSE)</f>
        <v>#NAME?</v>
      </c>
      <c r="O12" s="546" t="e">
        <f ca="1">VLOOKUP($B12,'Equiv Connection'!$B$10:$H$29,MATCH(O$8,'Equiv Connection'!$B$8:$H$8,0),FALSE)</f>
        <v>#NAME?</v>
      </c>
      <c r="P12" s="483">
        <v>180</v>
      </c>
      <c r="Q12" s="501">
        <v>2</v>
      </c>
      <c r="R12" s="617">
        <f t="shared" si="5"/>
        <v>5.0000000000000001E-4</v>
      </c>
      <c r="S12" s="551">
        <v>0.01</v>
      </c>
      <c r="V12" s="621" t="e">
        <f t="shared" ca="1" si="6"/>
        <v>#NAME?</v>
      </c>
      <c r="W12" s="349">
        <f t="shared" si="0"/>
        <v>2.2222222222222223E-2</v>
      </c>
      <c r="X12" s="344" t="e">
        <f t="shared" ca="1" si="7"/>
        <v>#NAME?</v>
      </c>
      <c r="Y12" s="344" t="e">
        <f t="shared" ca="1" si="8"/>
        <v>#NAME?</v>
      </c>
    </row>
    <row r="13" spans="2:29" x14ac:dyDescent="0.25">
      <c r="B13" s="430">
        <v>13</v>
      </c>
      <c r="C13" s="65" t="e">
        <f t="shared" ca="1" si="1"/>
        <v>#NAME?</v>
      </c>
      <c r="D13" s="65" t="e">
        <f t="shared" ca="1" si="2"/>
        <v>#NAME?</v>
      </c>
      <c r="E13" s="622" t="e">
        <f t="shared" ca="1" si="3"/>
        <v>#NAME?</v>
      </c>
      <c r="F13" s="622">
        <f t="shared" si="4"/>
        <v>2.2222222222222223E-2</v>
      </c>
      <c r="G13" s="275"/>
      <c r="I13" s="637"/>
      <c r="J13" s="510" t="s">
        <v>17</v>
      </c>
      <c r="K13" s="542" t="e">
        <f ca="1">VLOOKUP($B13,'Equiv Connection'!$B$10:$H$29,MATCH(K$8,'Equiv Connection'!$B$8:$H$8,0),FALSE)</f>
        <v>#NAME?</v>
      </c>
      <c r="L13" s="542" t="e">
        <f ca="1">VLOOKUP($B13,'Equiv Connection'!$B$10:$H$29,MATCH(L$8,'Equiv Connection'!$B$8:$H$8,0),FALSE)</f>
        <v>#NAME?</v>
      </c>
      <c r="M13" s="546" t="e">
        <f ca="1">VLOOKUP($B13,'Equiv Connection'!$B$10:$H$29,MATCH(M$8,'Equiv Connection'!$B$8:$H$8,0),FALSE)</f>
        <v>#NAME?</v>
      </c>
      <c r="N13" s="542" t="e">
        <f ca="1">VLOOKUP($B13,'Equiv Connection'!$B$10:$H$29,MATCH(N$8,'Equiv Connection'!$B$8:$H$8,0),FALSE)</f>
        <v>#NAME?</v>
      </c>
      <c r="O13" s="546" t="e">
        <f ca="1">VLOOKUP($B13,'Equiv Connection'!$B$10:$H$29,MATCH(O$8,'Equiv Connection'!$B$8:$H$8,0),FALSE)</f>
        <v>#NAME?</v>
      </c>
      <c r="P13" s="483">
        <v>180</v>
      </c>
      <c r="Q13" s="501">
        <v>2</v>
      </c>
      <c r="R13" s="617">
        <f t="shared" si="5"/>
        <v>5.0000000000000001E-4</v>
      </c>
      <c r="S13" s="551">
        <v>0.01</v>
      </c>
      <c r="V13" s="621" t="e">
        <f t="shared" ca="1" si="6"/>
        <v>#NAME?</v>
      </c>
      <c r="W13" s="349">
        <f t="shared" si="0"/>
        <v>2.2222222222222223E-2</v>
      </c>
      <c r="X13" s="344" t="e">
        <f t="shared" ca="1" si="7"/>
        <v>#NAME?</v>
      </c>
      <c r="Y13" s="344" t="e">
        <f t="shared" ca="1" si="8"/>
        <v>#NAME?</v>
      </c>
    </row>
    <row r="14" spans="2:29" x14ac:dyDescent="0.25">
      <c r="B14" s="430">
        <v>14</v>
      </c>
      <c r="C14" s="65" t="e">
        <f t="shared" ca="1" si="1"/>
        <v>#NAME?</v>
      </c>
      <c r="D14" s="65" t="e">
        <f t="shared" ca="1" si="2"/>
        <v>#NAME?</v>
      </c>
      <c r="E14" s="622" t="e">
        <f t="shared" ca="1" si="3"/>
        <v>#NAME?</v>
      </c>
      <c r="F14" s="622">
        <f t="shared" si="4"/>
        <v>2.2222222222222223E-2</v>
      </c>
      <c r="G14" s="275"/>
      <c r="I14" s="637"/>
      <c r="J14" s="510" t="s">
        <v>18</v>
      </c>
      <c r="K14" s="542" t="e">
        <f ca="1">VLOOKUP($B14,'Equiv Connection'!$B$10:$H$29,MATCH(K$8,'Equiv Connection'!$B$8:$H$8,0),FALSE)</f>
        <v>#NAME?</v>
      </c>
      <c r="L14" s="542" t="e">
        <f ca="1">VLOOKUP($B14,'Equiv Connection'!$B$10:$H$29,MATCH(L$8,'Equiv Connection'!$B$8:$H$8,0),FALSE)</f>
        <v>#NAME?</v>
      </c>
      <c r="M14" s="546" t="e">
        <f ca="1">VLOOKUP($B14,'Equiv Connection'!$B$10:$H$29,MATCH(M$8,'Equiv Connection'!$B$8:$H$8,0),FALSE)</f>
        <v>#NAME?</v>
      </c>
      <c r="N14" s="542" t="e">
        <f ca="1">VLOOKUP($B14,'Equiv Connection'!$B$10:$H$29,MATCH(N$8,'Equiv Connection'!$B$8:$H$8,0),FALSE)</f>
        <v>#NAME?</v>
      </c>
      <c r="O14" s="546" t="e">
        <f ca="1">VLOOKUP($B14,'Equiv Connection'!$B$10:$H$29,MATCH(O$8,'Equiv Connection'!$B$8:$H$8,0),FALSE)</f>
        <v>#NAME?</v>
      </c>
      <c r="P14" s="483">
        <v>90</v>
      </c>
      <c r="Q14" s="501">
        <v>1</v>
      </c>
      <c r="R14" s="617">
        <f t="shared" si="5"/>
        <v>5.0000000000000001E-4</v>
      </c>
      <c r="S14" s="551">
        <v>0.01</v>
      </c>
      <c r="V14" s="621" t="e">
        <f t="shared" ca="1" si="6"/>
        <v>#NAME?</v>
      </c>
      <c r="W14" s="349">
        <f t="shared" si="0"/>
        <v>2.2222222222222223E-2</v>
      </c>
      <c r="X14" s="344" t="e">
        <f t="shared" ca="1" si="7"/>
        <v>#NAME?</v>
      </c>
      <c r="Y14" s="344" t="e">
        <f t="shared" ca="1" si="8"/>
        <v>#NAME?</v>
      </c>
    </row>
    <row r="15" spans="2:29" x14ac:dyDescent="0.25">
      <c r="B15" s="429">
        <v>15</v>
      </c>
      <c r="C15" s="17" t="e">
        <f t="shared" ca="1" si="1"/>
        <v>#NAME?</v>
      </c>
      <c r="D15" s="17" t="e">
        <f t="shared" ca="1" si="2"/>
        <v>#NAME?</v>
      </c>
      <c r="E15" s="622" t="e">
        <f t="shared" ca="1" si="3"/>
        <v>#NAME?</v>
      </c>
      <c r="F15" s="622">
        <f t="shared" si="4"/>
        <v>4.4444444444444446E-2</v>
      </c>
      <c r="G15" s="282"/>
      <c r="I15" s="638"/>
      <c r="J15" s="489" t="s">
        <v>19</v>
      </c>
      <c r="K15" s="543" t="e">
        <f ca="1">VLOOKUP($B15,'Equiv Connection'!$B$10:$H$29,MATCH(K$8,'Equiv Connection'!$B$8:$H$8,0),FALSE)</f>
        <v>#NAME?</v>
      </c>
      <c r="L15" s="543" t="e">
        <f ca="1">VLOOKUP($B15,'Equiv Connection'!$B$10:$H$29,MATCH(L$8,'Equiv Connection'!$B$8:$H$8,0),FALSE)</f>
        <v>#NAME?</v>
      </c>
      <c r="M15" s="547" t="e">
        <f ca="1">VLOOKUP($B15,'Equiv Connection'!$B$10:$H$29,MATCH(M$8,'Equiv Connection'!$B$8:$H$8,0),FALSE)</f>
        <v>#NAME?</v>
      </c>
      <c r="N15" s="543" t="e">
        <f ca="1">VLOOKUP($B15,'Equiv Connection'!$B$10:$H$29,MATCH(N$8,'Equiv Connection'!$B$8:$H$8,0),FALSE)</f>
        <v>#NAME?</v>
      </c>
      <c r="O15" s="547" t="e">
        <f ca="1">VLOOKUP($B15,'Equiv Connection'!$B$10:$H$29,MATCH(O$8,'Equiv Connection'!$B$8:$H$8,0),FALSE)</f>
        <v>#NAME?</v>
      </c>
      <c r="P15" s="549">
        <v>90</v>
      </c>
      <c r="Q15" s="504">
        <v>2</v>
      </c>
      <c r="R15" s="618">
        <f t="shared" si="5"/>
        <v>5.0000000000000001E-4</v>
      </c>
      <c r="S15" s="551">
        <v>0.01</v>
      </c>
      <c r="V15" s="621" t="e">
        <f t="shared" ca="1" si="6"/>
        <v>#NAME?</v>
      </c>
      <c r="W15" s="349">
        <f t="shared" si="0"/>
        <v>4.4444444444444446E-2</v>
      </c>
      <c r="X15" s="344" t="e">
        <f t="shared" ca="1" si="7"/>
        <v>#NAME?</v>
      </c>
      <c r="Y15" s="344" t="e">
        <f t="shared" ca="1" si="8"/>
        <v>#NAME?</v>
      </c>
    </row>
    <row r="16" spans="2:29" x14ac:dyDescent="0.25">
      <c r="B16" s="430">
        <v>20</v>
      </c>
      <c r="C16" s="65" t="e">
        <f t="shared" ca="1" si="1"/>
        <v>#NAME?</v>
      </c>
      <c r="D16" s="65" t="e">
        <f t="shared" ca="1" si="2"/>
        <v>#NAME?</v>
      </c>
      <c r="E16" s="622" t="e">
        <f t="shared" ca="1" si="3"/>
        <v>#NAME?</v>
      </c>
      <c r="F16" s="622">
        <f t="shared" si="4"/>
        <v>1.1111111111111112E-2</v>
      </c>
      <c r="G16" s="275"/>
      <c r="I16" s="636" t="s">
        <v>256</v>
      </c>
      <c r="J16" s="513" t="s">
        <v>78</v>
      </c>
      <c r="K16" s="544" t="e">
        <f ca="1">VLOOKUP($B16,'Equiv Connection'!$B$10:$H$29,MATCH(K$8,'Equiv Connection'!$B$8:$H$8,0),FALSE)</f>
        <v>#NAME?</v>
      </c>
      <c r="L16" s="544" t="e">
        <f ca="1">VLOOKUP($B16,'Equiv Connection'!$B$10:$H$29,MATCH(L$8,'Equiv Connection'!$B$8:$H$8,0),FALSE)</f>
        <v>#NAME?</v>
      </c>
      <c r="M16" s="548" t="e">
        <f ca="1">VLOOKUP($B16,'Equiv Connection'!$B$10:$H$29,MATCH(M$8,'Equiv Connection'!$B$8:$H$8,0),FALSE)</f>
        <v>#NAME?</v>
      </c>
      <c r="N16" s="544" t="e">
        <f ca="1">VLOOKUP($B16,'Equiv Connection'!$B$10:$H$29,MATCH(N$8,'Equiv Connection'!$B$8:$H$8,0),FALSE)</f>
        <v>#NAME?</v>
      </c>
      <c r="O16" s="548" t="e">
        <f ca="1">VLOOKUP($B16,'Equiv Connection'!$B$10:$H$29,MATCH(O$8,'Equiv Connection'!$B$8:$H$8,0),FALSE)</f>
        <v>#NAME?</v>
      </c>
      <c r="P16" s="550">
        <v>180</v>
      </c>
      <c r="Q16" s="508">
        <v>1</v>
      </c>
      <c r="R16" s="619">
        <f t="shared" ref="R16:R29" si="9">1/1000</f>
        <v>1E-3</v>
      </c>
      <c r="S16" s="551">
        <v>0.01</v>
      </c>
      <c r="V16" s="621" t="e">
        <f t="shared" ca="1" si="6"/>
        <v>#NAME?</v>
      </c>
      <c r="W16" s="349">
        <f t="shared" si="0"/>
        <v>1.1111111111111112E-2</v>
      </c>
      <c r="X16" s="344" t="e">
        <f t="shared" ca="1" si="7"/>
        <v>#NAME?</v>
      </c>
      <c r="Y16" s="344" t="e">
        <f t="shared" ca="1" si="8"/>
        <v>#NAME?</v>
      </c>
    </row>
    <row r="17" spans="2:28" x14ac:dyDescent="0.25">
      <c r="B17" s="430">
        <v>21</v>
      </c>
      <c r="C17" s="65" t="e">
        <f t="shared" ca="1" si="1"/>
        <v>#NAME?</v>
      </c>
      <c r="D17" s="65" t="e">
        <f t="shared" ca="1" si="2"/>
        <v>#NAME?</v>
      </c>
      <c r="E17" s="622" t="e">
        <f t="shared" ca="1" si="3"/>
        <v>#NAME?</v>
      </c>
      <c r="F17" s="622">
        <f t="shared" si="4"/>
        <v>1.1111111111111112E-2</v>
      </c>
      <c r="G17" s="275"/>
      <c r="I17" s="637"/>
      <c r="J17" s="515" t="s">
        <v>79</v>
      </c>
      <c r="K17" s="542" t="e">
        <f ca="1">VLOOKUP($B17,'Equiv Connection'!$B$10:$H$29,MATCH(K$8,'Equiv Connection'!$B$8:$H$8,0),FALSE)</f>
        <v>#NAME?</v>
      </c>
      <c r="L17" s="542" t="e">
        <f ca="1">VLOOKUP($B17,'Equiv Connection'!$B$10:$H$29,MATCH(L$8,'Equiv Connection'!$B$8:$H$8,0),FALSE)</f>
        <v>#NAME?</v>
      </c>
      <c r="M17" s="546" t="e">
        <f ca="1">VLOOKUP($B17,'Equiv Connection'!$B$10:$H$29,MATCH(M$8,'Equiv Connection'!$B$8:$H$8,0),FALSE)</f>
        <v>#NAME?</v>
      </c>
      <c r="N17" s="542" t="e">
        <f ca="1">VLOOKUP($B17,'Equiv Connection'!$B$10:$H$29,MATCH(N$8,'Equiv Connection'!$B$8:$H$8,0),FALSE)</f>
        <v>#NAME?</v>
      </c>
      <c r="O17" s="546" t="e">
        <f ca="1">VLOOKUP($B17,'Equiv Connection'!$B$10:$H$29,MATCH(O$8,'Equiv Connection'!$B$8:$H$8,0),FALSE)</f>
        <v>#NAME?</v>
      </c>
      <c r="P17" s="483">
        <v>180</v>
      </c>
      <c r="Q17" s="501">
        <v>1</v>
      </c>
      <c r="R17" s="617">
        <f t="shared" si="9"/>
        <v>1E-3</v>
      </c>
      <c r="S17" s="551">
        <v>0.01</v>
      </c>
      <c r="V17" s="621" t="e">
        <f t="shared" ca="1" si="6"/>
        <v>#NAME?</v>
      </c>
      <c r="W17" s="349">
        <f t="shared" si="0"/>
        <v>1.1111111111111112E-2</v>
      </c>
      <c r="X17" s="344" t="e">
        <f t="shared" ca="1" si="7"/>
        <v>#NAME?</v>
      </c>
      <c r="Y17" s="344" t="e">
        <f t="shared" ca="1" si="8"/>
        <v>#NAME?</v>
      </c>
    </row>
    <row r="18" spans="2:28" x14ac:dyDescent="0.25">
      <c r="B18" s="430">
        <v>22</v>
      </c>
      <c r="C18" s="65" t="e">
        <f t="shared" ca="1" si="1"/>
        <v>#NAME?</v>
      </c>
      <c r="D18" s="65" t="e">
        <f t="shared" ca="1" si="2"/>
        <v>#NAME?</v>
      </c>
      <c r="E18" s="622" t="e">
        <f t="shared" ca="1" si="3"/>
        <v>#NAME?</v>
      </c>
      <c r="F18" s="622">
        <f t="shared" si="4"/>
        <v>1.1111111111111112E-2</v>
      </c>
      <c r="G18" s="275"/>
      <c r="I18" s="637"/>
      <c r="J18" s="515" t="s">
        <v>76</v>
      </c>
      <c r="K18" s="542" t="e">
        <f ca="1">VLOOKUP($B18,'Equiv Connection'!$B$10:$H$29,MATCH(K$8,'Equiv Connection'!$B$8:$H$8,0),FALSE)</f>
        <v>#NAME?</v>
      </c>
      <c r="L18" s="542" t="e">
        <f ca="1">VLOOKUP($B18,'Equiv Connection'!$B$10:$H$29,MATCH(L$8,'Equiv Connection'!$B$8:$H$8,0),FALSE)</f>
        <v>#NAME?</v>
      </c>
      <c r="M18" s="546" t="e">
        <f ca="1">VLOOKUP($B18,'Equiv Connection'!$B$10:$H$29,MATCH(M$8,'Equiv Connection'!$B$8:$H$8,0),FALSE)</f>
        <v>#NAME?</v>
      </c>
      <c r="N18" s="542" t="e">
        <f ca="1">VLOOKUP($B18,'Equiv Connection'!$B$10:$H$29,MATCH(N$8,'Equiv Connection'!$B$8:$H$8,0),FALSE)</f>
        <v>#NAME?</v>
      </c>
      <c r="O18" s="546" t="e">
        <f ca="1">VLOOKUP($B18,'Equiv Connection'!$B$10:$H$29,MATCH(O$8,'Equiv Connection'!$B$8:$H$8,0),FALSE)</f>
        <v>#NAME?</v>
      </c>
      <c r="P18" s="483">
        <v>180</v>
      </c>
      <c r="Q18" s="501">
        <v>1</v>
      </c>
      <c r="R18" s="617">
        <f t="shared" si="9"/>
        <v>1E-3</v>
      </c>
      <c r="S18" s="551">
        <v>0.01</v>
      </c>
      <c r="V18" s="621" t="e">
        <f t="shared" ca="1" si="6"/>
        <v>#NAME?</v>
      </c>
      <c r="W18" s="349">
        <f t="shared" si="0"/>
        <v>1.1111111111111112E-2</v>
      </c>
      <c r="X18" s="344" t="e">
        <f t="shared" ca="1" si="7"/>
        <v>#NAME?</v>
      </c>
      <c r="Y18" s="344" t="e">
        <f t="shared" ca="1" si="8"/>
        <v>#NAME?</v>
      </c>
    </row>
    <row r="19" spans="2:28" x14ac:dyDescent="0.25">
      <c r="B19" s="430">
        <v>23</v>
      </c>
      <c r="C19" s="65" t="e">
        <f t="shared" ca="1" si="1"/>
        <v>#NAME?</v>
      </c>
      <c r="D19" s="65" t="e">
        <f t="shared" ca="1" si="2"/>
        <v>#NAME?</v>
      </c>
      <c r="E19" s="622" t="e">
        <f t="shared" ca="1" si="3"/>
        <v>#NAME?</v>
      </c>
      <c r="F19" s="622">
        <f t="shared" si="4"/>
        <v>1.1111111111111112E-2</v>
      </c>
      <c r="G19" s="275"/>
      <c r="I19" s="637"/>
      <c r="J19" s="515" t="s">
        <v>80</v>
      </c>
      <c r="K19" s="542" t="e">
        <f ca="1">VLOOKUP($B19,'Equiv Connection'!$B$10:$H$29,MATCH(K$8,'Equiv Connection'!$B$8:$H$8,0),FALSE)</f>
        <v>#NAME?</v>
      </c>
      <c r="L19" s="542" t="e">
        <f ca="1">VLOOKUP($B19,'Equiv Connection'!$B$10:$H$29,MATCH(L$8,'Equiv Connection'!$B$8:$H$8,0),FALSE)</f>
        <v>#NAME?</v>
      </c>
      <c r="M19" s="546" t="e">
        <f ca="1">VLOOKUP($B19,'Equiv Connection'!$B$10:$H$29,MATCH(M$8,'Equiv Connection'!$B$8:$H$8,0),FALSE)</f>
        <v>#NAME?</v>
      </c>
      <c r="N19" s="542" t="e">
        <f ca="1">VLOOKUP($B19,'Equiv Connection'!$B$10:$H$29,MATCH(N$8,'Equiv Connection'!$B$8:$H$8,0),FALSE)</f>
        <v>#NAME?</v>
      </c>
      <c r="O19" s="546" t="e">
        <f ca="1">VLOOKUP($B19,'Equiv Connection'!$B$10:$H$29,MATCH(O$8,'Equiv Connection'!$B$8:$H$8,0),FALSE)</f>
        <v>#NAME?</v>
      </c>
      <c r="P19" s="483">
        <v>180</v>
      </c>
      <c r="Q19" s="501">
        <v>1</v>
      </c>
      <c r="R19" s="617">
        <f t="shared" si="9"/>
        <v>1E-3</v>
      </c>
      <c r="S19" s="551">
        <v>0.01</v>
      </c>
      <c r="V19" s="621" t="e">
        <f t="shared" ca="1" si="6"/>
        <v>#NAME?</v>
      </c>
      <c r="W19" s="349">
        <f t="shared" si="0"/>
        <v>1.1111111111111112E-2</v>
      </c>
      <c r="X19" s="344" t="e">
        <f t="shared" ca="1" si="7"/>
        <v>#NAME?</v>
      </c>
      <c r="Y19" s="344" t="e">
        <f t="shared" ca="1" si="8"/>
        <v>#NAME?</v>
      </c>
    </row>
    <row r="20" spans="2:28" x14ac:dyDescent="0.25">
      <c r="B20" s="430">
        <v>24</v>
      </c>
      <c r="C20" s="65" t="e">
        <f t="shared" ca="1" si="1"/>
        <v>#NAME?</v>
      </c>
      <c r="D20" s="65" t="e">
        <f t="shared" ca="1" si="2"/>
        <v>#NAME?</v>
      </c>
      <c r="E20" s="622" t="e">
        <f t="shared" ca="1" si="3"/>
        <v>#NAME?</v>
      </c>
      <c r="F20" s="622">
        <f t="shared" si="4"/>
        <v>1.1111111111111112E-2</v>
      </c>
      <c r="G20" s="275"/>
      <c r="I20" s="637"/>
      <c r="J20" s="515" t="s">
        <v>81</v>
      </c>
      <c r="K20" s="542" t="e">
        <f ca="1">VLOOKUP($B20,'Equiv Connection'!$B$10:$H$29,MATCH(K$8,'Equiv Connection'!$B$8:$H$8,0),FALSE)</f>
        <v>#NAME?</v>
      </c>
      <c r="L20" s="542" t="e">
        <f ca="1">VLOOKUP($B20,'Equiv Connection'!$B$10:$H$29,MATCH(L$8,'Equiv Connection'!$B$8:$H$8,0),FALSE)</f>
        <v>#NAME?</v>
      </c>
      <c r="M20" s="546" t="e">
        <f ca="1">VLOOKUP($B20,'Equiv Connection'!$B$10:$H$29,MATCH(M$8,'Equiv Connection'!$B$8:$H$8,0),FALSE)</f>
        <v>#NAME?</v>
      </c>
      <c r="N20" s="542" t="e">
        <f ca="1">VLOOKUP($B20,'Equiv Connection'!$B$10:$H$29,MATCH(N$8,'Equiv Connection'!$B$8:$H$8,0),FALSE)</f>
        <v>#NAME?</v>
      </c>
      <c r="O20" s="546" t="e">
        <f ca="1">VLOOKUP($B20,'Equiv Connection'!$B$10:$H$29,MATCH(O$8,'Equiv Connection'!$B$8:$H$8,0),FALSE)</f>
        <v>#NAME?</v>
      </c>
      <c r="P20" s="483">
        <v>180</v>
      </c>
      <c r="Q20" s="501">
        <v>1</v>
      </c>
      <c r="R20" s="617">
        <f t="shared" si="9"/>
        <v>1E-3</v>
      </c>
      <c r="S20" s="551">
        <v>0.01</v>
      </c>
      <c r="V20" s="621" t="e">
        <f t="shared" ca="1" si="6"/>
        <v>#NAME?</v>
      </c>
      <c r="W20" s="349">
        <f t="shared" si="0"/>
        <v>1.1111111111111112E-2</v>
      </c>
      <c r="X20" s="344" t="e">
        <f t="shared" ca="1" si="7"/>
        <v>#NAME?</v>
      </c>
      <c r="Y20" s="344" t="e">
        <f t="shared" ca="1" si="8"/>
        <v>#NAME?</v>
      </c>
    </row>
    <row r="21" spans="2:28" x14ac:dyDescent="0.25">
      <c r="B21" s="429">
        <v>25</v>
      </c>
      <c r="C21" s="17" t="e">
        <f t="shared" ca="1" si="1"/>
        <v>#DIV/0!</v>
      </c>
      <c r="D21" s="17" t="e">
        <f t="shared" ca="1" si="2"/>
        <v>#DIV/0!</v>
      </c>
      <c r="E21" s="622" t="e">
        <f t="shared" ca="1" si="3"/>
        <v>#NAME?</v>
      </c>
      <c r="F21" s="622" t="e">
        <f t="shared" si="4"/>
        <v>#DIV/0!</v>
      </c>
      <c r="G21" s="282"/>
      <c r="I21" s="638"/>
      <c r="J21" s="516" t="s">
        <v>77</v>
      </c>
      <c r="K21" s="543" t="e">
        <f ca="1">VLOOKUP($B21,'Equiv Connection'!$B$10:$H$29,MATCH(K$8,'Equiv Connection'!$B$8:$H$8,0),FALSE)</f>
        <v>#NAME?</v>
      </c>
      <c r="L21" s="543" t="e">
        <f ca="1">VLOOKUP($B21,'Equiv Connection'!$B$10:$H$29,MATCH(L$8,'Equiv Connection'!$B$8:$H$8,0),FALSE)</f>
        <v>#NAME?</v>
      </c>
      <c r="M21" s="547" t="e">
        <f ca="1">VLOOKUP($B21,'Equiv Connection'!$B$10:$H$29,MATCH(M$8,'Equiv Connection'!$B$8:$H$8,0),FALSE)</f>
        <v>#NAME?</v>
      </c>
      <c r="N21" s="543" t="e">
        <f ca="1">VLOOKUP($B21,'Equiv Connection'!$B$10:$H$29,MATCH(N$8,'Equiv Connection'!$B$8:$H$8,0),FALSE)</f>
        <v>#NAME?</v>
      </c>
      <c r="O21" s="547" t="e">
        <f ca="1">VLOOKUP($B21,'Equiv Connection'!$B$10:$H$29,MATCH(O$8,'Equiv Connection'!$B$8:$H$8,0),FALSE)</f>
        <v>#NAME?</v>
      </c>
      <c r="P21" s="549">
        <v>0</v>
      </c>
      <c r="Q21" s="504">
        <v>1</v>
      </c>
      <c r="R21" s="618">
        <f t="shared" si="9"/>
        <v>1E-3</v>
      </c>
      <c r="S21" s="551">
        <v>0.01</v>
      </c>
      <c r="V21" s="621" t="e">
        <f t="shared" ca="1" si="6"/>
        <v>#NAME?</v>
      </c>
      <c r="W21" s="349" t="e">
        <f t="shared" si="0"/>
        <v>#DIV/0!</v>
      </c>
      <c r="X21" s="344" t="e">
        <f t="shared" ca="1" si="7"/>
        <v>#DIV/0!</v>
      </c>
      <c r="Y21" s="344" t="e">
        <f t="shared" ca="1" si="8"/>
        <v>#DIV/0!</v>
      </c>
    </row>
    <row r="22" spans="2:28" x14ac:dyDescent="0.25">
      <c r="B22" s="430">
        <v>30</v>
      </c>
      <c r="C22" s="65" t="e">
        <f t="shared" ca="1" si="1"/>
        <v>#NAME?</v>
      </c>
      <c r="D22" s="65" t="e">
        <f t="shared" ca="1" si="2"/>
        <v>#NAME?</v>
      </c>
      <c r="E22" s="622" t="e">
        <f t="shared" ca="1" si="3"/>
        <v>#NAME?</v>
      </c>
      <c r="F22" s="622">
        <f t="shared" si="4"/>
        <v>1.8181818181818181E-2</v>
      </c>
      <c r="G22" s="275"/>
      <c r="I22" s="636" t="s">
        <v>257</v>
      </c>
      <c r="J22" s="289" t="s">
        <v>127</v>
      </c>
      <c r="K22" s="545" t="e">
        <f ca="1">VLOOKUP($B22,'Equiv Connection'!$B$10:$H$29,MATCH(K$8,'Equiv Connection'!$B$8:$H$8,0),FALSE)</f>
        <v>#NAME?</v>
      </c>
      <c r="L22" s="545" t="e">
        <f ca="1">VLOOKUP($B22,'Equiv Connection'!$B$10:$H$29,MATCH(L$8,'Equiv Connection'!$B$8:$H$8,0),FALSE)</f>
        <v>#NAME?</v>
      </c>
      <c r="M22" s="354" t="e">
        <f ca="1">VLOOKUP($B22,'Equiv Connection'!$B$10:$H$29,MATCH(M$8,'Equiv Connection'!$B$8:$H$8,0),FALSE)</f>
        <v>#NAME?</v>
      </c>
      <c r="N22" s="545" t="e">
        <f ca="1">VLOOKUP($B22,'Equiv Connection'!$B$10:$H$29,MATCH(N$8,'Equiv Connection'!$B$8:$H$8,0),FALSE)</f>
        <v>#NAME?</v>
      </c>
      <c r="O22" s="354" t="e">
        <f ca="1">VLOOKUP($B22,'Equiv Connection'!$B$10:$H$29,MATCH(O$8,'Equiv Connection'!$B$8:$H$8,0),FALSE)</f>
        <v>#NAME?</v>
      </c>
      <c r="P22" s="443">
        <v>110</v>
      </c>
      <c r="Q22" s="288">
        <v>1</v>
      </c>
      <c r="R22" s="620">
        <f t="shared" si="9"/>
        <v>1E-3</v>
      </c>
      <c r="S22" s="551">
        <v>0.01</v>
      </c>
      <c r="V22" s="621" t="e">
        <f t="shared" ca="1" si="6"/>
        <v>#NAME?</v>
      </c>
      <c r="W22" s="349">
        <f t="shared" si="0"/>
        <v>1.8181818181818181E-2</v>
      </c>
      <c r="X22" s="344" t="e">
        <f t="shared" ca="1" si="7"/>
        <v>#NAME?</v>
      </c>
      <c r="Y22" s="344" t="e">
        <f t="shared" ca="1" si="8"/>
        <v>#NAME?</v>
      </c>
    </row>
    <row r="23" spans="2:28" x14ac:dyDescent="0.25">
      <c r="B23" s="429">
        <v>31</v>
      </c>
      <c r="C23" s="17" t="e">
        <f t="shared" ca="1" si="1"/>
        <v>#NAME?</v>
      </c>
      <c r="D23" s="17" t="e">
        <f t="shared" ca="1" si="2"/>
        <v>#NAME?</v>
      </c>
      <c r="E23" s="622" t="e">
        <f t="shared" ca="1" si="3"/>
        <v>#NAME?</v>
      </c>
      <c r="F23" s="622">
        <f t="shared" si="4"/>
        <v>6.6666666666666666E-2</v>
      </c>
      <c r="G23" s="282"/>
      <c r="I23" s="638"/>
      <c r="J23" s="6" t="s">
        <v>13</v>
      </c>
      <c r="K23" s="476" t="e">
        <f ca="1">VLOOKUP($B23,'Equiv Connection'!$B$10:$H$29,MATCH(K$8,'Equiv Connection'!$B$8:$H$8,0),FALSE)</f>
        <v>#NAME?</v>
      </c>
      <c r="L23" s="476" t="e">
        <f ca="1">VLOOKUP($B23,'Equiv Connection'!$B$10:$H$29,MATCH(L$8,'Equiv Connection'!$B$8:$H$8,0),FALSE)</f>
        <v>#NAME?</v>
      </c>
      <c r="M23" s="125" t="e">
        <f ca="1">VLOOKUP($B23,'Equiv Connection'!$B$10:$H$29,MATCH(M$8,'Equiv Connection'!$B$8:$H$8,0),FALSE)</f>
        <v>#NAME?</v>
      </c>
      <c r="N23" s="476" t="e">
        <f ca="1">VLOOKUP($B23,'Equiv Connection'!$B$10:$H$29,MATCH(N$8,'Equiv Connection'!$B$8:$H$8,0),FALSE)</f>
        <v>#NAME?</v>
      </c>
      <c r="O23" s="125" t="e">
        <f ca="1">VLOOKUP($B23,'Equiv Connection'!$B$10:$H$29,MATCH(O$8,'Equiv Connection'!$B$8:$H$8,0),FALSE)</f>
        <v>#NAME?</v>
      </c>
      <c r="P23" s="126">
        <v>30</v>
      </c>
      <c r="Q23" s="130">
        <v>1</v>
      </c>
      <c r="R23" s="127">
        <f t="shared" si="9"/>
        <v>1E-3</v>
      </c>
      <c r="S23" s="551">
        <v>0.01</v>
      </c>
      <c r="V23" s="621" t="e">
        <f t="shared" ca="1" si="6"/>
        <v>#NAME?</v>
      </c>
      <c r="W23" s="349">
        <f t="shared" si="0"/>
        <v>6.6666666666666666E-2</v>
      </c>
      <c r="X23" s="344" t="e">
        <f t="shared" ca="1" si="7"/>
        <v>#NAME?</v>
      </c>
      <c r="Y23" s="344" t="e">
        <f t="shared" ca="1" si="8"/>
        <v>#NAME?</v>
      </c>
    </row>
    <row r="24" spans="2:28" ht="15" customHeight="1" x14ac:dyDescent="0.25">
      <c r="B24" s="430">
        <v>40</v>
      </c>
      <c r="C24" s="65" t="e">
        <f t="shared" ca="1" si="1"/>
        <v>#NAME?</v>
      </c>
      <c r="D24" s="65" t="e">
        <f t="shared" ca="1" si="2"/>
        <v>#NAME?</v>
      </c>
      <c r="E24" s="622" t="e">
        <f t="shared" ca="1" si="3"/>
        <v>#NAME?</v>
      </c>
      <c r="F24" s="622">
        <f t="shared" si="4"/>
        <v>1.0526315789473684E-2</v>
      </c>
      <c r="G24" s="275"/>
      <c r="I24" s="636" t="s">
        <v>521</v>
      </c>
      <c r="J24" s="289" t="s">
        <v>21</v>
      </c>
      <c r="K24" s="545" t="e">
        <f ca="1">VLOOKUP($B24,'Equiv Connection'!$B$10:$H$29,MATCH(K$8,'Equiv Connection'!$B$8:$H$8,0),FALSE)</f>
        <v>#NAME?</v>
      </c>
      <c r="L24" s="545" t="e">
        <f ca="1">VLOOKUP($B24,'Equiv Connection'!$B$10:$H$29,MATCH(L$8,'Equiv Connection'!$B$8:$H$8,0),FALSE)</f>
        <v>#NAME?</v>
      </c>
      <c r="M24" s="354" t="e">
        <f ca="1">VLOOKUP($B24,'Equiv Connection'!$B$10:$H$29,MATCH(M$8,'Equiv Connection'!$B$8:$H$8,0),FALSE)</f>
        <v>#NAME?</v>
      </c>
      <c r="N24" s="545" t="e">
        <f ca="1">VLOOKUP($B24,'Equiv Connection'!$B$10:$H$29,MATCH(N$8,'Equiv Connection'!$B$8:$H$8,0),FALSE)</f>
        <v>#NAME?</v>
      </c>
      <c r="O24" s="354" t="e">
        <f ca="1">VLOOKUP($B24,'Equiv Connection'!$B$10:$H$29,MATCH(O$8,'Equiv Connection'!$B$8:$H$8,0),FALSE)</f>
        <v>#NAME?</v>
      </c>
      <c r="P24" s="443">
        <v>190</v>
      </c>
      <c r="Q24" s="288">
        <v>1</v>
      </c>
      <c r="R24" s="620">
        <f t="shared" si="9"/>
        <v>1E-3</v>
      </c>
      <c r="S24" s="551">
        <v>0.01</v>
      </c>
      <c r="V24" s="621" t="e">
        <f t="shared" ca="1" si="6"/>
        <v>#NAME?</v>
      </c>
      <c r="W24" s="349">
        <f t="shared" si="0"/>
        <v>1.0526315789473684E-2</v>
      </c>
      <c r="X24" s="344" t="e">
        <f t="shared" ca="1" si="7"/>
        <v>#NAME?</v>
      </c>
      <c r="Y24" s="344" t="e">
        <f t="shared" ca="1" si="8"/>
        <v>#NAME?</v>
      </c>
    </row>
    <row r="25" spans="2:28" x14ac:dyDescent="0.25">
      <c r="B25" s="430">
        <v>41</v>
      </c>
      <c r="C25" s="65" t="e">
        <f t="shared" ca="1" si="1"/>
        <v>#NAME?</v>
      </c>
      <c r="D25" s="65" t="e">
        <f t="shared" ca="1" si="2"/>
        <v>#NAME?</v>
      </c>
      <c r="E25" s="622" t="e">
        <f t="shared" ca="1" si="3"/>
        <v>#NAME?</v>
      </c>
      <c r="F25" s="622">
        <f t="shared" si="4"/>
        <v>1.0526315789473684E-2</v>
      </c>
      <c r="G25" s="275"/>
      <c r="I25" s="637"/>
      <c r="J25" s="46" t="s">
        <v>22</v>
      </c>
      <c r="K25" s="475" t="e">
        <f ca="1">VLOOKUP($B25,'Equiv Connection'!$B$10:$H$29,MATCH(K$8,'Equiv Connection'!$B$8:$H$8,0),FALSE)</f>
        <v>#NAME?</v>
      </c>
      <c r="L25" s="475" t="e">
        <f ca="1">VLOOKUP($B25,'Equiv Connection'!$B$10:$H$29,MATCH(L$8,'Equiv Connection'!$B$8:$H$8,0),FALSE)</f>
        <v>#NAME?</v>
      </c>
      <c r="M25" s="148" t="e">
        <f ca="1">VLOOKUP($B25,'Equiv Connection'!$B$10:$H$29,MATCH(M$8,'Equiv Connection'!$B$8:$H$8,0),FALSE)</f>
        <v>#NAME?</v>
      </c>
      <c r="N25" s="475" t="e">
        <f ca="1">VLOOKUP($B25,'Equiv Connection'!$B$10:$H$29,MATCH(N$8,'Equiv Connection'!$B$8:$H$8,0),FALSE)</f>
        <v>#NAME?</v>
      </c>
      <c r="O25" s="148" t="e">
        <f ca="1">VLOOKUP($B25,'Equiv Connection'!$B$10:$H$29,MATCH(O$8,'Equiv Connection'!$B$8:$H$8,0),FALSE)</f>
        <v>#NAME?</v>
      </c>
      <c r="P25" s="149">
        <v>190</v>
      </c>
      <c r="Q25" s="153">
        <v>1</v>
      </c>
      <c r="R25" s="150">
        <f t="shared" si="9"/>
        <v>1E-3</v>
      </c>
      <c r="S25" s="551">
        <v>0.01</v>
      </c>
      <c r="V25" s="621" t="e">
        <f t="shared" ca="1" si="6"/>
        <v>#NAME?</v>
      </c>
      <c r="W25" s="349">
        <f t="shared" si="0"/>
        <v>1.0526315789473684E-2</v>
      </c>
      <c r="X25" s="344" t="e">
        <f t="shared" ca="1" si="7"/>
        <v>#NAME?</v>
      </c>
      <c r="Y25" s="344" t="e">
        <f t="shared" ca="1" si="8"/>
        <v>#NAME?</v>
      </c>
    </row>
    <row r="26" spans="2:28" x14ac:dyDescent="0.25">
      <c r="B26" s="430">
        <v>42</v>
      </c>
      <c r="C26" s="65" t="e">
        <f t="shared" ca="1" si="1"/>
        <v>#NAME?</v>
      </c>
      <c r="D26" s="65" t="e">
        <f t="shared" ca="1" si="2"/>
        <v>#NAME?</v>
      </c>
      <c r="E26" s="622" t="e">
        <f t="shared" ca="1" si="3"/>
        <v>#NAME?</v>
      </c>
      <c r="F26" s="622">
        <f t="shared" si="4"/>
        <v>1.0526315789473684E-2</v>
      </c>
      <c r="G26" s="275"/>
      <c r="I26" s="637"/>
      <c r="J26" s="46" t="s">
        <v>23</v>
      </c>
      <c r="K26" s="475" t="e">
        <f ca="1">VLOOKUP($B26,'Equiv Connection'!$B$10:$H$29,MATCH(K$8,'Equiv Connection'!$B$8:$H$8,0),FALSE)</f>
        <v>#NAME?</v>
      </c>
      <c r="L26" s="475" t="e">
        <f ca="1">VLOOKUP($B26,'Equiv Connection'!$B$10:$H$29,MATCH(L$8,'Equiv Connection'!$B$8:$H$8,0),FALSE)</f>
        <v>#NAME?</v>
      </c>
      <c r="M26" s="148" t="e">
        <f ca="1">VLOOKUP($B26,'Equiv Connection'!$B$10:$H$29,MATCH(M$8,'Equiv Connection'!$B$8:$H$8,0),FALSE)</f>
        <v>#NAME?</v>
      </c>
      <c r="N26" s="475" t="e">
        <f ca="1">VLOOKUP($B26,'Equiv Connection'!$B$10:$H$29,MATCH(N$8,'Equiv Connection'!$B$8:$H$8,0),FALSE)</f>
        <v>#NAME?</v>
      </c>
      <c r="O26" s="148" t="e">
        <f ca="1">VLOOKUP($B26,'Equiv Connection'!$B$10:$H$29,MATCH(O$8,'Equiv Connection'!$B$8:$H$8,0),FALSE)</f>
        <v>#NAME?</v>
      </c>
      <c r="P26" s="149">
        <v>190</v>
      </c>
      <c r="Q26" s="153">
        <v>1</v>
      </c>
      <c r="R26" s="150">
        <f t="shared" si="9"/>
        <v>1E-3</v>
      </c>
      <c r="S26" s="551">
        <v>0.01</v>
      </c>
      <c r="V26" s="621" t="e">
        <f t="shared" ca="1" si="6"/>
        <v>#NAME?</v>
      </c>
      <c r="W26" s="349">
        <f t="shared" si="0"/>
        <v>1.0526315789473684E-2</v>
      </c>
      <c r="X26" s="344" t="e">
        <f t="shared" ca="1" si="7"/>
        <v>#NAME?</v>
      </c>
      <c r="Y26" s="344" t="e">
        <f t="shared" ca="1" si="8"/>
        <v>#NAME?</v>
      </c>
    </row>
    <row r="27" spans="2:28" x14ac:dyDescent="0.25">
      <c r="B27" s="430">
        <v>43</v>
      </c>
      <c r="C27" s="65" t="e">
        <f t="shared" ca="1" si="1"/>
        <v>#NAME?</v>
      </c>
      <c r="D27" s="65" t="e">
        <f t="shared" ca="1" si="2"/>
        <v>#NAME?</v>
      </c>
      <c r="E27" s="622" t="e">
        <f t="shared" ca="1" si="3"/>
        <v>#NAME?</v>
      </c>
      <c r="F27" s="622">
        <f t="shared" si="4"/>
        <v>1.0526315789473684E-2</v>
      </c>
      <c r="G27" s="275"/>
      <c r="I27" s="637"/>
      <c r="J27" s="46" t="s">
        <v>24</v>
      </c>
      <c r="K27" s="475" t="e">
        <f ca="1">VLOOKUP($B27,'Equiv Connection'!$B$10:$H$29,MATCH(K$8,'Equiv Connection'!$B$8:$H$8,0),FALSE)</f>
        <v>#NAME?</v>
      </c>
      <c r="L27" s="475" t="e">
        <f ca="1">VLOOKUP($B27,'Equiv Connection'!$B$10:$H$29,MATCH(L$8,'Equiv Connection'!$B$8:$H$8,0),FALSE)</f>
        <v>#NAME?</v>
      </c>
      <c r="M27" s="148" t="e">
        <f ca="1">VLOOKUP($B27,'Equiv Connection'!$B$10:$H$29,MATCH(M$8,'Equiv Connection'!$B$8:$H$8,0),FALSE)</f>
        <v>#NAME?</v>
      </c>
      <c r="N27" s="475" t="e">
        <f ca="1">VLOOKUP($B27,'Equiv Connection'!$B$10:$H$29,MATCH(N$8,'Equiv Connection'!$B$8:$H$8,0),FALSE)</f>
        <v>#NAME?</v>
      </c>
      <c r="O27" s="148" t="e">
        <f ca="1">VLOOKUP($B27,'Equiv Connection'!$B$10:$H$29,MATCH(O$8,'Equiv Connection'!$B$8:$H$8,0),FALSE)</f>
        <v>#NAME?</v>
      </c>
      <c r="P27" s="149">
        <v>190</v>
      </c>
      <c r="Q27" s="153">
        <v>1</v>
      </c>
      <c r="R27" s="150">
        <f t="shared" si="9"/>
        <v>1E-3</v>
      </c>
      <c r="S27" s="551">
        <v>0.01</v>
      </c>
      <c r="V27" s="621" t="e">
        <f t="shared" ca="1" si="6"/>
        <v>#NAME?</v>
      </c>
      <c r="W27" s="349">
        <f t="shared" si="0"/>
        <v>1.0526315789473684E-2</v>
      </c>
      <c r="X27" s="344" t="e">
        <f t="shared" ca="1" si="7"/>
        <v>#NAME?</v>
      </c>
      <c r="Y27" s="344" t="e">
        <f t="shared" ca="1" si="8"/>
        <v>#NAME?</v>
      </c>
    </row>
    <row r="28" spans="2:28" x14ac:dyDescent="0.25">
      <c r="B28" s="430">
        <v>44</v>
      </c>
      <c r="C28" s="65" t="e">
        <f t="shared" ca="1" si="1"/>
        <v>#NAME?</v>
      </c>
      <c r="D28" s="65" t="e">
        <f t="shared" ca="1" si="2"/>
        <v>#NAME?</v>
      </c>
      <c r="E28" s="622" t="e">
        <f t="shared" ca="1" si="3"/>
        <v>#NAME?</v>
      </c>
      <c r="F28" s="622">
        <f t="shared" si="4"/>
        <v>1.0526315789473684E-2</v>
      </c>
      <c r="G28" s="275"/>
      <c r="I28" s="637"/>
      <c r="J28" s="46" t="s">
        <v>172</v>
      </c>
      <c r="K28" s="475" t="e">
        <f ca="1">VLOOKUP($B28,'Equiv Connection'!$B$10:$H$29,MATCH(K$8,'Equiv Connection'!$B$8:$H$8,0),FALSE)</f>
        <v>#NAME?</v>
      </c>
      <c r="L28" s="475" t="e">
        <f ca="1">VLOOKUP($B28,'Equiv Connection'!$B$10:$H$29,MATCH(L$8,'Equiv Connection'!$B$8:$H$8,0),FALSE)</f>
        <v>#NAME?</v>
      </c>
      <c r="M28" s="148" t="e">
        <f ca="1">VLOOKUP($B28,'Equiv Connection'!$B$10:$H$29,MATCH(M$8,'Equiv Connection'!$B$8:$H$8,0),FALSE)</f>
        <v>#NAME?</v>
      </c>
      <c r="N28" s="475" t="e">
        <f ca="1">VLOOKUP($B28,'Equiv Connection'!$B$10:$H$29,MATCH(N$8,'Equiv Connection'!$B$8:$H$8,0),FALSE)</f>
        <v>#NAME?</v>
      </c>
      <c r="O28" s="148" t="e">
        <f ca="1">VLOOKUP($B28,'Equiv Connection'!$B$10:$H$29,MATCH(O$8,'Equiv Connection'!$B$8:$H$8,0),FALSE)</f>
        <v>#NAME?</v>
      </c>
      <c r="P28" s="149">
        <v>190</v>
      </c>
      <c r="Q28" s="153">
        <v>1</v>
      </c>
      <c r="R28" s="150">
        <f t="shared" si="9"/>
        <v>1E-3</v>
      </c>
      <c r="S28" s="551">
        <v>0.01</v>
      </c>
      <c r="V28" s="621" t="e">
        <f t="shared" ca="1" si="6"/>
        <v>#NAME?</v>
      </c>
      <c r="W28" s="349">
        <f t="shared" si="0"/>
        <v>1.0526315789473684E-2</v>
      </c>
      <c r="X28" s="344" t="e">
        <f t="shared" ca="1" si="7"/>
        <v>#NAME?</v>
      </c>
      <c r="Y28" s="344" t="e">
        <f t="shared" ca="1" si="8"/>
        <v>#NAME?</v>
      </c>
    </row>
    <row r="29" spans="2:28" x14ac:dyDescent="0.25">
      <c r="B29" s="429">
        <v>45</v>
      </c>
      <c r="C29" s="17" t="e">
        <f t="shared" ref="C29" ca="1" si="10">X29</f>
        <v>#NAME?</v>
      </c>
      <c r="D29" s="17" t="e">
        <f t="shared" ref="D29" ca="1" si="11">Y29</f>
        <v>#NAME?</v>
      </c>
      <c r="E29" s="622" t="e">
        <f t="shared" ca="1" si="3"/>
        <v>#NAME?</v>
      </c>
      <c r="F29" s="622">
        <f t="shared" si="4"/>
        <v>1.0526315789473684E-2</v>
      </c>
      <c r="G29" s="282"/>
      <c r="I29" s="638"/>
      <c r="J29" s="46" t="s">
        <v>86</v>
      </c>
      <c r="K29" s="475" t="e">
        <f ca="1">VLOOKUP($B29,'Equiv Connection'!$B$10:$H$29,MATCH(K$8,'Equiv Connection'!$B$8:$H$8,0),FALSE)</f>
        <v>#NAME?</v>
      </c>
      <c r="L29" s="475" t="e">
        <f ca="1">VLOOKUP($B29,'Equiv Connection'!$B$10:$H$29,MATCH(L$8,'Equiv Connection'!$B$8:$H$8,0),FALSE)</f>
        <v>#NAME?</v>
      </c>
      <c r="M29" s="148" t="e">
        <f ca="1">VLOOKUP($B29,'Equiv Connection'!$B$10:$H$29,MATCH(M$8,'Equiv Connection'!$B$8:$H$8,0),FALSE)</f>
        <v>#NAME?</v>
      </c>
      <c r="N29" s="475" t="e">
        <f ca="1">VLOOKUP($B29,'Equiv Connection'!$B$10:$H$29,MATCH(N$8,'Equiv Connection'!$B$8:$H$8,0),FALSE)</f>
        <v>#NAME?</v>
      </c>
      <c r="O29" s="148" t="e">
        <f ca="1">VLOOKUP($B29,'Equiv Connection'!$B$10:$H$29,MATCH(O$8,'Equiv Connection'!$B$8:$H$8,0),FALSE)</f>
        <v>#NAME?</v>
      </c>
      <c r="P29" s="149">
        <v>190</v>
      </c>
      <c r="Q29" s="153">
        <v>1</v>
      </c>
      <c r="R29" s="150">
        <f t="shared" si="9"/>
        <v>1E-3</v>
      </c>
      <c r="S29" s="551">
        <v>0.01</v>
      </c>
      <c r="V29" s="621" t="e">
        <f t="shared" ca="1" si="6"/>
        <v>#NAME?</v>
      </c>
      <c r="W29" s="349">
        <f t="shared" si="0"/>
        <v>1.0526315789473684E-2</v>
      </c>
      <c r="X29" s="344" t="e">
        <f t="shared" ca="1" si="7"/>
        <v>#NAME?</v>
      </c>
      <c r="Y29" s="344" t="e">
        <f t="shared" ca="1" si="8"/>
        <v>#NAME?</v>
      </c>
    </row>
    <row r="30" spans="2:28" s="326" customFormat="1" ht="15" customHeight="1" x14ac:dyDescent="0.25">
      <c r="B30" s="430">
        <v>46</v>
      </c>
      <c r="C30" s="65" t="e">
        <f ca="1">C24</f>
        <v>#NAME?</v>
      </c>
      <c r="D30" s="65" t="e">
        <f ca="1">D24</f>
        <v>#NAME?</v>
      </c>
      <c r="E30" s="622">
        <f t="shared" si="3"/>
        <v>0</v>
      </c>
      <c r="F30" s="622">
        <f t="shared" si="4"/>
        <v>0</v>
      </c>
      <c r="G30" s="275"/>
      <c r="I30" s="636" t="s">
        <v>520</v>
      </c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600"/>
      <c r="V30" s="600"/>
      <c r="W30" s="46"/>
      <c r="X30" s="46"/>
      <c r="Y30" s="46"/>
      <c r="Z30" s="46"/>
      <c r="AA30" s="46"/>
      <c r="AB30" s="281"/>
    </row>
    <row r="31" spans="2:28" s="326" customFormat="1" x14ac:dyDescent="0.25">
      <c r="B31" s="430">
        <v>47</v>
      </c>
      <c r="C31" s="65" t="e">
        <f t="shared" ref="C31:D35" ca="1" si="12">C25</f>
        <v>#NAME?</v>
      </c>
      <c r="D31" s="65" t="e">
        <f t="shared" ca="1" si="12"/>
        <v>#NAME?</v>
      </c>
      <c r="E31" s="622">
        <f t="shared" si="3"/>
        <v>0</v>
      </c>
      <c r="F31" s="622">
        <f t="shared" si="4"/>
        <v>0</v>
      </c>
      <c r="G31" s="275"/>
      <c r="I31" s="637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600"/>
      <c r="V31" s="600"/>
      <c r="W31" s="46"/>
      <c r="X31" s="46"/>
      <c r="Y31" s="46"/>
      <c r="Z31" s="46"/>
      <c r="AA31" s="46"/>
      <c r="AB31" s="281"/>
    </row>
    <row r="32" spans="2:28" s="326" customFormat="1" x14ac:dyDescent="0.25">
      <c r="B32" s="430">
        <v>48</v>
      </c>
      <c r="C32" s="65" t="e">
        <f t="shared" ca="1" si="12"/>
        <v>#NAME?</v>
      </c>
      <c r="D32" s="65" t="e">
        <f t="shared" ca="1" si="12"/>
        <v>#NAME?</v>
      </c>
      <c r="E32" s="622">
        <f t="shared" si="3"/>
        <v>0</v>
      </c>
      <c r="F32" s="622">
        <f t="shared" si="4"/>
        <v>0</v>
      </c>
      <c r="G32" s="275"/>
      <c r="I32" s="637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600"/>
      <c r="V32" s="600"/>
      <c r="W32" s="46"/>
      <c r="X32" s="46"/>
      <c r="Y32" s="46"/>
      <c r="Z32" s="46"/>
      <c r="AA32" s="46"/>
      <c r="AB32" s="281"/>
    </row>
    <row r="33" spans="2:28" s="326" customFormat="1" x14ac:dyDescent="0.25">
      <c r="B33" s="430">
        <v>49</v>
      </c>
      <c r="C33" s="65" t="e">
        <f t="shared" ca="1" si="12"/>
        <v>#NAME?</v>
      </c>
      <c r="D33" s="65" t="e">
        <f t="shared" ca="1" si="12"/>
        <v>#NAME?</v>
      </c>
      <c r="E33" s="622">
        <f t="shared" si="3"/>
        <v>0</v>
      </c>
      <c r="F33" s="622">
        <f t="shared" si="4"/>
        <v>0</v>
      </c>
      <c r="G33" s="275"/>
      <c r="I33" s="637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600"/>
      <c r="V33" s="600"/>
      <c r="W33" s="46"/>
      <c r="X33" s="46"/>
      <c r="Y33" s="46"/>
      <c r="Z33" s="46"/>
      <c r="AA33" s="46"/>
      <c r="AB33" s="281"/>
    </row>
    <row r="34" spans="2:28" s="326" customFormat="1" x14ac:dyDescent="0.25">
      <c r="B34" s="430">
        <v>50</v>
      </c>
      <c r="C34" s="65" t="e">
        <f t="shared" ca="1" si="12"/>
        <v>#NAME?</v>
      </c>
      <c r="D34" s="65" t="e">
        <f t="shared" ca="1" si="12"/>
        <v>#NAME?</v>
      </c>
      <c r="E34" s="622">
        <f t="shared" si="3"/>
        <v>0</v>
      </c>
      <c r="F34" s="622">
        <f t="shared" si="4"/>
        <v>0</v>
      </c>
      <c r="G34" s="275"/>
      <c r="I34" s="637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600"/>
      <c r="V34" s="600"/>
      <c r="W34" s="46"/>
      <c r="X34" s="46"/>
      <c r="Y34" s="46"/>
      <c r="Z34" s="46"/>
      <c r="AA34" s="46"/>
      <c r="AB34" s="281"/>
    </row>
    <row r="35" spans="2:28" s="326" customFormat="1" x14ac:dyDescent="0.25">
      <c r="B35" s="429">
        <v>51</v>
      </c>
      <c r="C35" s="17" t="e">
        <f t="shared" ca="1" si="12"/>
        <v>#NAME?</v>
      </c>
      <c r="D35" s="17" t="e">
        <f t="shared" ca="1" si="12"/>
        <v>#NAME?</v>
      </c>
      <c r="E35" s="622">
        <f t="shared" si="3"/>
        <v>0</v>
      </c>
      <c r="F35" s="622">
        <f t="shared" si="4"/>
        <v>0</v>
      </c>
      <c r="G35" s="282"/>
      <c r="I35" s="638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600"/>
      <c r="V35" s="600"/>
      <c r="W35" s="46"/>
      <c r="X35" s="46"/>
      <c r="Y35" s="46"/>
      <c r="Z35" s="46"/>
      <c r="AA35" s="46"/>
      <c r="AB35" s="281"/>
    </row>
    <row r="36" spans="2:28" x14ac:dyDescent="0.25">
      <c r="B36" s="429"/>
      <c r="C36" s="17"/>
      <c r="D36" s="17"/>
      <c r="E36" s="19"/>
      <c r="F36" s="17"/>
      <c r="G36" s="282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600"/>
      <c r="V36" s="600"/>
      <c r="W36" s="46"/>
      <c r="X36" s="46"/>
      <c r="Y36" s="46"/>
      <c r="Z36" s="46"/>
      <c r="AA36" s="46"/>
      <c r="AB36" s="281"/>
    </row>
    <row r="37" spans="2:28" x14ac:dyDescent="0.25">
      <c r="N37" s="326"/>
      <c r="O37" s="326"/>
      <c r="P37" s="326"/>
      <c r="Q37" s="326"/>
      <c r="R37" s="326"/>
      <c r="X37" s="326"/>
      <c r="Y37" s="326"/>
      <c r="Z37" s="326"/>
      <c r="AA37" s="326"/>
    </row>
    <row r="38" spans="2:28" x14ac:dyDescent="0.25">
      <c r="N38" s="326"/>
      <c r="O38" s="326"/>
      <c r="P38" s="326"/>
      <c r="Q38" s="326"/>
      <c r="R38" s="326"/>
      <c r="X38" s="326"/>
      <c r="Y38" s="326"/>
      <c r="Z38" s="326"/>
      <c r="AA38" s="326"/>
    </row>
    <row r="39" spans="2:28" x14ac:dyDescent="0.25">
      <c r="N39" s="326"/>
      <c r="O39" s="326"/>
      <c r="P39" s="326"/>
      <c r="Q39" s="326"/>
      <c r="R39" s="326"/>
      <c r="X39" s="326"/>
      <c r="Y39" s="326"/>
      <c r="Z39" s="326"/>
      <c r="AA39" s="326"/>
    </row>
  </sheetData>
  <mergeCells count="5">
    <mergeCell ref="I10:I15"/>
    <mergeCell ref="I16:I21"/>
    <mergeCell ref="I22:I23"/>
    <mergeCell ref="I24:I29"/>
    <mergeCell ref="I30:I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CX61"/>
  <sheetViews>
    <sheetView topLeftCell="AZ1" zoomScaleNormal="100" workbookViewId="0">
      <selection activeCell="BL10" sqref="BL10:BT10"/>
    </sheetView>
  </sheetViews>
  <sheetFormatPr defaultRowHeight="15" x14ac:dyDescent="0.25"/>
  <cols>
    <col min="3" max="3" width="9.140625" style="326"/>
    <col min="7" max="7" width="9.28515625" style="326"/>
    <col min="8" max="8" width="9.42578125" style="326" bestFit="1" customWidth="1"/>
    <col min="9" max="9" width="9.42578125" style="326" customWidth="1"/>
    <col min="13" max="13" width="11.140625" bestFit="1" customWidth="1"/>
    <col min="14" max="14" width="11.140625" customWidth="1"/>
    <col min="22" max="26" width="9.140625" style="326"/>
    <col min="45" max="49" width="9.140625" style="326"/>
    <col min="50" max="50" width="9.28515625" style="326"/>
    <col min="51" max="53" width="9.140625" style="326"/>
    <col min="61" max="72" width="9.140625" style="326"/>
    <col min="74" max="74" width="9.140625" style="326"/>
    <col min="78" max="78" width="9.140625" style="326"/>
    <col min="101" max="101" width="13.5703125" customWidth="1"/>
  </cols>
  <sheetData>
    <row r="1" spans="2:102" x14ac:dyDescent="0.25">
      <c r="B1" s="23" t="s">
        <v>283</v>
      </c>
      <c r="C1" s="23"/>
      <c r="CW1" s="449" t="s">
        <v>526</v>
      </c>
    </row>
    <row r="2" spans="2:102" ht="15.75" thickBot="1" x14ac:dyDescent="0.3">
      <c r="B2" s="325" t="s">
        <v>123</v>
      </c>
      <c r="C2" t="s">
        <v>279</v>
      </c>
      <c r="CW2" s="577" t="s">
        <v>529</v>
      </c>
    </row>
    <row r="3" spans="2:102" x14ac:dyDescent="0.25">
      <c r="B3" s="325" t="s">
        <v>30</v>
      </c>
      <c r="C3" t="s">
        <v>280</v>
      </c>
      <c r="Q3" s="326"/>
      <c r="BV3" s="581" t="s">
        <v>533</v>
      </c>
      <c r="CW3" s="577" t="s">
        <v>527</v>
      </c>
    </row>
    <row r="4" spans="2:102" ht="15.75" thickBot="1" x14ac:dyDescent="0.3">
      <c r="B4" s="325" t="s">
        <v>259</v>
      </c>
      <c r="C4" t="s">
        <v>281</v>
      </c>
      <c r="Q4" s="326"/>
      <c r="BK4" s="335"/>
      <c r="BV4" s="450" t="s">
        <v>531</v>
      </c>
      <c r="CW4" s="577" t="s">
        <v>525</v>
      </c>
    </row>
    <row r="5" spans="2:102" ht="15.75" thickBot="1" x14ac:dyDescent="0.3">
      <c r="B5" s="325" t="s">
        <v>101</v>
      </c>
      <c r="C5" t="s">
        <v>282</v>
      </c>
      <c r="Q5" s="326"/>
      <c r="AP5" s="276" t="s">
        <v>258</v>
      </c>
      <c r="AQ5" s="277">
        <v>205000</v>
      </c>
      <c r="BL5" s="276" t="s">
        <v>258</v>
      </c>
      <c r="BM5" s="277">
        <v>205000</v>
      </c>
      <c r="BV5" s="451" t="s">
        <v>532</v>
      </c>
      <c r="CW5" s="578" t="s">
        <v>528</v>
      </c>
    </row>
    <row r="6" spans="2:102" x14ac:dyDescent="0.25">
      <c r="Q6" s="326"/>
    </row>
    <row r="7" spans="2:102" ht="15.75" thickBot="1" x14ac:dyDescent="0.3">
      <c r="B7" s="427"/>
      <c r="C7" s="647" t="s">
        <v>399</v>
      </c>
      <c r="D7" s="648"/>
      <c r="E7" s="648"/>
      <c r="F7" s="648"/>
      <c r="G7" s="648"/>
      <c r="H7" s="648"/>
      <c r="I7" s="648"/>
      <c r="J7" s="649"/>
      <c r="L7" s="23" t="s">
        <v>277</v>
      </c>
      <c r="O7" s="320" t="s">
        <v>66</v>
      </c>
      <c r="P7" s="320"/>
      <c r="Q7" s="320"/>
      <c r="R7" s="320"/>
      <c r="S7" s="320"/>
      <c r="T7" s="320"/>
      <c r="U7" s="320"/>
      <c r="V7" s="320" t="s">
        <v>134</v>
      </c>
      <c r="W7" s="320"/>
      <c r="X7" s="320"/>
      <c r="Y7" s="320"/>
      <c r="Z7" s="320"/>
      <c r="AA7" s="320" t="s">
        <v>254</v>
      </c>
      <c r="AL7" s="23" t="s">
        <v>274</v>
      </c>
      <c r="AS7" s="23" t="s">
        <v>456</v>
      </c>
      <c r="BB7" s="23" t="s">
        <v>275</v>
      </c>
      <c r="BL7" s="444" t="s">
        <v>416</v>
      </c>
      <c r="BM7" s="444" t="s">
        <v>417</v>
      </c>
      <c r="BN7" s="444" t="s">
        <v>418</v>
      </c>
      <c r="BO7" s="444" t="s">
        <v>419</v>
      </c>
      <c r="BP7" s="444" t="s">
        <v>415</v>
      </c>
      <c r="BQ7" s="444" t="s">
        <v>414</v>
      </c>
      <c r="BR7" s="444" t="s">
        <v>411</v>
      </c>
      <c r="BS7" s="444" t="s">
        <v>412</v>
      </c>
      <c r="BT7" s="444" t="s">
        <v>413</v>
      </c>
      <c r="BY7" s="23" t="s">
        <v>276</v>
      </c>
      <c r="BZ7" s="23"/>
      <c r="CK7" s="320" t="s">
        <v>271</v>
      </c>
      <c r="CL7" s="320"/>
      <c r="CM7" s="320"/>
      <c r="CN7" s="320" t="s">
        <v>530</v>
      </c>
      <c r="CO7" s="320"/>
      <c r="CP7" s="320"/>
      <c r="CQ7" s="320" t="s">
        <v>272</v>
      </c>
      <c r="CR7" s="320"/>
      <c r="CS7" s="320" t="s">
        <v>524</v>
      </c>
      <c r="CT7" s="320"/>
      <c r="CU7" s="320" t="s">
        <v>273</v>
      </c>
    </row>
    <row r="8" spans="2:102" x14ac:dyDescent="0.25">
      <c r="B8" s="428" t="s">
        <v>284</v>
      </c>
      <c r="C8" s="41" t="s">
        <v>122</v>
      </c>
      <c r="D8" s="41" t="s">
        <v>123</v>
      </c>
      <c r="E8" s="41" t="s">
        <v>30</v>
      </c>
      <c r="F8" s="41" t="s">
        <v>259</v>
      </c>
      <c r="G8" s="41" t="s">
        <v>101</v>
      </c>
      <c r="H8" s="41" t="s">
        <v>219</v>
      </c>
      <c r="I8" s="41" t="s">
        <v>87</v>
      </c>
      <c r="J8" s="42" t="s">
        <v>4</v>
      </c>
      <c r="L8" s="40" t="s">
        <v>1</v>
      </c>
      <c r="M8" s="273" t="s">
        <v>2</v>
      </c>
      <c r="N8" s="321" t="s">
        <v>475</v>
      </c>
      <c r="O8" s="273" t="s">
        <v>67</v>
      </c>
      <c r="P8" s="273" t="s">
        <v>68</v>
      </c>
      <c r="Q8" s="273" t="s">
        <v>4</v>
      </c>
      <c r="R8" s="273" t="s">
        <v>5</v>
      </c>
      <c r="S8" s="273" t="s">
        <v>71</v>
      </c>
      <c r="T8" s="273" t="s">
        <v>70</v>
      </c>
      <c r="U8" s="321" t="s">
        <v>69</v>
      </c>
      <c r="V8" s="273" t="s">
        <v>67</v>
      </c>
      <c r="W8" s="273" t="s">
        <v>73</v>
      </c>
      <c r="X8" s="273" t="s">
        <v>36</v>
      </c>
      <c r="Y8" s="273" t="s">
        <v>178</v>
      </c>
      <c r="Z8" s="321" t="s">
        <v>179</v>
      </c>
      <c r="AA8" s="273" t="s">
        <v>67</v>
      </c>
      <c r="AB8" s="273" t="s">
        <v>68</v>
      </c>
      <c r="AC8" s="273" t="s">
        <v>4</v>
      </c>
      <c r="AD8" s="273" t="s">
        <v>5</v>
      </c>
      <c r="AE8" s="273" t="s">
        <v>73</v>
      </c>
      <c r="AF8" s="273" t="s">
        <v>36</v>
      </c>
      <c r="AG8" s="273" t="s">
        <v>178</v>
      </c>
      <c r="AH8" s="273" t="s">
        <v>179</v>
      </c>
      <c r="AI8" s="273" t="s">
        <v>97</v>
      </c>
      <c r="AJ8" s="497" t="s">
        <v>96</v>
      </c>
      <c r="AL8" s="272" t="s">
        <v>67</v>
      </c>
      <c r="AM8" s="273" t="s">
        <v>71</v>
      </c>
      <c r="AN8" s="273" t="s">
        <v>70</v>
      </c>
      <c r="AO8" s="321" t="s">
        <v>69</v>
      </c>
      <c r="AP8" s="41" t="s">
        <v>27</v>
      </c>
      <c r="AQ8" s="42" t="s">
        <v>123</v>
      </c>
      <c r="AS8" s="272" t="s">
        <v>67</v>
      </c>
      <c r="AT8" s="273" t="s">
        <v>129</v>
      </c>
      <c r="AU8" s="273" t="s">
        <v>128</v>
      </c>
      <c r="AV8" s="273" t="s">
        <v>375</v>
      </c>
      <c r="AW8" s="321" t="s">
        <v>376</v>
      </c>
      <c r="AX8" s="41" t="s">
        <v>219</v>
      </c>
      <c r="AY8" s="41" t="s">
        <v>26</v>
      </c>
      <c r="AZ8" s="42" t="s">
        <v>122</v>
      </c>
      <c r="BB8" s="272" t="s">
        <v>67</v>
      </c>
      <c r="BC8" s="273" t="s">
        <v>523</v>
      </c>
      <c r="BD8" s="273" t="s">
        <v>70</v>
      </c>
      <c r="BE8" s="273" t="s">
        <v>69</v>
      </c>
      <c r="BF8" s="273" t="s">
        <v>73</v>
      </c>
      <c r="BG8" s="273" t="s">
        <v>36</v>
      </c>
      <c r="BH8" s="321" t="s">
        <v>35</v>
      </c>
      <c r="BI8" s="273" t="s">
        <v>287</v>
      </c>
      <c r="BJ8" s="273" t="s">
        <v>285</v>
      </c>
      <c r="BK8" s="321" t="s">
        <v>286</v>
      </c>
      <c r="BL8" s="273" t="s">
        <v>30</v>
      </c>
      <c r="BM8" s="273" t="s">
        <v>294</v>
      </c>
      <c r="BN8" s="273" t="s">
        <v>292</v>
      </c>
      <c r="BO8" s="273" t="s">
        <v>293</v>
      </c>
      <c r="BP8" s="273" t="s">
        <v>263</v>
      </c>
      <c r="BQ8" s="273" t="s">
        <v>291</v>
      </c>
      <c r="BR8" s="273" t="s">
        <v>288</v>
      </c>
      <c r="BS8" s="273" t="s">
        <v>289</v>
      </c>
      <c r="BT8" s="273" t="s">
        <v>290</v>
      </c>
      <c r="BU8" s="274" t="s">
        <v>104</v>
      </c>
      <c r="BV8" s="274" t="s">
        <v>533</v>
      </c>
      <c r="BW8" s="274" t="s">
        <v>30</v>
      </c>
      <c r="BY8" s="273" t="s">
        <v>278</v>
      </c>
      <c r="BZ8" s="273" t="s">
        <v>522</v>
      </c>
      <c r="CA8" s="273" t="s">
        <v>73</v>
      </c>
      <c r="CB8" s="273" t="s">
        <v>36</v>
      </c>
      <c r="CC8" s="273" t="s">
        <v>178</v>
      </c>
      <c r="CD8" s="321" t="s">
        <v>179</v>
      </c>
      <c r="CE8" s="273" t="s">
        <v>261</v>
      </c>
      <c r="CF8" s="273" t="s">
        <v>219</v>
      </c>
      <c r="CG8" s="273" t="s">
        <v>270</v>
      </c>
      <c r="CH8" s="273" t="s">
        <v>269</v>
      </c>
      <c r="CI8" s="41" t="s">
        <v>268</v>
      </c>
      <c r="CJ8" s="41" t="s">
        <v>260</v>
      </c>
      <c r="CK8" s="41" t="s">
        <v>262</v>
      </c>
      <c r="CL8" s="41" t="s">
        <v>265</v>
      </c>
      <c r="CM8" s="41" t="s">
        <v>264</v>
      </c>
      <c r="CN8" s="41" t="s">
        <v>263</v>
      </c>
      <c r="CO8" s="41" t="s">
        <v>266</v>
      </c>
      <c r="CP8" s="41" t="s">
        <v>267</v>
      </c>
      <c r="CQ8" s="41" t="s">
        <v>266</v>
      </c>
      <c r="CR8" s="41" t="s">
        <v>267</v>
      </c>
      <c r="CS8" s="41" t="s">
        <v>266</v>
      </c>
      <c r="CT8" s="41" t="s">
        <v>267</v>
      </c>
      <c r="CU8" s="41" t="s">
        <v>266</v>
      </c>
      <c r="CV8" s="42" t="s">
        <v>267</v>
      </c>
      <c r="CW8" s="21" t="s">
        <v>429</v>
      </c>
      <c r="CX8" s="41" t="s">
        <v>267</v>
      </c>
    </row>
    <row r="9" spans="2:102" x14ac:dyDescent="0.25">
      <c r="B9" s="430"/>
      <c r="C9" s="46" t="s">
        <v>203</v>
      </c>
      <c r="D9" s="46" t="s">
        <v>203</v>
      </c>
      <c r="E9" s="46" t="s">
        <v>49</v>
      </c>
      <c r="F9" s="46" t="s">
        <v>39</v>
      </c>
      <c r="G9" s="586" t="s">
        <v>39</v>
      </c>
      <c r="H9" s="586" t="s">
        <v>9</v>
      </c>
      <c r="I9" s="586" t="s">
        <v>37</v>
      </c>
      <c r="J9" s="192" t="s">
        <v>125</v>
      </c>
      <c r="L9" s="195"/>
      <c r="M9" s="489"/>
      <c r="N9" s="498" t="s">
        <v>11</v>
      </c>
      <c r="O9" s="489"/>
      <c r="P9" s="489"/>
      <c r="Q9" s="489" t="s">
        <v>125</v>
      </c>
      <c r="R9" s="489" t="s">
        <v>125</v>
      </c>
      <c r="S9" s="489" t="s">
        <v>38</v>
      </c>
      <c r="T9" s="489" t="s">
        <v>38</v>
      </c>
      <c r="U9" s="498" t="s">
        <v>38</v>
      </c>
      <c r="V9" s="489"/>
      <c r="W9" s="489"/>
      <c r="X9" s="489"/>
      <c r="Y9" s="489"/>
      <c r="Z9" s="498"/>
      <c r="AA9" s="489"/>
      <c r="AB9" s="489"/>
      <c r="AC9" s="489" t="s">
        <v>10</v>
      </c>
      <c r="AD9" s="489" t="s">
        <v>10</v>
      </c>
      <c r="AE9" s="489" t="s">
        <v>38</v>
      </c>
      <c r="AF9" s="489" t="s">
        <v>38</v>
      </c>
      <c r="AG9" s="489" t="s">
        <v>38</v>
      </c>
      <c r="AH9" s="489" t="s">
        <v>38</v>
      </c>
      <c r="AI9" s="489" t="s">
        <v>38</v>
      </c>
      <c r="AJ9" s="499" t="s">
        <v>38</v>
      </c>
      <c r="AL9" s="195"/>
      <c r="AM9" s="6" t="s">
        <v>38</v>
      </c>
      <c r="AN9" s="6" t="s">
        <v>38</v>
      </c>
      <c r="AO9" s="323" t="s">
        <v>38</v>
      </c>
      <c r="AP9" s="6" t="s">
        <v>37</v>
      </c>
      <c r="AQ9" s="324" t="s">
        <v>203</v>
      </c>
      <c r="AS9" s="195"/>
      <c r="AT9" s="6" t="s">
        <v>38</v>
      </c>
      <c r="AU9" s="6" t="s">
        <v>38</v>
      </c>
      <c r="AV9" s="6" t="s">
        <v>38</v>
      </c>
      <c r="AW9" s="323" t="s">
        <v>38</v>
      </c>
      <c r="AX9" s="6" t="s">
        <v>9</v>
      </c>
      <c r="AY9" s="6" t="s">
        <v>37</v>
      </c>
      <c r="AZ9" s="324" t="s">
        <v>203</v>
      </c>
      <c r="BB9" s="195"/>
      <c r="BC9" s="6" t="s">
        <v>125</v>
      </c>
      <c r="BD9" s="6" t="s">
        <v>38</v>
      </c>
      <c r="BE9" s="6" t="s">
        <v>38</v>
      </c>
      <c r="BF9" s="6" t="s">
        <v>38</v>
      </c>
      <c r="BG9" s="6" t="s">
        <v>38</v>
      </c>
      <c r="BH9" s="323" t="s">
        <v>38</v>
      </c>
      <c r="BI9" s="6" t="s">
        <v>125</v>
      </c>
      <c r="BJ9" s="6" t="s">
        <v>38</v>
      </c>
      <c r="BK9" s="323" t="s">
        <v>38</v>
      </c>
      <c r="BL9" s="6" t="s">
        <v>49</v>
      </c>
      <c r="BM9" s="6" t="s">
        <v>88</v>
      </c>
      <c r="BN9" s="6" t="s">
        <v>49</v>
      </c>
      <c r="BO9" s="6" t="s">
        <v>88</v>
      </c>
      <c r="BP9" s="6" t="s">
        <v>39</v>
      </c>
      <c r="BQ9" s="6" t="s">
        <v>39</v>
      </c>
      <c r="BR9" s="6" t="s">
        <v>39</v>
      </c>
      <c r="BS9" s="6" t="s">
        <v>39</v>
      </c>
      <c r="BT9" s="6" t="s">
        <v>39</v>
      </c>
      <c r="BU9" s="6" t="s">
        <v>39</v>
      </c>
      <c r="BV9" s="6"/>
      <c r="BW9" s="6" t="s">
        <v>49</v>
      </c>
      <c r="BY9" s="6" t="s">
        <v>125</v>
      </c>
      <c r="BZ9" s="6"/>
      <c r="CA9" s="6" t="s">
        <v>38</v>
      </c>
      <c r="CB9" s="6" t="s">
        <v>38</v>
      </c>
      <c r="CC9" s="6" t="s">
        <v>38</v>
      </c>
      <c r="CD9" s="323" t="s">
        <v>38</v>
      </c>
      <c r="CE9" s="6" t="s">
        <v>11</v>
      </c>
      <c r="CF9" s="6" t="s">
        <v>9</v>
      </c>
      <c r="CG9" s="6" t="s">
        <v>222</v>
      </c>
      <c r="CH9" s="6" t="s">
        <v>222</v>
      </c>
      <c r="CI9" s="6" t="s">
        <v>58</v>
      </c>
      <c r="CJ9" s="6" t="s">
        <v>58</v>
      </c>
      <c r="CK9" s="6" t="s">
        <v>39</v>
      </c>
      <c r="CL9" s="6" t="s">
        <v>40</v>
      </c>
      <c r="CM9" s="6" t="s">
        <v>39</v>
      </c>
      <c r="CN9" s="6" t="s">
        <v>39</v>
      </c>
      <c r="CO9" s="6" t="s">
        <v>40</v>
      </c>
      <c r="CP9" s="6" t="s">
        <v>39</v>
      </c>
      <c r="CQ9" s="6" t="s">
        <v>40</v>
      </c>
      <c r="CR9" s="6" t="s">
        <v>39</v>
      </c>
      <c r="CS9" s="6" t="s">
        <v>40</v>
      </c>
      <c r="CT9" s="6" t="s">
        <v>39</v>
      </c>
      <c r="CU9" s="6" t="s">
        <v>40</v>
      </c>
      <c r="CV9" s="324" t="s">
        <v>39</v>
      </c>
      <c r="CW9" s="580"/>
      <c r="CX9" s="6" t="s">
        <v>39</v>
      </c>
    </row>
    <row r="10" spans="2:102" x14ac:dyDescent="0.25">
      <c r="B10" s="430">
        <v>10</v>
      </c>
      <c r="C10" s="58">
        <f>AZ10</f>
        <v>1200.51936</v>
      </c>
      <c r="D10" s="58">
        <f t="shared" ref="D10:D29" si="0">AQ10</f>
        <v>465.98209536000047</v>
      </c>
      <c r="E10" s="58">
        <f t="shared" ref="E10:E20" si="1">BW10</f>
        <v>1014.9067466679393</v>
      </c>
      <c r="F10" s="65">
        <f>BU10</f>
        <v>1.2728148996010775</v>
      </c>
      <c r="G10" s="65">
        <f>CX10</f>
        <v>5.5199703330552987</v>
      </c>
      <c r="H10" s="58">
        <f>AX10</f>
        <v>4176</v>
      </c>
      <c r="I10" s="58">
        <f>AY10</f>
        <v>5856192</v>
      </c>
      <c r="J10" s="203">
        <f>AC10</f>
        <v>266</v>
      </c>
      <c r="L10" s="637" t="s">
        <v>255</v>
      </c>
      <c r="M10" s="510" t="s">
        <v>82</v>
      </c>
      <c r="N10" s="537">
        <f>VLOOKUP($B10,'Core Demand'!$B$8:$E$36,MATCH(N$8,'Core Demand'!$B$8:$E$8,0),FALSE)</f>
        <v>430.91999999999996</v>
      </c>
      <c r="O10" s="490" t="s">
        <v>91</v>
      </c>
      <c r="P10" s="490" t="s">
        <v>93</v>
      </c>
      <c r="Q10" s="490">
        <v>305</v>
      </c>
      <c r="R10" s="490">
        <v>400</v>
      </c>
      <c r="S10" s="490">
        <v>100</v>
      </c>
      <c r="T10" s="490">
        <v>122.4</v>
      </c>
      <c r="U10" s="500">
        <v>3.2</v>
      </c>
      <c r="V10" s="490" t="s">
        <v>95</v>
      </c>
      <c r="W10" s="490">
        <v>180</v>
      </c>
      <c r="X10" s="490">
        <v>180</v>
      </c>
      <c r="Y10" s="490">
        <v>12</v>
      </c>
      <c r="Z10" s="500">
        <v>12</v>
      </c>
      <c r="AA10" s="490" t="s">
        <v>95</v>
      </c>
      <c r="AB10" s="490" t="s">
        <v>94</v>
      </c>
      <c r="AC10" s="501">
        <v>266</v>
      </c>
      <c r="AD10" s="501">
        <v>399.07407407407413</v>
      </c>
      <c r="AE10" s="490">
        <v>83.6</v>
      </c>
      <c r="AF10" s="490">
        <v>83.6</v>
      </c>
      <c r="AG10" s="490">
        <v>12</v>
      </c>
      <c r="AH10" s="490">
        <v>12</v>
      </c>
      <c r="AI10" s="490">
        <v>90</v>
      </c>
      <c r="AJ10" s="502" t="s">
        <v>58</v>
      </c>
      <c r="AL10" s="309" t="str">
        <f>O10</f>
        <v>RHS</v>
      </c>
      <c r="AM10" s="90">
        <f>S10</f>
        <v>100</v>
      </c>
      <c r="AN10" s="90">
        <f>T10</f>
        <v>122.4</v>
      </c>
      <c r="AO10" s="316">
        <f>U10</f>
        <v>3.2</v>
      </c>
      <c r="AP10" s="21">
        <f>_xll.Iyy(AL10,AM10,AO10,AN10,AO10)</f>
        <v>2273083.3920000023</v>
      </c>
      <c r="AQ10" s="306">
        <f t="shared" ref="AQ10:AQ29" si="2">$AQ$5*AP10/10^9</f>
        <v>465.98209536000047</v>
      </c>
      <c r="AR10" s="281"/>
      <c r="AS10" s="309" t="str">
        <f>V10</f>
        <v>Cruciform</v>
      </c>
      <c r="AT10" s="90">
        <f t="shared" ref="AT10:AW25" si="3">W10</f>
        <v>180</v>
      </c>
      <c r="AU10" s="90">
        <f t="shared" si="3"/>
        <v>180</v>
      </c>
      <c r="AV10" s="90">
        <f t="shared" si="3"/>
        <v>12</v>
      </c>
      <c r="AW10" s="316">
        <f t="shared" si="3"/>
        <v>12</v>
      </c>
      <c r="AX10" s="58">
        <f t="shared" ref="AX10:AX29" si="4">_xll.Area_Cruciform(AT10,AV10,AU10,AW10)</f>
        <v>4176</v>
      </c>
      <c r="AY10" s="21">
        <f>_xll.Iyy_Cruciform(AT10,AV10,AU10,AW10)</f>
        <v>5856192</v>
      </c>
      <c r="AZ10" s="306">
        <f t="shared" ref="AZ10:AZ29" si="5">$AQ$5*AY10/10^9</f>
        <v>1200.51936</v>
      </c>
      <c r="BA10" s="281"/>
      <c r="BB10" s="309" t="str">
        <f t="shared" ref="BB10:BB29" si="6">O10</f>
        <v>RHS</v>
      </c>
      <c r="BC10" s="86">
        <f t="shared" ref="BC10:BC29" si="7">R10</f>
        <v>400</v>
      </c>
      <c r="BD10" s="90">
        <f t="shared" ref="BD10:BD29" si="8">T10</f>
        <v>122.4</v>
      </c>
      <c r="BE10" s="90">
        <f t="shared" ref="BE10:BE29" si="9">U10</f>
        <v>3.2</v>
      </c>
      <c r="BF10" s="90">
        <f t="shared" ref="BF10:BF29" si="10">AE10</f>
        <v>83.6</v>
      </c>
      <c r="BG10" s="90">
        <f t="shared" ref="BG10:BG29" si="11">AF10</f>
        <v>83.6</v>
      </c>
      <c r="BH10" s="316">
        <f t="shared" ref="BH10:BH20" si="12">AI10</f>
        <v>90</v>
      </c>
      <c r="BI10" s="90">
        <v>0</v>
      </c>
      <c r="BJ10" s="90"/>
      <c r="BK10" s="316"/>
      <c r="BL10" s="86">
        <f t="array" ref="BL10:BO10">IF(BB10="RHS",val_Kr_RHS(BD10/10^3,BE10/10^3,BG10/10^3,BH10/10^3,BC10*10^3,BJ$10/10^3,BK$10/10^3,BI$10*10^3,$BM$5*10^3),IF(BB10="CHS",val_Kr_CHS(BD10/10^3,BE10/10^3,BG10/10^3,BH10/10^3,BC10*10^3,BJ$10/10^3,BK$10/10^3,BI$10*10^3,$BM$5*10^3),#N/A))</f>
        <v>1014.9067466679393</v>
      </c>
      <c r="BM10" s="333">
        <v>4.0668868112816032E-4</v>
      </c>
      <c r="BN10" s="86">
        <v>51.945708518163606</v>
      </c>
      <c r="BO10" s="333">
        <v>1.6963663989875501E-2</v>
      </c>
      <c r="BP10" s="89">
        <f t="array" ref="BP10:BT10">IF(BB10="RHS",val_Mp_RHS(BD10,BE10,BG10,BH10,BC10,BJ10,BK10,BI10),IF(BB10="CHS",val_Mp_CHS(BD10,BE10,BG10,BH10,BC10,BJ10,BK10,BI10),#N/A))/10^6</f>
        <v>1.2728148996010775</v>
      </c>
      <c r="BQ10" s="89">
        <v>0</v>
      </c>
      <c r="BR10" s="86">
        <v>2.3723189206381251E-4</v>
      </c>
      <c r="BS10" s="89">
        <v>1.2725776677090137</v>
      </c>
      <c r="BT10" s="89">
        <v>0</v>
      </c>
      <c r="BU10" s="65">
        <f>BP10</f>
        <v>1.2728148996010775</v>
      </c>
      <c r="BV10" s="108" t="s">
        <v>531</v>
      </c>
      <c r="BW10" s="58">
        <f>IF(BV10="Initial",BL10,IF(BV10="Secant",BU10/BO10,#N/A))</f>
        <v>1014.9067466679393</v>
      </c>
      <c r="BX10" s="281"/>
      <c r="BY10" s="86">
        <f t="shared" ref="BY10:BY29" si="13">AC10</f>
        <v>266</v>
      </c>
      <c r="BZ10" s="93">
        <f t="shared" ref="BZ10:BZ29" si="14">AD10/AC10</f>
        <v>1.5002784739626847</v>
      </c>
      <c r="CA10" s="90">
        <f t="shared" ref="CA10:CA29" si="15">AE10</f>
        <v>83.6</v>
      </c>
      <c r="CB10" s="90">
        <f t="shared" ref="CB10:CB29" si="16">AF10</f>
        <v>83.6</v>
      </c>
      <c r="CC10" s="90">
        <f t="shared" ref="CC10:CC29" si="17">AG10</f>
        <v>12</v>
      </c>
      <c r="CD10" s="316">
        <f t="shared" ref="CD10:CD29" si="18">AH10</f>
        <v>12</v>
      </c>
      <c r="CE10" s="86">
        <f t="shared" ref="CE10:CE29" si="19">N10</f>
        <v>430.91999999999996</v>
      </c>
      <c r="CF10" s="21">
        <f t="shared" ref="CF10:CF29" si="20">(CA10*CC10+(CB10-CC10)*CD10)</f>
        <v>1862.3999999999999</v>
      </c>
      <c r="CG10" s="257">
        <f t="shared" ref="CG10:CG29" si="21">(CC10*CA10^3+(CB10-CC10)*CD10^3)/12/(CA10/2)</f>
        <v>14224.580287081339</v>
      </c>
      <c r="CH10" s="21">
        <f t="shared" ref="CH10:CH29" si="22">(CC10*CA10^2+(CB10-CC10)*CD10^2)/4</f>
        <v>23544.479999999996</v>
      </c>
      <c r="CI10" s="81">
        <f>CE10/(CF10*BY10/10^3)</f>
        <v>0.86984536082474218</v>
      </c>
      <c r="CJ10" s="81">
        <f t="shared" ref="CJ10:CJ29" si="23">(CB10*CD10)/(CA10*CC10+(CB10-CC10)*CD10)</f>
        <v>0.53865979381443296</v>
      </c>
      <c r="CK10" s="137">
        <f t="shared" ref="CK10:CK29" si="24">BY10*CG10/10^6</f>
        <v>3.783738356363636</v>
      </c>
      <c r="CL10" s="206">
        <f>(1-CI10)</f>
        <v>0.13015463917525782</v>
      </c>
      <c r="CM10" s="140">
        <f>CK10*CL10</f>
        <v>0.49247110050609216</v>
      </c>
      <c r="CN10" s="137">
        <f>BY10*CH10/10^6</f>
        <v>6.2628316799999988</v>
      </c>
      <c r="CO10" s="206">
        <f>IF(CI10&lt;=CJ10,1,1.19*(1-CI10^2))</f>
        <v>0.28960916741949211</v>
      </c>
      <c r="CP10" s="140">
        <f>$CN10*CO10</f>
        <v>1.8137734685332187</v>
      </c>
      <c r="CQ10" s="206">
        <f t="shared" ref="CQ10:CQ29" si="25">IF(CI10&lt;=CJ10,1,(1-((CI10-CJ10)/(1-CJ10))^2))</f>
        <v>0.48465247651446608</v>
      </c>
      <c r="CR10" s="140">
        <f t="shared" ref="CR10:CR29" si="26">$CN10*CQ10</f>
        <v>3.0352968837052536</v>
      </c>
      <c r="CS10" s="206">
        <f t="shared" ref="CS10:CS29" si="27">IF(CI10&lt;=CJ10,1,(1-((CI10-CJ10)/(BZ10-CJ10))^2))</f>
        <v>0.88138570779141556</v>
      </c>
      <c r="CT10" s="140">
        <f t="shared" ref="CT10:CT29" si="28">$CN10*CS10</f>
        <v>5.5199703330552987</v>
      </c>
      <c r="CU10" s="206">
        <f t="shared" ref="CU10:CU29" si="29">IF(CI10&lt;=CJ10,1-CI10^2*CF10^2/(4*CB10*CH10),(2*CA10*CC10/CF10-(1-CI10))*(1-CI10)*CF10^2/(4*CC10*CH10))</f>
        <v>0.37835620068907894</v>
      </c>
      <c r="CV10" s="278">
        <f t="shared" ref="CV10:CV29" si="30">$CN10*CU10</f>
        <v>2.3695812000000007</v>
      </c>
      <c r="CW10" s="352" t="s">
        <v>525</v>
      </c>
      <c r="CX10" s="609">
        <f>IF(CW10="Yield",CM10,IF(CW10="NZ",CP10,IF(CW10="AIJ",CR10,IF(CW10="AIJ-Takeuchi",CT10,IF(CW10="Exact",CV10,#N/A)))))</f>
        <v>5.5199703330552987</v>
      </c>
    </row>
    <row r="11" spans="2:102" x14ac:dyDescent="0.25">
      <c r="B11" s="430">
        <v>11</v>
      </c>
      <c r="C11" s="58">
        <f t="shared" ref="C11:C28" si="31">AZ11</f>
        <v>1200.51936</v>
      </c>
      <c r="D11" s="58">
        <f t="shared" si="0"/>
        <v>580.86699184599911</v>
      </c>
      <c r="E11" s="58">
        <f t="shared" si="1"/>
        <v>4043.4906169356791</v>
      </c>
      <c r="F11" s="65" t="e">
        <f t="shared" ref="F11:F28" ca="1" si="32">BU11</f>
        <v>#NAME?</v>
      </c>
      <c r="G11" s="65">
        <f t="shared" ref="G11:G35" si="33">CX11</f>
        <v>6.6904849835565399</v>
      </c>
      <c r="H11" s="58">
        <f t="shared" ref="H11:H35" si="34">AX11</f>
        <v>4176</v>
      </c>
      <c r="I11" s="58">
        <f t="shared" ref="I11:I35" si="35">AY11</f>
        <v>5856192</v>
      </c>
      <c r="J11" s="203">
        <f t="shared" ref="J11:J35" si="36">AC11</f>
        <v>266.8</v>
      </c>
      <c r="L11" s="637"/>
      <c r="M11" s="510" t="s">
        <v>15</v>
      </c>
      <c r="N11" s="538">
        <f>VLOOKUP($B11,'Core Demand'!$B$8:$E$36,MATCH(N$8,'Core Demand'!$B$8:$E$8,0),FALSE)</f>
        <v>432.21600000000001</v>
      </c>
      <c r="O11" s="490" t="s">
        <v>91</v>
      </c>
      <c r="P11" s="490" t="s">
        <v>93</v>
      </c>
      <c r="Q11" s="490">
        <v>385.8</v>
      </c>
      <c r="R11" s="490">
        <v>420.4</v>
      </c>
      <c r="S11" s="490">
        <v>125</v>
      </c>
      <c r="T11" s="490">
        <v>125</v>
      </c>
      <c r="U11" s="500">
        <v>2.2999999999999998</v>
      </c>
      <c r="V11" s="490" t="s">
        <v>95</v>
      </c>
      <c r="W11" s="490">
        <v>180</v>
      </c>
      <c r="X11" s="490">
        <v>180</v>
      </c>
      <c r="Y11" s="490">
        <v>12</v>
      </c>
      <c r="Z11" s="500">
        <v>12</v>
      </c>
      <c r="AA11" s="490" t="s">
        <v>95</v>
      </c>
      <c r="AB11" s="490" t="s">
        <v>94</v>
      </c>
      <c r="AC11" s="501">
        <v>266.8</v>
      </c>
      <c r="AD11" s="501">
        <v>404</v>
      </c>
      <c r="AE11" s="490">
        <v>90</v>
      </c>
      <c r="AF11" s="490">
        <v>90</v>
      </c>
      <c r="AG11" s="490">
        <v>12</v>
      </c>
      <c r="AH11" s="490">
        <v>12</v>
      </c>
      <c r="AI11" s="490">
        <v>180</v>
      </c>
      <c r="AJ11" s="502" t="s">
        <v>58</v>
      </c>
      <c r="AL11" s="309" t="str">
        <f t="shared" ref="AL11:AL29" si="37">O11</f>
        <v>RHS</v>
      </c>
      <c r="AM11" s="90">
        <f t="shared" ref="AM11:AM29" si="38">S11</f>
        <v>125</v>
      </c>
      <c r="AN11" s="90">
        <f t="shared" ref="AN11:AN29" si="39">T11</f>
        <v>125</v>
      </c>
      <c r="AO11" s="316">
        <f t="shared" ref="AO11:AO29" si="40">U11</f>
        <v>2.2999999999999998</v>
      </c>
      <c r="AP11" s="21">
        <f t="shared" ref="AP11:AP29" si="41">_xll.Iyy(AL11,AM11,AO11,AN11,AO11)</f>
        <v>2833497.5211999961</v>
      </c>
      <c r="AQ11" s="306">
        <f t="shared" si="2"/>
        <v>580.86699184599911</v>
      </c>
      <c r="AR11" s="281"/>
      <c r="AS11" s="309" t="str">
        <f t="shared" ref="AS11:AS29" si="42">V11</f>
        <v>Cruciform</v>
      </c>
      <c r="AT11" s="90">
        <f t="shared" si="3"/>
        <v>180</v>
      </c>
      <c r="AU11" s="90">
        <f t="shared" si="3"/>
        <v>180</v>
      </c>
      <c r="AV11" s="90">
        <f t="shared" si="3"/>
        <v>12</v>
      </c>
      <c r="AW11" s="316">
        <f t="shared" si="3"/>
        <v>12</v>
      </c>
      <c r="AX11" s="58">
        <f t="shared" si="4"/>
        <v>4176</v>
      </c>
      <c r="AY11" s="21">
        <f t="shared" ref="AY11:AY29" si="43">_xll.Iyy_Cruciform(AT11,AV11,AU11,AW11)</f>
        <v>5856192</v>
      </c>
      <c r="AZ11" s="306">
        <f t="shared" si="5"/>
        <v>1200.51936</v>
      </c>
      <c r="BA11" s="281"/>
      <c r="BB11" s="309" t="str">
        <f t="shared" si="6"/>
        <v>RHS</v>
      </c>
      <c r="BC11" s="86">
        <f t="shared" si="7"/>
        <v>420.4</v>
      </c>
      <c r="BD11" s="90">
        <f t="shared" si="8"/>
        <v>125</v>
      </c>
      <c r="BE11" s="90">
        <f t="shared" si="9"/>
        <v>2.2999999999999998</v>
      </c>
      <c r="BF11" s="90">
        <f t="shared" si="10"/>
        <v>90</v>
      </c>
      <c r="BG11" s="90">
        <f t="shared" si="11"/>
        <v>90</v>
      </c>
      <c r="BH11" s="316">
        <f t="shared" si="12"/>
        <v>180</v>
      </c>
      <c r="BI11" s="90">
        <v>0</v>
      </c>
      <c r="BJ11" s="90"/>
      <c r="BK11" s="316"/>
      <c r="BL11" s="86">
        <f t="array" ref="BL11:BO11">IF(BB11="RHS",val_Kr_RHS(BD11/10^3,BE11/10^3,BG11/10^3,BH11/10^3,BC11*10^3,BJ$10/10^3,BK$10/10^3,BI$10*10^3,$BM$5*10^3),IF(BB11="CHS",val_Kr_CHS(BD11/10^3,BE11/10^3,BG11/10^3,BH11/10^3,BC11*10^3,BJ$10/10^3,BK$10/10^3,BI$10*10^3,$BM$5*10^3),#N/A))</f>
        <v>4043.4906169356791</v>
      </c>
      <c r="BM11" s="333">
        <v>2.4331755229271167E-4</v>
      </c>
      <c r="BN11" s="86">
        <v>370.70233248496277</v>
      </c>
      <c r="BO11" s="333">
        <v>8.3507513178371698E-3</v>
      </c>
      <c r="BP11" s="89" t="e">
        <f t="array" aca="1" ref="BP11:BT11" ca="1">IF(BB11="RHS",Mp_RHS(BD11,BE11,BG11,BH11,BC11,BJ11,BK11,BI11),IF(BB11="CHS",Mp_CHS(BD11,BE11,BG11,BH11,BC11,BJ11,BK11,BI11),#N/A))/10^6</f>
        <v>#NAME?</v>
      </c>
      <c r="BQ11" s="89" t="e">
        <f ca="1"/>
        <v>#NAME?</v>
      </c>
      <c r="BR11" s="86" t="e">
        <f ca="1"/>
        <v>#NAME?</v>
      </c>
      <c r="BS11" s="89" t="e">
        <f ca="1"/>
        <v>#NAME?</v>
      </c>
      <c r="BT11" s="89" t="e">
        <f ca="1"/>
        <v>#NAME?</v>
      </c>
      <c r="BU11" s="65" t="e">
        <f t="shared" ref="BU11:BU29" ca="1" si="44">BP11</f>
        <v>#NAME?</v>
      </c>
      <c r="BV11" s="108" t="s">
        <v>531</v>
      </c>
      <c r="BW11" s="58">
        <f t="shared" ref="BW11:BW29" si="45">IF(BV11="Initial",BL11,IF(BV11="Secant",BU11/BO11,#N/A))</f>
        <v>4043.4906169356791</v>
      </c>
      <c r="BX11" s="281"/>
      <c r="BY11" s="86">
        <f t="shared" si="13"/>
        <v>266.8</v>
      </c>
      <c r="BZ11" s="93">
        <f t="shared" si="14"/>
        <v>1.5142428785607196</v>
      </c>
      <c r="CA11" s="90">
        <f t="shared" si="15"/>
        <v>90</v>
      </c>
      <c r="CB11" s="90">
        <f t="shared" si="16"/>
        <v>90</v>
      </c>
      <c r="CC11" s="90">
        <f t="shared" si="17"/>
        <v>12</v>
      </c>
      <c r="CD11" s="316">
        <f t="shared" si="18"/>
        <v>12</v>
      </c>
      <c r="CE11" s="86">
        <f t="shared" si="19"/>
        <v>432.21600000000001</v>
      </c>
      <c r="CF11" s="21">
        <f t="shared" si="20"/>
        <v>2016</v>
      </c>
      <c r="CG11" s="257">
        <f t="shared" si="21"/>
        <v>16449.599999999999</v>
      </c>
      <c r="CH11" s="21">
        <f t="shared" si="22"/>
        <v>27108</v>
      </c>
      <c r="CI11" s="81">
        <f t="shared" ref="CI11:CI29" si="46">CE11/(CF11*BY11/10^3)</f>
        <v>0.80357142857142849</v>
      </c>
      <c r="CJ11" s="81">
        <f t="shared" si="23"/>
        <v>0.5357142857142857</v>
      </c>
      <c r="CK11" s="137">
        <f t="shared" si="24"/>
        <v>4.3887532800000004</v>
      </c>
      <c r="CL11" s="206">
        <f t="shared" ref="CL11:CL29" si="47">(1-CI11)</f>
        <v>0.19642857142857151</v>
      </c>
      <c r="CM11" s="140">
        <f t="shared" ref="CM11:CM29" si="48">CK11*CL11</f>
        <v>0.86207653714285759</v>
      </c>
      <c r="CN11" s="137">
        <f t="shared" ref="CN11:CN29" si="49">BY11*CH11/10^6</f>
        <v>7.2324144000000006</v>
      </c>
      <c r="CO11" s="206">
        <f t="shared" ref="CO11:CO29" si="50">IF(CI11&lt;=CJ11,1,1.19*(1-CI11^2))</f>
        <v>0.42158482142857162</v>
      </c>
      <c r="CP11" s="140">
        <f t="shared" ref="CP11:CP29" si="51">$CN11*CO11</f>
        <v>3.0490761333214302</v>
      </c>
      <c r="CQ11" s="206">
        <f t="shared" si="25"/>
        <v>0.66715976331360971</v>
      </c>
      <c r="CR11" s="140">
        <f t="shared" si="26"/>
        <v>4.8251758792899428</v>
      </c>
      <c r="CS11" s="206">
        <f t="shared" si="27"/>
        <v>0.92506936322074407</v>
      </c>
      <c r="CT11" s="140">
        <f t="shared" si="28"/>
        <v>6.6904849835565399</v>
      </c>
      <c r="CU11" s="206">
        <f t="shared" si="29"/>
        <v>0.53685258964143445</v>
      </c>
      <c r="CV11" s="278">
        <f t="shared" si="30"/>
        <v>3.8827404000000016</v>
      </c>
      <c r="CW11" s="352" t="s">
        <v>525</v>
      </c>
      <c r="CX11" s="609">
        <f t="shared" ref="CX11:CX29" si="52">IF(CW11="Yield",CM11,IF(CW11="NZ",CP11,IF(CW11="AIJ",CR11,IF(CW11="AIJ-Takeuchi",CT11,IF(CW11="Exact",CV11,#N/A)))))</f>
        <v>6.6904849835565399</v>
      </c>
    </row>
    <row r="12" spans="2:102" x14ac:dyDescent="0.25">
      <c r="B12" s="430">
        <v>12</v>
      </c>
      <c r="C12" s="58">
        <f t="shared" si="31"/>
        <v>1200.51936</v>
      </c>
      <c r="D12" s="58">
        <f t="shared" si="0"/>
        <v>580.86699184599911</v>
      </c>
      <c r="E12" s="58">
        <f t="shared" si="1"/>
        <v>4043.4906169356796</v>
      </c>
      <c r="F12" s="65" t="e">
        <f t="shared" ca="1" si="32"/>
        <v>#NAME?</v>
      </c>
      <c r="G12" s="65">
        <f t="shared" si="33"/>
        <v>6.6904849835565399</v>
      </c>
      <c r="H12" s="58">
        <f t="shared" si="34"/>
        <v>4176</v>
      </c>
      <c r="I12" s="58">
        <f t="shared" si="35"/>
        <v>5856192</v>
      </c>
      <c r="J12" s="203">
        <f t="shared" si="36"/>
        <v>266.8</v>
      </c>
      <c r="L12" s="637"/>
      <c r="M12" s="510" t="s">
        <v>16</v>
      </c>
      <c r="N12" s="538">
        <f>VLOOKUP($B12,'Core Demand'!$B$8:$E$36,MATCH(N$8,'Core Demand'!$B$8:$E$8,0),FALSE)</f>
        <v>432.21600000000001</v>
      </c>
      <c r="O12" s="490" t="s">
        <v>91</v>
      </c>
      <c r="P12" s="490" t="s">
        <v>93</v>
      </c>
      <c r="Q12" s="490">
        <v>391.5</v>
      </c>
      <c r="R12" s="490">
        <v>456.9</v>
      </c>
      <c r="S12" s="490">
        <v>125</v>
      </c>
      <c r="T12" s="490">
        <v>125</v>
      </c>
      <c r="U12" s="500">
        <v>2.2999999999999998</v>
      </c>
      <c r="V12" s="490" t="s">
        <v>95</v>
      </c>
      <c r="W12" s="490">
        <v>180</v>
      </c>
      <c r="X12" s="490">
        <v>180</v>
      </c>
      <c r="Y12" s="490">
        <v>12</v>
      </c>
      <c r="Z12" s="500">
        <v>12</v>
      </c>
      <c r="AA12" s="490" t="s">
        <v>95</v>
      </c>
      <c r="AB12" s="490" t="s">
        <v>94</v>
      </c>
      <c r="AC12" s="501">
        <v>266.8</v>
      </c>
      <c r="AD12" s="501">
        <v>404</v>
      </c>
      <c r="AE12" s="490">
        <v>90</v>
      </c>
      <c r="AF12" s="490">
        <v>90</v>
      </c>
      <c r="AG12" s="490">
        <v>12</v>
      </c>
      <c r="AH12" s="490">
        <v>12</v>
      </c>
      <c r="AI12" s="490">
        <v>180</v>
      </c>
      <c r="AJ12" s="502" t="s">
        <v>58</v>
      </c>
      <c r="AL12" s="309" t="str">
        <f t="shared" si="37"/>
        <v>RHS</v>
      </c>
      <c r="AM12" s="90">
        <f t="shared" si="38"/>
        <v>125</v>
      </c>
      <c r="AN12" s="90">
        <f t="shared" si="39"/>
        <v>125</v>
      </c>
      <c r="AO12" s="316">
        <f t="shared" si="40"/>
        <v>2.2999999999999998</v>
      </c>
      <c r="AP12" s="21">
        <f t="shared" si="41"/>
        <v>2833497.5211999961</v>
      </c>
      <c r="AQ12" s="306">
        <f t="shared" si="2"/>
        <v>580.86699184599911</v>
      </c>
      <c r="AR12" s="281"/>
      <c r="AS12" s="309" t="str">
        <f t="shared" si="42"/>
        <v>Cruciform</v>
      </c>
      <c r="AT12" s="90">
        <f t="shared" si="3"/>
        <v>180</v>
      </c>
      <c r="AU12" s="90">
        <f t="shared" si="3"/>
        <v>180</v>
      </c>
      <c r="AV12" s="90">
        <f t="shared" si="3"/>
        <v>12</v>
      </c>
      <c r="AW12" s="316">
        <f t="shared" si="3"/>
        <v>12</v>
      </c>
      <c r="AX12" s="58">
        <f t="shared" si="4"/>
        <v>4176</v>
      </c>
      <c r="AY12" s="21">
        <f t="shared" si="43"/>
        <v>5856192</v>
      </c>
      <c r="AZ12" s="306">
        <f t="shared" si="5"/>
        <v>1200.51936</v>
      </c>
      <c r="BA12" s="281"/>
      <c r="BB12" s="309" t="str">
        <f t="shared" si="6"/>
        <v>RHS</v>
      </c>
      <c r="BC12" s="86">
        <f t="shared" si="7"/>
        <v>456.9</v>
      </c>
      <c r="BD12" s="90">
        <f t="shared" si="8"/>
        <v>125</v>
      </c>
      <c r="BE12" s="90">
        <f t="shared" si="9"/>
        <v>2.2999999999999998</v>
      </c>
      <c r="BF12" s="90">
        <f t="shared" si="10"/>
        <v>90</v>
      </c>
      <c r="BG12" s="90">
        <f t="shared" si="11"/>
        <v>90</v>
      </c>
      <c r="BH12" s="316">
        <f t="shared" si="12"/>
        <v>180</v>
      </c>
      <c r="BI12" s="90">
        <v>0</v>
      </c>
      <c r="BJ12" s="90"/>
      <c r="BK12" s="316"/>
      <c r="BL12" s="86">
        <f t="array" ref="BL12:BO12">IF(BB12="RHS",val_Kr_RHS(BD12/10^3,BE12/10^3,BG12/10^3,BH12/10^3,BC12*10^3,BJ$10/10^3,BK$10/10^3,BI$10*10^3,$BM$5*10^3),IF(BB12="CHS",val_Kr_CHS(BD12/10^3,BE12/10^3,BG12/10^3,BH12/10^3,BC12*10^3,BJ$10/10^3,BK$10/10^3,BI$10*10^3,$BM$5*10^3),#N/A))</f>
        <v>4043.4906169356796</v>
      </c>
      <c r="BM12" s="333">
        <v>2.6444288687568974E-4</v>
      </c>
      <c r="BN12" s="86">
        <v>405.21526530234343</v>
      </c>
      <c r="BO12" s="333">
        <v>8.7084690026326701E-3</v>
      </c>
      <c r="BP12" s="89" t="e">
        <f t="array" aca="1" ref="BP12:BT12" ca="1">IF(BB12="RHS",Mp_RHS(BD12,BE12,BG12,BH12,BC12,BJ12,BK12,BI12),IF(BB12="CHS",Mp_CHS(BD12,BE12,BG12,BH12,BC12,BJ12,BK12,BI12),#N/A))/10^6</f>
        <v>#NAME?</v>
      </c>
      <c r="BQ12" s="89" t="e">
        <f ca="1"/>
        <v>#NAME?</v>
      </c>
      <c r="BR12" s="86" t="e">
        <f ca="1"/>
        <v>#NAME?</v>
      </c>
      <c r="BS12" s="89" t="e">
        <f ca="1"/>
        <v>#NAME?</v>
      </c>
      <c r="BT12" s="89" t="e">
        <f ca="1"/>
        <v>#NAME?</v>
      </c>
      <c r="BU12" s="65" t="e">
        <f t="shared" ca="1" si="44"/>
        <v>#NAME?</v>
      </c>
      <c r="BV12" s="108" t="s">
        <v>531</v>
      </c>
      <c r="BW12" s="58">
        <f t="shared" si="45"/>
        <v>4043.4906169356796</v>
      </c>
      <c r="BX12" s="281"/>
      <c r="BY12" s="86">
        <f t="shared" si="13"/>
        <v>266.8</v>
      </c>
      <c r="BZ12" s="93">
        <f t="shared" si="14"/>
        <v>1.5142428785607196</v>
      </c>
      <c r="CA12" s="90">
        <f t="shared" si="15"/>
        <v>90</v>
      </c>
      <c r="CB12" s="90">
        <f t="shared" si="16"/>
        <v>90</v>
      </c>
      <c r="CC12" s="90">
        <f t="shared" si="17"/>
        <v>12</v>
      </c>
      <c r="CD12" s="316">
        <f t="shared" si="18"/>
        <v>12</v>
      </c>
      <c r="CE12" s="86">
        <f t="shared" si="19"/>
        <v>432.21600000000001</v>
      </c>
      <c r="CF12" s="21">
        <f t="shared" si="20"/>
        <v>2016</v>
      </c>
      <c r="CG12" s="257">
        <f t="shared" si="21"/>
        <v>16449.599999999999</v>
      </c>
      <c r="CH12" s="21">
        <f t="shared" si="22"/>
        <v>27108</v>
      </c>
      <c r="CI12" s="81">
        <f t="shared" si="46"/>
        <v>0.80357142857142849</v>
      </c>
      <c r="CJ12" s="81">
        <f t="shared" si="23"/>
        <v>0.5357142857142857</v>
      </c>
      <c r="CK12" s="137">
        <f t="shared" si="24"/>
        <v>4.3887532800000004</v>
      </c>
      <c r="CL12" s="206">
        <f t="shared" si="47"/>
        <v>0.19642857142857151</v>
      </c>
      <c r="CM12" s="140">
        <f t="shared" si="48"/>
        <v>0.86207653714285759</v>
      </c>
      <c r="CN12" s="137">
        <f t="shared" si="49"/>
        <v>7.2324144000000006</v>
      </c>
      <c r="CO12" s="206">
        <f t="shared" si="50"/>
        <v>0.42158482142857162</v>
      </c>
      <c r="CP12" s="140">
        <f t="shared" si="51"/>
        <v>3.0490761333214302</v>
      </c>
      <c r="CQ12" s="206">
        <f t="shared" si="25"/>
        <v>0.66715976331360971</v>
      </c>
      <c r="CR12" s="140">
        <f t="shared" si="26"/>
        <v>4.8251758792899428</v>
      </c>
      <c r="CS12" s="206">
        <f t="shared" si="27"/>
        <v>0.92506936322074407</v>
      </c>
      <c r="CT12" s="140">
        <f t="shared" si="28"/>
        <v>6.6904849835565399</v>
      </c>
      <c r="CU12" s="206">
        <f t="shared" si="29"/>
        <v>0.53685258964143445</v>
      </c>
      <c r="CV12" s="278">
        <f t="shared" si="30"/>
        <v>3.8827404000000016</v>
      </c>
      <c r="CW12" s="352" t="s">
        <v>525</v>
      </c>
      <c r="CX12" s="609">
        <f t="shared" si="52"/>
        <v>6.6904849835565399</v>
      </c>
    </row>
    <row r="13" spans="2:102" x14ac:dyDescent="0.25">
      <c r="B13" s="430">
        <v>13</v>
      </c>
      <c r="C13" s="58">
        <f t="shared" si="31"/>
        <v>1200.51936</v>
      </c>
      <c r="D13" s="58">
        <f t="shared" si="0"/>
        <v>713.93000527766014</v>
      </c>
      <c r="E13" s="58">
        <f t="shared" si="1"/>
        <v>1604.8107658411889</v>
      </c>
      <c r="F13" s="65" t="e">
        <f t="shared" ca="1" si="32"/>
        <v>#NAME?</v>
      </c>
      <c r="G13" s="65">
        <f t="shared" si="33"/>
        <v>6.8488365377438445</v>
      </c>
      <c r="H13" s="58">
        <f t="shared" si="34"/>
        <v>4176</v>
      </c>
      <c r="I13" s="58">
        <f t="shared" si="35"/>
        <v>5856192</v>
      </c>
      <c r="J13" s="203">
        <f t="shared" si="36"/>
        <v>269.7</v>
      </c>
      <c r="L13" s="637"/>
      <c r="M13" s="510" t="s">
        <v>17</v>
      </c>
      <c r="N13" s="538">
        <f>VLOOKUP($B13,'Core Demand'!$B$8:$E$36,MATCH(N$8,'Core Demand'!$B$8:$E$8,0),FALSE)</f>
        <v>436.91399999999999</v>
      </c>
      <c r="O13" s="490" t="s">
        <v>92</v>
      </c>
      <c r="P13" s="490" t="s">
        <v>93</v>
      </c>
      <c r="Q13" s="490">
        <v>365.7</v>
      </c>
      <c r="R13" s="490">
        <v>464</v>
      </c>
      <c r="S13" s="490">
        <v>139.80000000000001</v>
      </c>
      <c r="T13" s="490">
        <v>139.80000000000001</v>
      </c>
      <c r="U13" s="500">
        <v>3.5</v>
      </c>
      <c r="V13" s="490" t="s">
        <v>95</v>
      </c>
      <c r="W13" s="490">
        <v>180</v>
      </c>
      <c r="X13" s="490">
        <v>180</v>
      </c>
      <c r="Y13" s="490">
        <v>12</v>
      </c>
      <c r="Z13" s="500">
        <v>12</v>
      </c>
      <c r="AA13" s="490" t="s">
        <v>95</v>
      </c>
      <c r="AB13" s="490" t="s">
        <v>94</v>
      </c>
      <c r="AC13" s="501">
        <v>269.7</v>
      </c>
      <c r="AD13" s="501">
        <v>431.8</v>
      </c>
      <c r="AE13" s="490">
        <v>90</v>
      </c>
      <c r="AF13" s="490">
        <v>90</v>
      </c>
      <c r="AG13" s="490">
        <v>12</v>
      </c>
      <c r="AH13" s="490">
        <v>12</v>
      </c>
      <c r="AI13" s="490">
        <v>180</v>
      </c>
      <c r="AJ13" s="502" t="s">
        <v>58</v>
      </c>
      <c r="AL13" s="309" t="str">
        <f t="shared" si="37"/>
        <v>CHS</v>
      </c>
      <c r="AM13" s="90">
        <f t="shared" si="38"/>
        <v>139.80000000000001</v>
      </c>
      <c r="AN13" s="90">
        <f t="shared" si="39"/>
        <v>139.80000000000001</v>
      </c>
      <c r="AO13" s="316">
        <f t="shared" si="40"/>
        <v>3.5</v>
      </c>
      <c r="AP13" s="21">
        <f t="shared" si="41"/>
        <v>3482585.3915983425</v>
      </c>
      <c r="AQ13" s="306">
        <f t="shared" si="2"/>
        <v>713.93000527766014</v>
      </c>
      <c r="AR13" s="281"/>
      <c r="AS13" s="309" t="str">
        <f t="shared" si="42"/>
        <v>Cruciform</v>
      </c>
      <c r="AT13" s="90">
        <f t="shared" si="3"/>
        <v>180</v>
      </c>
      <c r="AU13" s="90">
        <f t="shared" si="3"/>
        <v>180</v>
      </c>
      <c r="AV13" s="90">
        <f t="shared" si="3"/>
        <v>12</v>
      </c>
      <c r="AW13" s="316">
        <f t="shared" si="3"/>
        <v>12</v>
      </c>
      <c r="AX13" s="58">
        <f t="shared" si="4"/>
        <v>4176</v>
      </c>
      <c r="AY13" s="21">
        <f t="shared" si="43"/>
        <v>5856192</v>
      </c>
      <c r="AZ13" s="306">
        <f t="shared" si="5"/>
        <v>1200.51936</v>
      </c>
      <c r="BA13" s="281"/>
      <c r="BB13" s="309" t="str">
        <f t="shared" si="6"/>
        <v>CHS</v>
      </c>
      <c r="BC13" s="86">
        <f t="shared" si="7"/>
        <v>464</v>
      </c>
      <c r="BD13" s="90">
        <f t="shared" si="8"/>
        <v>139.80000000000001</v>
      </c>
      <c r="BE13" s="90">
        <f t="shared" si="9"/>
        <v>3.5</v>
      </c>
      <c r="BF13" s="90">
        <f t="shared" si="10"/>
        <v>90</v>
      </c>
      <c r="BG13" s="90">
        <f t="shared" si="11"/>
        <v>90</v>
      </c>
      <c r="BH13" s="316">
        <f t="shared" si="12"/>
        <v>180</v>
      </c>
      <c r="BI13" s="90">
        <v>0</v>
      </c>
      <c r="BJ13" s="90"/>
      <c r="BK13" s="316"/>
      <c r="BL13" s="86">
        <f t="array" ref="BL13:BO13">IF(BB13="RHS",val_Kr_RHS(BD13/10^3,BE13/10^3,BG13/10^3,BH13/10^3,BC13*10^3,BJ$10/10^3,BK$10/10^3,BI$10*10^3,$BM$5*10^3),IF(BB13="CHS",val_Kr_CHS(BD13/10^3,BE13/10^3,BG13/10^3,BH13/10^3,BC13*10^3,BJ$10/10^3,BK$10/10^3,BI$10*10^3,$BM$5*10^3),#N/A))</f>
        <v>1604.8107658411889</v>
      </c>
      <c r="BM13" s="333">
        <v>1.9741187988650662E-2</v>
      </c>
      <c r="BN13" s="86">
        <v>0</v>
      </c>
      <c r="BO13" s="333">
        <v>0</v>
      </c>
      <c r="BP13" s="89" t="e">
        <f t="array" aca="1" ref="BP13:BT13" ca="1">IF(BB13="RHS",Mp_RHS(BD13,BE13,BG13,BH13,BC13,BJ13,BK13,BI13),IF(BB13="CHS",Mp_CHS(BD13,BE13,BG13,BH13,BC13,BJ13,BK13,BI13),#N/A))/10^6</f>
        <v>#NAME?</v>
      </c>
      <c r="BQ13" s="89" t="e">
        <f ca="1"/>
        <v>#NAME?</v>
      </c>
      <c r="BR13" s="86" t="e">
        <f ca="1"/>
        <v>#NAME?</v>
      </c>
      <c r="BS13" s="89" t="e">
        <f ca="1"/>
        <v>#NAME?</v>
      </c>
      <c r="BT13" s="89" t="e">
        <f ca="1"/>
        <v>#NAME?</v>
      </c>
      <c r="BU13" s="65" t="e">
        <f t="shared" ca="1" si="44"/>
        <v>#NAME?</v>
      </c>
      <c r="BV13" s="108" t="s">
        <v>531</v>
      </c>
      <c r="BW13" s="58">
        <f t="shared" si="45"/>
        <v>1604.8107658411889</v>
      </c>
      <c r="BX13" s="582"/>
      <c r="BY13" s="86">
        <f t="shared" si="13"/>
        <v>269.7</v>
      </c>
      <c r="BZ13" s="93">
        <f t="shared" si="14"/>
        <v>1.6010381905821285</v>
      </c>
      <c r="CA13" s="90">
        <f t="shared" si="15"/>
        <v>90</v>
      </c>
      <c r="CB13" s="90">
        <f t="shared" si="16"/>
        <v>90</v>
      </c>
      <c r="CC13" s="90">
        <f t="shared" si="17"/>
        <v>12</v>
      </c>
      <c r="CD13" s="316">
        <f t="shared" si="18"/>
        <v>12</v>
      </c>
      <c r="CE13" s="86">
        <f t="shared" si="19"/>
        <v>436.91399999999999</v>
      </c>
      <c r="CF13" s="21">
        <f t="shared" si="20"/>
        <v>2016</v>
      </c>
      <c r="CG13" s="257">
        <f t="shared" si="21"/>
        <v>16449.599999999999</v>
      </c>
      <c r="CH13" s="21">
        <f t="shared" si="22"/>
        <v>27108</v>
      </c>
      <c r="CI13" s="81">
        <f t="shared" si="46"/>
        <v>0.8035714285714286</v>
      </c>
      <c r="CJ13" s="81">
        <f t="shared" si="23"/>
        <v>0.5357142857142857</v>
      </c>
      <c r="CK13" s="137">
        <f t="shared" si="24"/>
        <v>4.4364571199999991</v>
      </c>
      <c r="CL13" s="206">
        <f t="shared" si="47"/>
        <v>0.1964285714285714</v>
      </c>
      <c r="CM13" s="140">
        <f t="shared" si="48"/>
        <v>0.87144693428571396</v>
      </c>
      <c r="CN13" s="137">
        <f t="shared" si="49"/>
        <v>7.3110276000000001</v>
      </c>
      <c r="CO13" s="206">
        <f t="shared" si="50"/>
        <v>0.42158482142857134</v>
      </c>
      <c r="CP13" s="140">
        <f t="shared" si="51"/>
        <v>3.0822182652053565</v>
      </c>
      <c r="CQ13" s="206">
        <f t="shared" si="25"/>
        <v>0.66715976331360938</v>
      </c>
      <c r="CR13" s="140">
        <f t="shared" si="26"/>
        <v>4.8776234431952661</v>
      </c>
      <c r="CS13" s="206">
        <f t="shared" si="27"/>
        <v>0.93678165539189651</v>
      </c>
      <c r="CT13" s="140">
        <f t="shared" si="28"/>
        <v>6.8488365377438445</v>
      </c>
      <c r="CU13" s="206">
        <f t="shared" si="29"/>
        <v>0.53685258964143412</v>
      </c>
      <c r="CV13" s="278">
        <f t="shared" si="30"/>
        <v>3.9249440999999989</v>
      </c>
      <c r="CW13" s="352" t="s">
        <v>525</v>
      </c>
      <c r="CX13" s="609">
        <f t="shared" si="52"/>
        <v>6.8488365377438445</v>
      </c>
    </row>
    <row r="14" spans="2:102" x14ac:dyDescent="0.25">
      <c r="B14" s="430">
        <v>14</v>
      </c>
      <c r="C14" s="58">
        <f t="shared" si="31"/>
        <v>1200.51936</v>
      </c>
      <c r="D14" s="58">
        <f t="shared" si="0"/>
        <v>580.86699184599911</v>
      </c>
      <c r="E14" s="58">
        <f t="shared" si="1"/>
        <v>505.43632711695994</v>
      </c>
      <c r="F14" s="65" t="e">
        <f t="shared" ca="1" si="32"/>
        <v>#NAME?</v>
      </c>
      <c r="G14" s="65">
        <f t="shared" si="33"/>
        <v>6.6904849835565399</v>
      </c>
      <c r="H14" s="58">
        <f t="shared" si="34"/>
        <v>4176</v>
      </c>
      <c r="I14" s="58">
        <f t="shared" si="35"/>
        <v>5856192</v>
      </c>
      <c r="J14" s="203">
        <f t="shared" si="36"/>
        <v>266.8</v>
      </c>
      <c r="L14" s="637"/>
      <c r="M14" s="510" t="s">
        <v>18</v>
      </c>
      <c r="N14" s="538">
        <f>VLOOKUP($B14,'Core Demand'!$B$8:$E$36,MATCH(N$8,'Core Demand'!$B$8:$E$8,0),FALSE)</f>
        <v>432.21600000000001</v>
      </c>
      <c r="O14" s="490" t="s">
        <v>91</v>
      </c>
      <c r="P14" s="490" t="s">
        <v>93</v>
      </c>
      <c r="Q14" s="490">
        <v>391.5</v>
      </c>
      <c r="R14" s="490">
        <v>456.9</v>
      </c>
      <c r="S14" s="490">
        <v>125</v>
      </c>
      <c r="T14" s="490">
        <v>125</v>
      </c>
      <c r="U14" s="500">
        <v>2.2999999999999998</v>
      </c>
      <c r="V14" s="490" t="s">
        <v>95</v>
      </c>
      <c r="W14" s="490">
        <v>180</v>
      </c>
      <c r="X14" s="490">
        <v>180</v>
      </c>
      <c r="Y14" s="490">
        <v>12</v>
      </c>
      <c r="Z14" s="500">
        <v>12</v>
      </c>
      <c r="AA14" s="490" t="s">
        <v>95</v>
      </c>
      <c r="AB14" s="490" t="s">
        <v>94</v>
      </c>
      <c r="AC14" s="501">
        <v>266.8</v>
      </c>
      <c r="AD14" s="501">
        <v>404</v>
      </c>
      <c r="AE14" s="490">
        <v>90</v>
      </c>
      <c r="AF14" s="490">
        <v>90</v>
      </c>
      <c r="AG14" s="490">
        <v>12</v>
      </c>
      <c r="AH14" s="490">
        <v>12</v>
      </c>
      <c r="AI14" s="490">
        <v>90</v>
      </c>
      <c r="AJ14" s="502" t="s">
        <v>58</v>
      </c>
      <c r="AL14" s="309" t="str">
        <f t="shared" si="37"/>
        <v>RHS</v>
      </c>
      <c r="AM14" s="90">
        <f t="shared" si="38"/>
        <v>125</v>
      </c>
      <c r="AN14" s="90">
        <f t="shared" si="39"/>
        <v>125</v>
      </c>
      <c r="AO14" s="316">
        <f t="shared" si="40"/>
        <v>2.2999999999999998</v>
      </c>
      <c r="AP14" s="21">
        <f t="shared" si="41"/>
        <v>2833497.5211999961</v>
      </c>
      <c r="AQ14" s="306">
        <f t="shared" si="2"/>
        <v>580.86699184599911</v>
      </c>
      <c r="AR14" s="281"/>
      <c r="AS14" s="309" t="str">
        <f t="shared" si="42"/>
        <v>Cruciform</v>
      </c>
      <c r="AT14" s="90">
        <f t="shared" si="3"/>
        <v>180</v>
      </c>
      <c r="AU14" s="90">
        <f t="shared" si="3"/>
        <v>180</v>
      </c>
      <c r="AV14" s="90">
        <f t="shared" si="3"/>
        <v>12</v>
      </c>
      <c r="AW14" s="316">
        <f t="shared" si="3"/>
        <v>12</v>
      </c>
      <c r="AX14" s="58">
        <f t="shared" si="4"/>
        <v>4176</v>
      </c>
      <c r="AY14" s="21">
        <f t="shared" si="43"/>
        <v>5856192</v>
      </c>
      <c r="AZ14" s="306">
        <f t="shared" si="5"/>
        <v>1200.51936</v>
      </c>
      <c r="BA14" s="281"/>
      <c r="BB14" s="309" t="str">
        <f t="shared" si="6"/>
        <v>RHS</v>
      </c>
      <c r="BC14" s="86">
        <f t="shared" si="7"/>
        <v>456.9</v>
      </c>
      <c r="BD14" s="90">
        <f t="shared" si="8"/>
        <v>125</v>
      </c>
      <c r="BE14" s="90">
        <f t="shared" si="9"/>
        <v>2.2999999999999998</v>
      </c>
      <c r="BF14" s="90">
        <f t="shared" si="10"/>
        <v>90</v>
      </c>
      <c r="BG14" s="90">
        <f t="shared" si="11"/>
        <v>90</v>
      </c>
      <c r="BH14" s="316">
        <f t="shared" si="12"/>
        <v>90</v>
      </c>
      <c r="BI14" s="90">
        <v>0</v>
      </c>
      <c r="BJ14" s="90"/>
      <c r="BK14" s="316"/>
      <c r="BL14" s="86">
        <f t="array" ref="BL14:BO14">IF(BB14="RHS",val_Kr_RHS(BD14/10^3,BE14/10^3,BG14/10^3,BH14/10^3,BC14*10^3,BJ$10/10^3,BK$10/10^3,BI$10*10^3,$BM$5*10^3),IF(BB14="CHS",val_Kr_CHS(BD14/10^3,BE14/10^3,BG14/10^3,BH14/10^3,BC14*10^3,BJ$10/10^3,BK$10/10^3,BI$10*10^3,$BM$5*10^3),#N/A))</f>
        <v>505.43632711695994</v>
      </c>
      <c r="BM14" s="333">
        <v>5.2888577375137947E-4</v>
      </c>
      <c r="BN14" s="86">
        <v>50.651908162792928</v>
      </c>
      <c r="BO14" s="333">
        <v>1.741693800526534E-2</v>
      </c>
      <c r="BP14" s="89" t="e">
        <f t="array" aca="1" ref="BP14:BT14" ca="1">IF(BB14="RHS",Mp_RHS(BD14,BE14,BG14,BH14,BC14,BJ14,BK14,BI14),IF(BB14="CHS",Mp_CHS(BD14,BE14,BG14,BH14,BC14,BJ14,BK14,BI14),#N/A))/10^6</f>
        <v>#NAME?</v>
      </c>
      <c r="BQ14" s="89" t="e">
        <f ca="1"/>
        <v>#NAME?</v>
      </c>
      <c r="BR14" s="86" t="e">
        <f ca="1"/>
        <v>#NAME?</v>
      </c>
      <c r="BS14" s="89" t="e">
        <f ca="1"/>
        <v>#NAME?</v>
      </c>
      <c r="BT14" s="89" t="e">
        <f ca="1"/>
        <v>#NAME?</v>
      </c>
      <c r="BU14" s="65" t="e">
        <f t="shared" ca="1" si="44"/>
        <v>#NAME?</v>
      </c>
      <c r="BV14" s="108" t="s">
        <v>531</v>
      </c>
      <c r="BW14" s="58">
        <f t="shared" si="45"/>
        <v>505.43632711695994</v>
      </c>
      <c r="BX14" s="281"/>
      <c r="BY14" s="86">
        <f t="shared" si="13"/>
        <v>266.8</v>
      </c>
      <c r="BZ14" s="93">
        <f t="shared" si="14"/>
        <v>1.5142428785607196</v>
      </c>
      <c r="CA14" s="90">
        <f t="shared" si="15"/>
        <v>90</v>
      </c>
      <c r="CB14" s="90">
        <f t="shared" si="16"/>
        <v>90</v>
      </c>
      <c r="CC14" s="90">
        <f t="shared" si="17"/>
        <v>12</v>
      </c>
      <c r="CD14" s="316">
        <f t="shared" si="18"/>
        <v>12</v>
      </c>
      <c r="CE14" s="86">
        <f t="shared" si="19"/>
        <v>432.21600000000001</v>
      </c>
      <c r="CF14" s="21">
        <f t="shared" si="20"/>
        <v>2016</v>
      </c>
      <c r="CG14" s="257">
        <f t="shared" si="21"/>
        <v>16449.599999999999</v>
      </c>
      <c r="CH14" s="21">
        <f t="shared" si="22"/>
        <v>27108</v>
      </c>
      <c r="CI14" s="81">
        <f t="shared" si="46"/>
        <v>0.80357142857142849</v>
      </c>
      <c r="CJ14" s="81">
        <f t="shared" si="23"/>
        <v>0.5357142857142857</v>
      </c>
      <c r="CK14" s="137">
        <f t="shared" si="24"/>
        <v>4.3887532800000004</v>
      </c>
      <c r="CL14" s="206">
        <f t="shared" si="47"/>
        <v>0.19642857142857151</v>
      </c>
      <c r="CM14" s="140">
        <f t="shared" si="48"/>
        <v>0.86207653714285759</v>
      </c>
      <c r="CN14" s="137">
        <f t="shared" si="49"/>
        <v>7.2324144000000006</v>
      </c>
      <c r="CO14" s="206">
        <f t="shared" si="50"/>
        <v>0.42158482142857162</v>
      </c>
      <c r="CP14" s="140">
        <f t="shared" si="51"/>
        <v>3.0490761333214302</v>
      </c>
      <c r="CQ14" s="206">
        <f t="shared" si="25"/>
        <v>0.66715976331360971</v>
      </c>
      <c r="CR14" s="140">
        <f t="shared" si="26"/>
        <v>4.8251758792899428</v>
      </c>
      <c r="CS14" s="206">
        <f t="shared" si="27"/>
        <v>0.92506936322074407</v>
      </c>
      <c r="CT14" s="140">
        <f t="shared" si="28"/>
        <v>6.6904849835565399</v>
      </c>
      <c r="CU14" s="206">
        <f t="shared" si="29"/>
        <v>0.53685258964143445</v>
      </c>
      <c r="CV14" s="278">
        <f t="shared" si="30"/>
        <v>3.8827404000000016</v>
      </c>
      <c r="CW14" s="352" t="s">
        <v>525</v>
      </c>
      <c r="CX14" s="609">
        <f t="shared" si="52"/>
        <v>6.6904849835565399</v>
      </c>
    </row>
    <row r="15" spans="2:102" x14ac:dyDescent="0.25">
      <c r="B15" s="429">
        <v>15</v>
      </c>
      <c r="C15" s="19">
        <f t="shared" si="31"/>
        <v>1200.51936</v>
      </c>
      <c r="D15" s="19">
        <f t="shared" si="0"/>
        <v>580.86699184599911</v>
      </c>
      <c r="E15" s="19">
        <f t="shared" si="1"/>
        <v>505.43632711695994</v>
      </c>
      <c r="F15" s="17" t="e">
        <f t="shared" ca="1" si="32"/>
        <v>#NAME?</v>
      </c>
      <c r="G15" s="17">
        <f t="shared" si="33"/>
        <v>6.6904849835565399</v>
      </c>
      <c r="H15" s="19">
        <f t="shared" si="34"/>
        <v>4176</v>
      </c>
      <c r="I15" s="19">
        <f t="shared" si="35"/>
        <v>5856192</v>
      </c>
      <c r="J15" s="204">
        <f t="shared" si="36"/>
        <v>266.8</v>
      </c>
      <c r="L15" s="638"/>
      <c r="M15" s="489" t="s">
        <v>19</v>
      </c>
      <c r="N15" s="539">
        <f>VLOOKUP($B15,'Core Demand'!$B$8:$E$36,MATCH(N$8,'Core Demand'!$B$8:$E$8,0),FALSE)</f>
        <v>432.21600000000001</v>
      </c>
      <c r="O15" s="491" t="s">
        <v>91</v>
      </c>
      <c r="P15" s="491" t="s">
        <v>93</v>
      </c>
      <c r="Q15" s="491">
        <v>391.5</v>
      </c>
      <c r="R15" s="491">
        <v>456.9</v>
      </c>
      <c r="S15" s="491">
        <v>125</v>
      </c>
      <c r="T15" s="491">
        <v>125</v>
      </c>
      <c r="U15" s="503">
        <v>2.2999999999999998</v>
      </c>
      <c r="V15" s="491" t="s">
        <v>95</v>
      </c>
      <c r="W15" s="491">
        <v>180</v>
      </c>
      <c r="X15" s="491">
        <v>180</v>
      </c>
      <c r="Y15" s="491">
        <v>12</v>
      </c>
      <c r="Z15" s="503">
        <v>12</v>
      </c>
      <c r="AA15" s="491" t="s">
        <v>95</v>
      </c>
      <c r="AB15" s="491" t="s">
        <v>94</v>
      </c>
      <c r="AC15" s="504">
        <v>266.8</v>
      </c>
      <c r="AD15" s="504">
        <v>404</v>
      </c>
      <c r="AE15" s="491">
        <v>90</v>
      </c>
      <c r="AF15" s="491">
        <v>90</v>
      </c>
      <c r="AG15" s="491">
        <v>12</v>
      </c>
      <c r="AH15" s="491">
        <v>12</v>
      </c>
      <c r="AI15" s="491">
        <v>90</v>
      </c>
      <c r="AJ15" s="505" t="s">
        <v>58</v>
      </c>
      <c r="AL15" s="312" t="str">
        <f t="shared" si="37"/>
        <v>RHS</v>
      </c>
      <c r="AM15" s="11">
        <f t="shared" si="38"/>
        <v>125</v>
      </c>
      <c r="AN15" s="11">
        <f t="shared" si="39"/>
        <v>125</v>
      </c>
      <c r="AO15" s="317">
        <f t="shared" si="40"/>
        <v>2.2999999999999998</v>
      </c>
      <c r="AP15" s="10">
        <f t="shared" si="41"/>
        <v>2833497.5211999961</v>
      </c>
      <c r="AQ15" s="307">
        <f t="shared" si="2"/>
        <v>580.86699184599911</v>
      </c>
      <c r="AR15" s="281"/>
      <c r="AS15" s="312" t="str">
        <f t="shared" si="42"/>
        <v>Cruciform</v>
      </c>
      <c r="AT15" s="11">
        <f t="shared" si="3"/>
        <v>180</v>
      </c>
      <c r="AU15" s="11">
        <f t="shared" si="3"/>
        <v>180</v>
      </c>
      <c r="AV15" s="11">
        <f t="shared" si="3"/>
        <v>12</v>
      </c>
      <c r="AW15" s="317">
        <f t="shared" si="3"/>
        <v>12</v>
      </c>
      <c r="AX15" s="19">
        <f t="shared" si="4"/>
        <v>4176</v>
      </c>
      <c r="AY15" s="10">
        <f t="shared" si="43"/>
        <v>5856192</v>
      </c>
      <c r="AZ15" s="307">
        <f t="shared" si="5"/>
        <v>1200.51936</v>
      </c>
      <c r="BA15" s="281"/>
      <c r="BB15" s="312" t="str">
        <f t="shared" si="6"/>
        <v>RHS</v>
      </c>
      <c r="BC15" s="18">
        <f t="shared" si="7"/>
        <v>456.9</v>
      </c>
      <c r="BD15" s="11">
        <f t="shared" si="8"/>
        <v>125</v>
      </c>
      <c r="BE15" s="11">
        <f t="shared" si="9"/>
        <v>2.2999999999999998</v>
      </c>
      <c r="BF15" s="11">
        <f t="shared" si="10"/>
        <v>90</v>
      </c>
      <c r="BG15" s="11">
        <f t="shared" si="11"/>
        <v>90</v>
      </c>
      <c r="BH15" s="317">
        <f t="shared" si="12"/>
        <v>90</v>
      </c>
      <c r="BI15" s="11">
        <v>0</v>
      </c>
      <c r="BJ15" s="11"/>
      <c r="BK15" s="317"/>
      <c r="BL15" s="86">
        <f t="array" ref="BL15:BO15">IF(BB15="RHS",val_Kr_RHS(BD15/10^3,BE15/10^3,BG15/10^3,BH15/10^3,BC15*10^3,BJ$10/10^3,BK$10/10^3,BI$10*10^3,$BM$5*10^3),IF(BB15="CHS",val_Kr_CHS(BD15/10^3,BE15/10^3,BG15/10^3,BH15/10^3,BC15*10^3,BJ$10/10^3,BK$10/10^3,BI$10*10^3,$BM$5*10^3),#N/A))</f>
        <v>505.43632711695994</v>
      </c>
      <c r="BM15" s="333">
        <v>5.2888577375137947E-4</v>
      </c>
      <c r="BN15" s="86">
        <v>50.651908162792928</v>
      </c>
      <c r="BO15" s="333">
        <v>1.741693800526534E-2</v>
      </c>
      <c r="BP15" s="14" t="e">
        <f t="array" aca="1" ref="BP15:BT15" ca="1">IF(BB15="RHS",Mp_RHS(BD15,BE15,BG15,BH15,BC15,BJ15,BK15,BI15),IF(BB15="CHS",Mp_CHS(BD15,BE15,BG15,BH15,BC15,BJ15,BK15,BI15),#N/A))/10^6</f>
        <v>#NAME?</v>
      </c>
      <c r="BQ15" s="14" t="e">
        <f ca="1"/>
        <v>#NAME?</v>
      </c>
      <c r="BR15" s="18" t="e">
        <f ca="1"/>
        <v>#NAME?</v>
      </c>
      <c r="BS15" s="14" t="e">
        <f ca="1"/>
        <v>#NAME?</v>
      </c>
      <c r="BT15" s="14" t="e">
        <f ca="1"/>
        <v>#NAME?</v>
      </c>
      <c r="BU15" s="17" t="e">
        <f t="shared" ca="1" si="44"/>
        <v>#NAME?</v>
      </c>
      <c r="BV15" s="111" t="s">
        <v>531</v>
      </c>
      <c r="BW15" s="19">
        <f t="shared" si="45"/>
        <v>505.43632711695994</v>
      </c>
      <c r="BX15" s="281"/>
      <c r="BY15" s="18">
        <f t="shared" si="13"/>
        <v>266.8</v>
      </c>
      <c r="BZ15" s="105">
        <f t="shared" si="14"/>
        <v>1.5142428785607196</v>
      </c>
      <c r="CA15" s="11">
        <f t="shared" si="15"/>
        <v>90</v>
      </c>
      <c r="CB15" s="11">
        <f t="shared" si="16"/>
        <v>90</v>
      </c>
      <c r="CC15" s="11">
        <f t="shared" si="17"/>
        <v>12</v>
      </c>
      <c r="CD15" s="317">
        <f t="shared" si="18"/>
        <v>12</v>
      </c>
      <c r="CE15" s="18">
        <f t="shared" si="19"/>
        <v>432.21600000000001</v>
      </c>
      <c r="CF15" s="10">
        <f t="shared" si="20"/>
        <v>2016</v>
      </c>
      <c r="CG15" s="258">
        <f t="shared" si="21"/>
        <v>16449.599999999999</v>
      </c>
      <c r="CH15" s="10">
        <f t="shared" si="22"/>
        <v>27108</v>
      </c>
      <c r="CI15" s="53">
        <f t="shared" si="46"/>
        <v>0.80357142857142849</v>
      </c>
      <c r="CJ15" s="53">
        <f t="shared" si="23"/>
        <v>0.5357142857142857</v>
      </c>
      <c r="CK15" s="283">
        <f t="shared" si="24"/>
        <v>4.3887532800000004</v>
      </c>
      <c r="CL15" s="207">
        <f t="shared" si="47"/>
        <v>0.19642857142857151</v>
      </c>
      <c r="CM15" s="119">
        <f t="shared" si="48"/>
        <v>0.86207653714285759</v>
      </c>
      <c r="CN15" s="283">
        <f t="shared" si="49"/>
        <v>7.2324144000000006</v>
      </c>
      <c r="CO15" s="207">
        <f t="shared" si="50"/>
        <v>0.42158482142857162</v>
      </c>
      <c r="CP15" s="119">
        <f t="shared" si="51"/>
        <v>3.0490761333214302</v>
      </c>
      <c r="CQ15" s="207">
        <f t="shared" si="25"/>
        <v>0.66715976331360971</v>
      </c>
      <c r="CR15" s="119">
        <f t="shared" si="26"/>
        <v>4.8251758792899428</v>
      </c>
      <c r="CS15" s="207">
        <f t="shared" si="27"/>
        <v>0.92506936322074407</v>
      </c>
      <c r="CT15" s="119">
        <f t="shared" si="28"/>
        <v>6.6904849835565399</v>
      </c>
      <c r="CU15" s="207">
        <f t="shared" si="29"/>
        <v>0.53685258964143445</v>
      </c>
      <c r="CV15" s="284">
        <f t="shared" si="30"/>
        <v>3.8827404000000016</v>
      </c>
      <c r="CW15" s="579" t="s">
        <v>525</v>
      </c>
      <c r="CX15" s="610">
        <f t="shared" si="52"/>
        <v>6.6904849835565399</v>
      </c>
    </row>
    <row r="16" spans="2:102" x14ac:dyDescent="0.25">
      <c r="B16" s="430">
        <v>20</v>
      </c>
      <c r="C16" s="58">
        <f t="shared" si="31"/>
        <v>695.94875999999999</v>
      </c>
      <c r="D16" s="58">
        <f t="shared" si="0"/>
        <v>1077.5601037500001</v>
      </c>
      <c r="E16" s="58" t="e">
        <f t="shared" ca="1" si="1"/>
        <v>#NAME?</v>
      </c>
      <c r="F16" s="65" t="e">
        <f t="shared" ca="1" si="32"/>
        <v>#NAME?</v>
      </c>
      <c r="G16" s="65">
        <f t="shared" si="33"/>
        <v>5.3709574537495453</v>
      </c>
      <c r="H16" s="58">
        <f t="shared" si="34"/>
        <v>3456</v>
      </c>
      <c r="I16" s="58">
        <f t="shared" si="35"/>
        <v>3394872</v>
      </c>
      <c r="J16" s="203">
        <f t="shared" si="36"/>
        <v>294</v>
      </c>
      <c r="L16" s="636" t="s">
        <v>256</v>
      </c>
      <c r="M16" s="513" t="s">
        <v>78</v>
      </c>
      <c r="N16" s="537">
        <f>VLOOKUP($B16,'Core Demand'!$B$8:$E$36,MATCH(N$8,'Core Demand'!$B$8:$E$8,0),FALSE)</f>
        <v>474.65999999999997</v>
      </c>
      <c r="O16" s="506" t="s">
        <v>91</v>
      </c>
      <c r="P16" s="506" t="s">
        <v>93</v>
      </c>
      <c r="Q16" s="506">
        <v>385</v>
      </c>
      <c r="R16" s="506">
        <v>430</v>
      </c>
      <c r="S16" s="506">
        <v>125</v>
      </c>
      <c r="T16" s="506">
        <v>125</v>
      </c>
      <c r="U16" s="507">
        <v>4.5</v>
      </c>
      <c r="V16" s="506" t="s">
        <v>95</v>
      </c>
      <c r="W16" s="506">
        <v>150</v>
      </c>
      <c r="X16" s="506">
        <v>150</v>
      </c>
      <c r="Y16" s="506">
        <v>12</v>
      </c>
      <c r="Z16" s="507">
        <v>12</v>
      </c>
      <c r="AA16" s="506" t="s">
        <v>95</v>
      </c>
      <c r="AB16" s="506" t="s">
        <v>94</v>
      </c>
      <c r="AC16" s="508">
        <v>294</v>
      </c>
      <c r="AD16" s="508">
        <v>433</v>
      </c>
      <c r="AE16" s="506">
        <v>90</v>
      </c>
      <c r="AF16" s="506">
        <v>90</v>
      </c>
      <c r="AG16" s="506">
        <v>12</v>
      </c>
      <c r="AH16" s="506">
        <v>12</v>
      </c>
      <c r="AI16" s="506">
        <v>180</v>
      </c>
      <c r="AJ16" s="509" t="s">
        <v>58</v>
      </c>
      <c r="AL16" s="309" t="str">
        <f t="shared" si="37"/>
        <v>RHS</v>
      </c>
      <c r="AM16" s="90">
        <f t="shared" si="38"/>
        <v>125</v>
      </c>
      <c r="AN16" s="90">
        <f t="shared" si="39"/>
        <v>125</v>
      </c>
      <c r="AO16" s="316">
        <f t="shared" si="40"/>
        <v>4.5</v>
      </c>
      <c r="AP16" s="21">
        <f t="shared" si="41"/>
        <v>5256390.75</v>
      </c>
      <c r="AQ16" s="306">
        <f t="shared" si="2"/>
        <v>1077.5601037500001</v>
      </c>
      <c r="AR16" s="281"/>
      <c r="AS16" s="309" t="str">
        <f t="shared" si="42"/>
        <v>Cruciform</v>
      </c>
      <c r="AT16" s="90">
        <f t="shared" si="3"/>
        <v>150</v>
      </c>
      <c r="AU16" s="90">
        <f t="shared" si="3"/>
        <v>150</v>
      </c>
      <c r="AV16" s="90">
        <f t="shared" si="3"/>
        <v>12</v>
      </c>
      <c r="AW16" s="316">
        <f t="shared" si="3"/>
        <v>12</v>
      </c>
      <c r="AX16" s="58">
        <f t="shared" si="4"/>
        <v>3456</v>
      </c>
      <c r="AY16" s="21">
        <f t="shared" si="43"/>
        <v>3394872</v>
      </c>
      <c r="AZ16" s="306">
        <f t="shared" si="5"/>
        <v>695.94875999999999</v>
      </c>
      <c r="BA16" s="281"/>
      <c r="BB16" s="313" t="str">
        <f t="shared" si="6"/>
        <v>RHS</v>
      </c>
      <c r="BC16" s="315">
        <f t="shared" si="7"/>
        <v>430</v>
      </c>
      <c r="BD16" s="314">
        <f t="shared" si="8"/>
        <v>125</v>
      </c>
      <c r="BE16" s="314">
        <f t="shared" si="9"/>
        <v>4.5</v>
      </c>
      <c r="BF16" s="314">
        <f t="shared" si="10"/>
        <v>90</v>
      </c>
      <c r="BG16" s="314">
        <f t="shared" si="11"/>
        <v>90</v>
      </c>
      <c r="BH16" s="318">
        <f t="shared" si="12"/>
        <v>180</v>
      </c>
      <c r="BI16" s="314">
        <v>0</v>
      </c>
      <c r="BJ16" s="314"/>
      <c r="BK16" s="318"/>
      <c r="BL16" s="86">
        <f t="array" ref="BL16:BO16">IF(BB16="RHS",val_Kr_RHS(BD16/10^3,BE16/10^3,BG16/10^3,BH16/10^3,BC16*10^3,BJ$10/10^3,BK$10/10^3,BI$10*10^3,$BM$5*10^3),IF(BB16="CHS",val_Kr_CHS(BD16/10^3,BE16/10^3,BG16/10^3,BH16/10^3,BC16*10^3,BJ$10/10^3,BK$10/10^3,BI$10*10^3,$BM$5*10^3),#N/A))</f>
        <v>30283.807221851213</v>
      </c>
      <c r="BM16" s="333">
        <v>1.2720216683449195E-4</v>
      </c>
      <c r="BN16" s="86">
        <v>625.45061142096677</v>
      </c>
      <c r="BO16" s="333">
        <v>8.4462605641489469E-3</v>
      </c>
      <c r="BP16" s="334" t="e">
        <f t="array" aca="1" ref="BP16:BT16" ca="1">IF(BB16="RHS",Mp_RHS(BD16,BE16,BG16,BH16,BC16,BJ16,BK16,BI16),IF(BB16="CHS",Mp_CHS(BD16,BE16,BG16,BH16,BC16,BJ16,BK16,BI16),#N/A))/10^6</f>
        <v>#NAME?</v>
      </c>
      <c r="BQ16" s="334" t="e">
        <f ca="1"/>
        <v>#NAME?</v>
      </c>
      <c r="BR16" s="315" t="e">
        <f ca="1"/>
        <v>#NAME?</v>
      </c>
      <c r="BS16" s="334" t="e">
        <f ca="1"/>
        <v>#NAME?</v>
      </c>
      <c r="BT16" s="334" t="e">
        <f ca="1"/>
        <v>#NAME?</v>
      </c>
      <c r="BU16" s="292" t="e">
        <f t="shared" ca="1" si="44"/>
        <v>#NAME?</v>
      </c>
      <c r="BV16" s="431" t="s">
        <v>532</v>
      </c>
      <c r="BW16" s="291" t="e">
        <f t="shared" ca="1" si="45"/>
        <v>#NAME?</v>
      </c>
      <c r="BX16" s="281"/>
      <c r="BY16" s="315">
        <f t="shared" si="13"/>
        <v>294</v>
      </c>
      <c r="BZ16" s="576">
        <f t="shared" si="14"/>
        <v>1.4727891156462585</v>
      </c>
      <c r="CA16" s="314">
        <f t="shared" si="15"/>
        <v>90</v>
      </c>
      <c r="CB16" s="314">
        <f t="shared" si="16"/>
        <v>90</v>
      </c>
      <c r="CC16" s="314">
        <f t="shared" si="17"/>
        <v>12</v>
      </c>
      <c r="CD16" s="318">
        <f t="shared" si="18"/>
        <v>12</v>
      </c>
      <c r="CE16" s="315">
        <f t="shared" si="19"/>
        <v>474.65999999999997</v>
      </c>
      <c r="CF16" s="285">
        <f t="shared" si="20"/>
        <v>2016</v>
      </c>
      <c r="CG16" s="293">
        <f t="shared" si="21"/>
        <v>16449.599999999999</v>
      </c>
      <c r="CH16" s="285">
        <f t="shared" si="22"/>
        <v>27108</v>
      </c>
      <c r="CI16" s="294">
        <f t="shared" si="46"/>
        <v>0.80083819241982512</v>
      </c>
      <c r="CJ16" s="294">
        <f t="shared" si="23"/>
        <v>0.5357142857142857</v>
      </c>
      <c r="CK16" s="295">
        <f t="shared" si="24"/>
        <v>4.8361823999999993</v>
      </c>
      <c r="CL16" s="296">
        <f t="shared" si="47"/>
        <v>0.19916180758017488</v>
      </c>
      <c r="CM16" s="297">
        <f t="shared" si="48"/>
        <v>0.96318282857142823</v>
      </c>
      <c r="CN16" s="295">
        <f t="shared" si="49"/>
        <v>7.9697519999999997</v>
      </c>
      <c r="CO16" s="296">
        <f t="shared" si="50"/>
        <v>0.42680324557847904</v>
      </c>
      <c r="CP16" s="297">
        <f t="shared" si="51"/>
        <v>3.4015160200555745</v>
      </c>
      <c r="CQ16" s="296">
        <f t="shared" si="25"/>
        <v>0.67391776478735421</v>
      </c>
      <c r="CR16" s="297">
        <f t="shared" si="26"/>
        <v>5.3709574537495453</v>
      </c>
      <c r="CS16" s="296">
        <f t="shared" si="27"/>
        <v>0.91995223036760987</v>
      </c>
      <c r="CT16" s="297">
        <f t="shared" si="28"/>
        <v>7.3317911278767189</v>
      </c>
      <c r="CU16" s="296">
        <f t="shared" si="29"/>
        <v>0.54262240915554771</v>
      </c>
      <c r="CV16" s="298">
        <f t="shared" si="30"/>
        <v>4.3245660306122442</v>
      </c>
      <c r="CW16" s="352" t="s">
        <v>527</v>
      </c>
      <c r="CX16" s="297">
        <f t="shared" si="52"/>
        <v>5.3709574537495453</v>
      </c>
    </row>
    <row r="17" spans="2:102" x14ac:dyDescent="0.25">
      <c r="B17" s="430">
        <v>21</v>
      </c>
      <c r="C17" s="58">
        <f t="shared" si="31"/>
        <v>695.94875999999999</v>
      </c>
      <c r="D17" s="58">
        <f t="shared" si="0"/>
        <v>1504.5766056739676</v>
      </c>
      <c r="E17" s="58">
        <f t="shared" si="1"/>
        <v>1376.6893817050113</v>
      </c>
      <c r="F17" s="65" t="e">
        <f t="shared" ca="1" si="32"/>
        <v>#NAME?</v>
      </c>
      <c r="G17" s="65">
        <f t="shared" si="33"/>
        <v>5.3709574537495453</v>
      </c>
      <c r="H17" s="58">
        <f t="shared" si="34"/>
        <v>3456</v>
      </c>
      <c r="I17" s="58">
        <f t="shared" si="35"/>
        <v>3394872</v>
      </c>
      <c r="J17" s="203">
        <f t="shared" si="36"/>
        <v>294</v>
      </c>
      <c r="L17" s="637"/>
      <c r="M17" s="515" t="s">
        <v>79</v>
      </c>
      <c r="N17" s="538">
        <f>VLOOKUP($B17,'Core Demand'!$B$8:$E$36,MATCH(N$8,'Core Demand'!$B$8:$E$8,0),FALSE)</f>
        <v>474.65999999999997</v>
      </c>
      <c r="O17" s="490" t="s">
        <v>92</v>
      </c>
      <c r="P17" s="490" t="s">
        <v>93</v>
      </c>
      <c r="Q17" s="490">
        <v>448</v>
      </c>
      <c r="R17" s="490">
        <v>542</v>
      </c>
      <c r="S17" s="490">
        <v>165.2</v>
      </c>
      <c r="T17" s="490">
        <v>165.2</v>
      </c>
      <c r="U17" s="500">
        <v>4.5</v>
      </c>
      <c r="V17" s="490" t="s">
        <v>95</v>
      </c>
      <c r="W17" s="490">
        <v>150</v>
      </c>
      <c r="X17" s="490">
        <v>150</v>
      </c>
      <c r="Y17" s="490">
        <v>12</v>
      </c>
      <c r="Z17" s="500">
        <v>12</v>
      </c>
      <c r="AA17" s="490" t="s">
        <v>95</v>
      </c>
      <c r="AB17" s="490" t="s">
        <v>94</v>
      </c>
      <c r="AC17" s="501">
        <v>294</v>
      </c>
      <c r="AD17" s="501">
        <v>433</v>
      </c>
      <c r="AE17" s="490">
        <v>90</v>
      </c>
      <c r="AF17" s="490">
        <v>90</v>
      </c>
      <c r="AG17" s="490">
        <v>12</v>
      </c>
      <c r="AH17" s="490">
        <v>12</v>
      </c>
      <c r="AI17" s="490">
        <v>180</v>
      </c>
      <c r="AJ17" s="502" t="s">
        <v>58</v>
      </c>
      <c r="AL17" s="309" t="str">
        <f t="shared" si="37"/>
        <v>CHS</v>
      </c>
      <c r="AM17" s="90">
        <f t="shared" si="38"/>
        <v>165.2</v>
      </c>
      <c r="AN17" s="90">
        <f t="shared" si="39"/>
        <v>165.2</v>
      </c>
      <c r="AO17" s="316">
        <f t="shared" si="40"/>
        <v>4.5</v>
      </c>
      <c r="AP17" s="21">
        <f t="shared" si="41"/>
        <v>7339398.0764583787</v>
      </c>
      <c r="AQ17" s="306">
        <f t="shared" si="2"/>
        <v>1504.5766056739676</v>
      </c>
      <c r="AR17" s="281"/>
      <c r="AS17" s="309" t="str">
        <f t="shared" si="42"/>
        <v>Cruciform</v>
      </c>
      <c r="AT17" s="90">
        <f t="shared" si="3"/>
        <v>150</v>
      </c>
      <c r="AU17" s="90">
        <f t="shared" si="3"/>
        <v>150</v>
      </c>
      <c r="AV17" s="90">
        <f t="shared" si="3"/>
        <v>12</v>
      </c>
      <c r="AW17" s="316">
        <f t="shared" si="3"/>
        <v>12</v>
      </c>
      <c r="AX17" s="58">
        <f t="shared" si="4"/>
        <v>3456</v>
      </c>
      <c r="AY17" s="21">
        <f t="shared" si="43"/>
        <v>3394872</v>
      </c>
      <c r="AZ17" s="306">
        <f t="shared" si="5"/>
        <v>695.94875999999999</v>
      </c>
      <c r="BA17" s="281"/>
      <c r="BB17" s="309" t="str">
        <f t="shared" si="6"/>
        <v>CHS</v>
      </c>
      <c r="BC17" s="86">
        <f t="shared" si="7"/>
        <v>542</v>
      </c>
      <c r="BD17" s="90">
        <f t="shared" si="8"/>
        <v>165.2</v>
      </c>
      <c r="BE17" s="90">
        <f t="shared" si="9"/>
        <v>4.5</v>
      </c>
      <c r="BF17" s="90">
        <f t="shared" si="10"/>
        <v>90</v>
      </c>
      <c r="BG17" s="90">
        <f t="shared" si="11"/>
        <v>90</v>
      </c>
      <c r="BH17" s="316">
        <f t="shared" si="12"/>
        <v>180</v>
      </c>
      <c r="BI17" s="90">
        <v>0</v>
      </c>
      <c r="BJ17" s="90"/>
      <c r="BK17" s="316"/>
      <c r="BL17" s="86">
        <f t="array" ref="BL17:BO17">IF(BB17="RHS",val_Kr_RHS(BD17/10^3,BE17/10^3,BG17/10^3,BH17/10^3,BC17*10^3,BJ$10/10^3,BK$10/10^3,BI$10*10^3,$BM$5*10^3),IF(BB17="CHS",val_Kr_CHS(BD17/10^3,BE17/10^3,BG17/10^3,BH17/10^3,BC17*10^3,BJ$10/10^3,BK$10/10^3,BI$10*10^3,$BM$5*10^3),#N/A))</f>
        <v>1376.6893817050113</v>
      </c>
      <c r="BM17" s="333">
        <v>3.3701002284277574E-2</v>
      </c>
      <c r="BN17" s="86">
        <v>0</v>
      </c>
      <c r="BO17" s="333">
        <v>0</v>
      </c>
      <c r="BP17" s="89" t="e">
        <f t="array" aca="1" ref="BP17:BT17" ca="1">IF(BB17="RHS",Mp_RHS(BD17,BE17,BG17,BH17,BC17,BJ17,BK17,BI17),IF(BB17="CHS",Mp_CHS(BD17,BE17,BG17,BH17,BC17,BJ17,BK17,BI17),#N/A))/10^6</f>
        <v>#NAME?</v>
      </c>
      <c r="BQ17" s="89" t="e">
        <f ca="1"/>
        <v>#NAME?</v>
      </c>
      <c r="BR17" s="86" t="e">
        <f ca="1"/>
        <v>#NAME?</v>
      </c>
      <c r="BS17" s="89" t="e">
        <f ca="1"/>
        <v>#NAME?</v>
      </c>
      <c r="BT17" s="89" t="e">
        <f ca="1"/>
        <v>#NAME?</v>
      </c>
      <c r="BU17" s="65" t="e">
        <f t="shared" ca="1" si="44"/>
        <v>#NAME?</v>
      </c>
      <c r="BV17" s="108" t="s">
        <v>531</v>
      </c>
      <c r="BW17" s="58">
        <f t="shared" si="45"/>
        <v>1376.6893817050113</v>
      </c>
      <c r="BX17" s="281"/>
      <c r="BY17" s="86">
        <f t="shared" si="13"/>
        <v>294</v>
      </c>
      <c r="BZ17" s="93">
        <f t="shared" si="14"/>
        <v>1.4727891156462585</v>
      </c>
      <c r="CA17" s="90">
        <f t="shared" si="15"/>
        <v>90</v>
      </c>
      <c r="CB17" s="90">
        <f t="shared" si="16"/>
        <v>90</v>
      </c>
      <c r="CC17" s="90">
        <f t="shared" si="17"/>
        <v>12</v>
      </c>
      <c r="CD17" s="316">
        <f t="shared" si="18"/>
        <v>12</v>
      </c>
      <c r="CE17" s="86">
        <f t="shared" si="19"/>
        <v>474.65999999999997</v>
      </c>
      <c r="CF17" s="21">
        <f t="shared" si="20"/>
        <v>2016</v>
      </c>
      <c r="CG17" s="257">
        <f t="shared" si="21"/>
        <v>16449.599999999999</v>
      </c>
      <c r="CH17" s="21">
        <f t="shared" si="22"/>
        <v>27108</v>
      </c>
      <c r="CI17" s="81">
        <f t="shared" si="46"/>
        <v>0.80083819241982512</v>
      </c>
      <c r="CJ17" s="81">
        <f t="shared" si="23"/>
        <v>0.5357142857142857</v>
      </c>
      <c r="CK17" s="137">
        <f t="shared" si="24"/>
        <v>4.8361823999999993</v>
      </c>
      <c r="CL17" s="206">
        <f t="shared" si="47"/>
        <v>0.19916180758017488</v>
      </c>
      <c r="CM17" s="140">
        <f t="shared" si="48"/>
        <v>0.96318282857142823</v>
      </c>
      <c r="CN17" s="137">
        <f t="shared" si="49"/>
        <v>7.9697519999999997</v>
      </c>
      <c r="CO17" s="206">
        <f t="shared" si="50"/>
        <v>0.42680324557847904</v>
      </c>
      <c r="CP17" s="140">
        <f t="shared" si="51"/>
        <v>3.4015160200555745</v>
      </c>
      <c r="CQ17" s="206">
        <f t="shared" si="25"/>
        <v>0.67391776478735421</v>
      </c>
      <c r="CR17" s="140">
        <f t="shared" si="26"/>
        <v>5.3709574537495453</v>
      </c>
      <c r="CS17" s="206">
        <f t="shared" si="27"/>
        <v>0.91995223036760987</v>
      </c>
      <c r="CT17" s="140">
        <f t="shared" si="28"/>
        <v>7.3317911278767189</v>
      </c>
      <c r="CU17" s="206">
        <f t="shared" si="29"/>
        <v>0.54262240915554771</v>
      </c>
      <c r="CV17" s="278">
        <f t="shared" si="30"/>
        <v>4.3245660306122442</v>
      </c>
      <c r="CW17" s="352" t="s">
        <v>527</v>
      </c>
      <c r="CX17" s="140">
        <f t="shared" si="52"/>
        <v>5.3709574537495453</v>
      </c>
    </row>
    <row r="18" spans="2:102" x14ac:dyDescent="0.25">
      <c r="B18" s="430">
        <v>22</v>
      </c>
      <c r="C18" s="58">
        <f t="shared" si="31"/>
        <v>695.94875999999999</v>
      </c>
      <c r="D18" s="58">
        <f t="shared" si="0"/>
        <v>1077.5601037500001</v>
      </c>
      <c r="E18" s="58" t="e">
        <f t="shared" ca="1" si="1"/>
        <v>#NAME?</v>
      </c>
      <c r="F18" s="65" t="e">
        <f t="shared" ca="1" si="32"/>
        <v>#NAME?</v>
      </c>
      <c r="G18" s="65">
        <f t="shared" si="33"/>
        <v>3.3818517100684056</v>
      </c>
      <c r="H18" s="58">
        <f t="shared" si="34"/>
        <v>3456</v>
      </c>
      <c r="I18" s="58">
        <f t="shared" si="35"/>
        <v>3394872</v>
      </c>
      <c r="J18" s="203">
        <f t="shared" si="36"/>
        <v>294</v>
      </c>
      <c r="L18" s="637"/>
      <c r="M18" s="515" t="s">
        <v>76</v>
      </c>
      <c r="N18" s="538">
        <f>VLOOKUP($B18,'Core Demand'!$B$8:$E$36,MATCH(N$8,'Core Demand'!$B$8:$E$8,0),FALSE)</f>
        <v>474.65999999999997</v>
      </c>
      <c r="O18" s="490" t="s">
        <v>91</v>
      </c>
      <c r="P18" s="490" t="s">
        <v>93</v>
      </c>
      <c r="Q18" s="490">
        <v>359</v>
      </c>
      <c r="R18" s="490">
        <v>446</v>
      </c>
      <c r="S18" s="490">
        <v>125</v>
      </c>
      <c r="T18" s="490">
        <v>125</v>
      </c>
      <c r="U18" s="500">
        <v>4.5</v>
      </c>
      <c r="V18" s="490" t="s">
        <v>95</v>
      </c>
      <c r="W18" s="490">
        <v>150</v>
      </c>
      <c r="X18" s="490">
        <v>150</v>
      </c>
      <c r="Y18" s="490">
        <v>12</v>
      </c>
      <c r="Z18" s="500">
        <v>12</v>
      </c>
      <c r="AA18" s="490" t="s">
        <v>95</v>
      </c>
      <c r="AB18" s="490" t="s">
        <v>94</v>
      </c>
      <c r="AC18" s="501">
        <v>294</v>
      </c>
      <c r="AD18" s="501">
        <v>433</v>
      </c>
      <c r="AE18" s="490">
        <v>60</v>
      </c>
      <c r="AF18" s="490">
        <v>90</v>
      </c>
      <c r="AG18" s="490">
        <v>12</v>
      </c>
      <c r="AH18" s="490">
        <v>12</v>
      </c>
      <c r="AI18" s="490">
        <v>180</v>
      </c>
      <c r="AJ18" s="502" t="s">
        <v>58</v>
      </c>
      <c r="AL18" s="309" t="str">
        <f t="shared" si="37"/>
        <v>RHS</v>
      </c>
      <c r="AM18" s="90">
        <f t="shared" si="38"/>
        <v>125</v>
      </c>
      <c r="AN18" s="90">
        <f t="shared" si="39"/>
        <v>125</v>
      </c>
      <c r="AO18" s="316">
        <f t="shared" si="40"/>
        <v>4.5</v>
      </c>
      <c r="AP18" s="21">
        <f t="shared" si="41"/>
        <v>5256390.75</v>
      </c>
      <c r="AQ18" s="306">
        <f t="shared" si="2"/>
        <v>1077.5601037500001</v>
      </c>
      <c r="AR18" s="281"/>
      <c r="AS18" s="309" t="str">
        <f t="shared" si="42"/>
        <v>Cruciform</v>
      </c>
      <c r="AT18" s="90">
        <f t="shared" si="3"/>
        <v>150</v>
      </c>
      <c r="AU18" s="90">
        <f t="shared" si="3"/>
        <v>150</v>
      </c>
      <c r="AV18" s="90">
        <f t="shared" si="3"/>
        <v>12</v>
      </c>
      <c r="AW18" s="316">
        <f t="shared" si="3"/>
        <v>12</v>
      </c>
      <c r="AX18" s="58">
        <f t="shared" si="4"/>
        <v>3456</v>
      </c>
      <c r="AY18" s="21">
        <f t="shared" si="43"/>
        <v>3394872</v>
      </c>
      <c r="AZ18" s="306">
        <f t="shared" si="5"/>
        <v>695.94875999999999</v>
      </c>
      <c r="BA18" s="281"/>
      <c r="BB18" s="309" t="str">
        <f t="shared" si="6"/>
        <v>RHS</v>
      </c>
      <c r="BC18" s="86">
        <f t="shared" si="7"/>
        <v>446</v>
      </c>
      <c r="BD18" s="90">
        <f t="shared" si="8"/>
        <v>125</v>
      </c>
      <c r="BE18" s="90">
        <f t="shared" si="9"/>
        <v>4.5</v>
      </c>
      <c r="BF18" s="90">
        <f t="shared" si="10"/>
        <v>60</v>
      </c>
      <c r="BG18" s="90">
        <f t="shared" si="11"/>
        <v>90</v>
      </c>
      <c r="BH18" s="316">
        <f t="shared" si="12"/>
        <v>180</v>
      </c>
      <c r="BI18" s="90">
        <v>0</v>
      </c>
      <c r="BJ18" s="90"/>
      <c r="BK18" s="316"/>
      <c r="BL18" s="86">
        <f t="array" ref="BL18:BO18">IF(BB18="RHS",val_Kr_RHS(BD18/10^3,BE18/10^3,BG18/10^3,BH18/10^3,BC18*10^3,BJ$10/10^3,BK$10/10^3,BI$10*10^3,$BM$5*10^3),IF(BB18="CHS",val_Kr_CHS(BD18/10^3,BE18/10^3,BG18/10^3,BH18/10^3,BC18*10^3,BJ$10/10^3,BK$10/10^3,BI$10*10^3,$BM$5*10^3),#N/A))</f>
        <v>30283.807221851213</v>
      </c>
      <c r="BM18" s="333">
        <v>1.3193527071670561E-4</v>
      </c>
      <c r="BN18" s="86">
        <v>652.67166428102678</v>
      </c>
      <c r="BO18" s="333">
        <v>8.6031549933089438E-3</v>
      </c>
      <c r="BP18" s="89" t="e">
        <f t="array" aca="1" ref="BP18:BT18" ca="1">IF(BB18="RHS",Mp_RHS(BD18,BE18,BG18,BH18,BC18,BJ18,BK18,BI18),IF(BB18="CHS",Mp_CHS(BD18,BE18,BG18,BH18,BC18,BJ18,BK18,BI18),#N/A))/10^6</f>
        <v>#NAME?</v>
      </c>
      <c r="BQ18" s="89" t="e">
        <f ca="1"/>
        <v>#NAME?</v>
      </c>
      <c r="BR18" s="86" t="e">
        <f ca="1"/>
        <v>#NAME?</v>
      </c>
      <c r="BS18" s="89" t="e">
        <f ca="1"/>
        <v>#NAME?</v>
      </c>
      <c r="BT18" s="89" t="e">
        <f ca="1"/>
        <v>#NAME?</v>
      </c>
      <c r="BU18" s="65" t="e">
        <f t="shared" ca="1" si="44"/>
        <v>#NAME?</v>
      </c>
      <c r="BV18" s="108" t="s">
        <v>532</v>
      </c>
      <c r="BW18" s="58" t="e">
        <f t="shared" ca="1" si="45"/>
        <v>#NAME?</v>
      </c>
      <c r="BX18" s="281"/>
      <c r="BY18" s="86">
        <f t="shared" si="13"/>
        <v>294</v>
      </c>
      <c r="BZ18" s="93">
        <f t="shared" si="14"/>
        <v>1.4727891156462585</v>
      </c>
      <c r="CA18" s="90">
        <f t="shared" si="15"/>
        <v>60</v>
      </c>
      <c r="CB18" s="90">
        <f t="shared" si="16"/>
        <v>90</v>
      </c>
      <c r="CC18" s="90">
        <f t="shared" si="17"/>
        <v>12</v>
      </c>
      <c r="CD18" s="316">
        <f t="shared" si="18"/>
        <v>12</v>
      </c>
      <c r="CE18" s="86">
        <f t="shared" si="19"/>
        <v>474.65999999999997</v>
      </c>
      <c r="CF18" s="21">
        <f t="shared" si="20"/>
        <v>1656</v>
      </c>
      <c r="CG18" s="257">
        <f t="shared" si="21"/>
        <v>7574.4</v>
      </c>
      <c r="CH18" s="21">
        <f t="shared" si="22"/>
        <v>13608</v>
      </c>
      <c r="CI18" s="81">
        <f t="shared" si="46"/>
        <v>0.97493345164152612</v>
      </c>
      <c r="CJ18" s="81">
        <f t="shared" si="23"/>
        <v>0.65217391304347827</v>
      </c>
      <c r="CK18" s="137">
        <f t="shared" si="24"/>
        <v>2.2268736000000002</v>
      </c>
      <c r="CL18" s="206">
        <f t="shared" si="47"/>
        <v>2.5066548358473884E-2</v>
      </c>
      <c r="CM18" s="140">
        <f t="shared" si="48"/>
        <v>5.5820034782608836E-2</v>
      </c>
      <c r="CN18" s="137">
        <f t="shared" si="49"/>
        <v>4.0007520000000003</v>
      </c>
      <c r="CO18" s="206">
        <f t="shared" si="50"/>
        <v>5.8910670195704666E-2</v>
      </c>
      <c r="CP18" s="140">
        <f t="shared" si="51"/>
        <v>0.23568698160680585</v>
      </c>
      <c r="CQ18" s="206">
        <f t="shared" si="25"/>
        <v>0.13893909764160794</v>
      </c>
      <c r="CR18" s="140">
        <f t="shared" si="26"/>
        <v>0.55586087276785834</v>
      </c>
      <c r="CS18" s="206">
        <f t="shared" si="27"/>
        <v>0.84530401036315306</v>
      </c>
      <c r="CT18" s="140">
        <f t="shared" si="28"/>
        <v>3.3818517100684056</v>
      </c>
      <c r="CU18" s="206">
        <f t="shared" si="29"/>
        <v>8.8874799190813564E-2</v>
      </c>
      <c r="CV18" s="278">
        <f t="shared" si="30"/>
        <v>0.35556603061224579</v>
      </c>
      <c r="CW18" s="352" t="s">
        <v>525</v>
      </c>
      <c r="CX18" s="140">
        <f t="shared" si="52"/>
        <v>3.3818517100684056</v>
      </c>
    </row>
    <row r="19" spans="2:102" x14ac:dyDescent="0.25">
      <c r="B19" s="430">
        <v>23</v>
      </c>
      <c r="C19" s="58">
        <f t="shared" si="31"/>
        <v>695.94875999999999</v>
      </c>
      <c r="D19" s="58">
        <f t="shared" si="0"/>
        <v>1077.5601037500001</v>
      </c>
      <c r="E19" s="58" t="e">
        <f t="shared" ca="1" si="1"/>
        <v>#NAME?</v>
      </c>
      <c r="F19" s="65" t="e">
        <f t="shared" ca="1" si="32"/>
        <v>#NAME?</v>
      </c>
      <c r="G19" s="65">
        <f t="shared" si="33"/>
        <v>21.206896238799661</v>
      </c>
      <c r="H19" s="58">
        <f t="shared" si="34"/>
        <v>3456</v>
      </c>
      <c r="I19" s="58">
        <f t="shared" si="35"/>
        <v>3394872</v>
      </c>
      <c r="J19" s="203">
        <f t="shared" si="36"/>
        <v>294</v>
      </c>
      <c r="L19" s="637"/>
      <c r="M19" s="515" t="s">
        <v>80</v>
      </c>
      <c r="N19" s="538">
        <f>VLOOKUP($B19,'Core Demand'!$B$8:$E$36,MATCH(N$8,'Core Demand'!$B$8:$E$8,0),FALSE)</f>
        <v>474.65999999999997</v>
      </c>
      <c r="O19" s="490" t="s">
        <v>91</v>
      </c>
      <c r="P19" s="490" t="s">
        <v>93</v>
      </c>
      <c r="Q19" s="490">
        <v>359</v>
      </c>
      <c r="R19" s="490">
        <v>446</v>
      </c>
      <c r="S19" s="490">
        <v>125</v>
      </c>
      <c r="T19" s="490">
        <v>125</v>
      </c>
      <c r="U19" s="500">
        <v>4.5</v>
      </c>
      <c r="V19" s="490" t="s">
        <v>95</v>
      </c>
      <c r="W19" s="490">
        <v>150</v>
      </c>
      <c r="X19" s="490">
        <v>150</v>
      </c>
      <c r="Y19" s="490">
        <v>12</v>
      </c>
      <c r="Z19" s="500">
        <v>12</v>
      </c>
      <c r="AA19" s="490" t="s">
        <v>180</v>
      </c>
      <c r="AB19" s="490" t="s">
        <v>94</v>
      </c>
      <c r="AC19" s="501">
        <v>294</v>
      </c>
      <c r="AD19" s="501">
        <v>433</v>
      </c>
      <c r="AE19" s="490">
        <v>90</v>
      </c>
      <c r="AF19" s="490">
        <v>90</v>
      </c>
      <c r="AG19" s="490">
        <v>36</v>
      </c>
      <c r="AH19" s="490">
        <v>12</v>
      </c>
      <c r="AI19" s="490">
        <v>180</v>
      </c>
      <c r="AJ19" s="502" t="s">
        <v>58</v>
      </c>
      <c r="AL19" s="309" t="str">
        <f t="shared" si="37"/>
        <v>RHS</v>
      </c>
      <c r="AM19" s="90">
        <f t="shared" si="38"/>
        <v>125</v>
      </c>
      <c r="AN19" s="90">
        <f t="shared" si="39"/>
        <v>125</v>
      </c>
      <c r="AO19" s="316">
        <f t="shared" si="40"/>
        <v>4.5</v>
      </c>
      <c r="AP19" s="21">
        <f t="shared" si="41"/>
        <v>5256390.75</v>
      </c>
      <c r="AQ19" s="306">
        <f t="shared" si="2"/>
        <v>1077.5601037500001</v>
      </c>
      <c r="AR19" s="281"/>
      <c r="AS19" s="309" t="str">
        <f t="shared" si="42"/>
        <v>Cruciform</v>
      </c>
      <c r="AT19" s="90">
        <f t="shared" si="3"/>
        <v>150</v>
      </c>
      <c r="AU19" s="90">
        <f t="shared" si="3"/>
        <v>150</v>
      </c>
      <c r="AV19" s="90">
        <f t="shared" si="3"/>
        <v>12</v>
      </c>
      <c r="AW19" s="316">
        <f t="shared" si="3"/>
        <v>12</v>
      </c>
      <c r="AX19" s="58">
        <f t="shared" si="4"/>
        <v>3456</v>
      </c>
      <c r="AY19" s="21">
        <f t="shared" si="43"/>
        <v>3394872</v>
      </c>
      <c r="AZ19" s="306">
        <f t="shared" si="5"/>
        <v>695.94875999999999</v>
      </c>
      <c r="BA19" s="281"/>
      <c r="BB19" s="309" t="str">
        <f t="shared" si="6"/>
        <v>RHS</v>
      </c>
      <c r="BC19" s="86">
        <f t="shared" si="7"/>
        <v>446</v>
      </c>
      <c r="BD19" s="90">
        <f t="shared" si="8"/>
        <v>125</v>
      </c>
      <c r="BE19" s="90">
        <f t="shared" si="9"/>
        <v>4.5</v>
      </c>
      <c r="BF19" s="90">
        <f t="shared" si="10"/>
        <v>90</v>
      </c>
      <c r="BG19" s="90">
        <f t="shared" si="11"/>
        <v>90</v>
      </c>
      <c r="BH19" s="316">
        <f t="shared" si="12"/>
        <v>180</v>
      </c>
      <c r="BI19" s="90">
        <v>0</v>
      </c>
      <c r="BJ19" s="90"/>
      <c r="BK19" s="316"/>
      <c r="BL19" s="86">
        <f t="array" ref="BL19:BO19">IF(BB19="RHS",val_Kr_RHS(BD19/10^3,BE19/10^3,BG19/10^3,BH19/10^3,BC19*10^3,BJ$10/10^3,BK$10/10^3,BI$10*10^3,$BM$5*10^3),IF(BB19="CHS",val_Kr_CHS(BD19/10^3,BE19/10^3,BG19/10^3,BH19/10^3,BC19*10^3,BJ$10/10^3,BK$10/10^3,BI$10*10^3,$BM$5*10^3),#N/A))</f>
        <v>30283.807221851213</v>
      </c>
      <c r="BM19" s="333">
        <v>1.3193527071670561E-4</v>
      </c>
      <c r="BN19" s="86">
        <v>652.67166428102678</v>
      </c>
      <c r="BO19" s="333">
        <v>8.6031549933089438E-3</v>
      </c>
      <c r="BP19" s="89" t="e">
        <f t="array" aca="1" ref="BP19:BT19" ca="1">IF(BB19="RHS",Mp_RHS(BD19,BE19,BG19,BH19,BC19,BJ19,BK19,BI19),IF(BB19="CHS",Mp_CHS(BD19,BE19,BG19,BH19,BC19,BJ19,BK19,BI19),#N/A))/10^6</f>
        <v>#NAME?</v>
      </c>
      <c r="BQ19" s="89" t="e">
        <f ca="1"/>
        <v>#NAME?</v>
      </c>
      <c r="BR19" s="86" t="e">
        <f ca="1"/>
        <v>#NAME?</v>
      </c>
      <c r="BS19" s="89" t="e">
        <f ca="1"/>
        <v>#NAME?</v>
      </c>
      <c r="BT19" s="89" t="e">
        <f ca="1"/>
        <v>#NAME?</v>
      </c>
      <c r="BU19" s="65" t="e">
        <f t="shared" ca="1" si="44"/>
        <v>#NAME?</v>
      </c>
      <c r="BV19" s="108" t="s">
        <v>532</v>
      </c>
      <c r="BW19" s="58" t="e">
        <f t="shared" ca="1" si="45"/>
        <v>#NAME?</v>
      </c>
      <c r="BX19" s="281"/>
      <c r="BY19" s="86">
        <f t="shared" si="13"/>
        <v>294</v>
      </c>
      <c r="BZ19" s="93">
        <f t="shared" si="14"/>
        <v>1.4727891156462585</v>
      </c>
      <c r="CA19" s="90">
        <f t="shared" si="15"/>
        <v>90</v>
      </c>
      <c r="CB19" s="90">
        <f t="shared" si="16"/>
        <v>90</v>
      </c>
      <c r="CC19" s="90">
        <f t="shared" si="17"/>
        <v>36</v>
      </c>
      <c r="CD19" s="316">
        <f t="shared" si="18"/>
        <v>12</v>
      </c>
      <c r="CE19" s="86">
        <f t="shared" si="19"/>
        <v>474.65999999999997</v>
      </c>
      <c r="CF19" s="21">
        <f t="shared" si="20"/>
        <v>3888</v>
      </c>
      <c r="CG19" s="257">
        <f t="shared" si="21"/>
        <v>48772.800000000003</v>
      </c>
      <c r="CH19" s="21">
        <f t="shared" si="22"/>
        <v>74844</v>
      </c>
      <c r="CI19" s="81">
        <f t="shared" si="46"/>
        <v>0.41524943310657597</v>
      </c>
      <c r="CJ19" s="81">
        <f t="shared" si="23"/>
        <v>0.27777777777777779</v>
      </c>
      <c r="CK19" s="137">
        <f t="shared" si="24"/>
        <v>14.339203200000002</v>
      </c>
      <c r="CL19" s="206">
        <f t="shared" si="47"/>
        <v>0.58475056689342408</v>
      </c>
      <c r="CM19" s="140">
        <f t="shared" si="48"/>
        <v>8.3848572000000026</v>
      </c>
      <c r="CN19" s="137">
        <f t="shared" si="49"/>
        <v>22.004135999999999</v>
      </c>
      <c r="CO19" s="206">
        <f t="shared" si="50"/>
        <v>0.98480581088255403</v>
      </c>
      <c r="CP19" s="140">
        <f t="shared" si="51"/>
        <v>21.669800996249997</v>
      </c>
      <c r="CQ19" s="206">
        <f t="shared" si="25"/>
        <v>0.96376864053192823</v>
      </c>
      <c r="CR19" s="140">
        <f t="shared" si="26"/>
        <v>21.206896238799661</v>
      </c>
      <c r="CS19" s="206">
        <f t="shared" si="27"/>
        <v>0.98676626990699567</v>
      </c>
      <c r="CT19" s="140">
        <f t="shared" si="28"/>
        <v>21.71293920324624</v>
      </c>
      <c r="CU19" s="206">
        <f t="shared" si="29"/>
        <v>0.88735472323040021</v>
      </c>
      <c r="CV19" s="278">
        <f t="shared" si="30"/>
        <v>19.525474010204086</v>
      </c>
      <c r="CW19" s="352" t="s">
        <v>527</v>
      </c>
      <c r="CX19" s="140">
        <f t="shared" si="52"/>
        <v>21.206896238799661</v>
      </c>
    </row>
    <row r="20" spans="2:102" x14ac:dyDescent="0.25">
      <c r="B20" s="430">
        <v>24</v>
      </c>
      <c r="C20" s="58">
        <f t="shared" si="31"/>
        <v>695.94875999999999</v>
      </c>
      <c r="D20" s="58">
        <f t="shared" si="0"/>
        <v>1504.5766056739676</v>
      </c>
      <c r="E20" s="58">
        <f t="shared" si="1"/>
        <v>12284.188313308241</v>
      </c>
      <c r="F20" s="65" t="e">
        <f t="shared" ca="1" si="32"/>
        <v>#NAME?</v>
      </c>
      <c r="G20" s="65">
        <f t="shared" si="33"/>
        <v>21.305592000000001</v>
      </c>
      <c r="H20" s="58">
        <f t="shared" si="34"/>
        <v>3456</v>
      </c>
      <c r="I20" s="58">
        <f t="shared" si="35"/>
        <v>3394872</v>
      </c>
      <c r="J20" s="203">
        <f t="shared" si="36"/>
        <v>294</v>
      </c>
      <c r="L20" s="637"/>
      <c r="M20" s="515" t="s">
        <v>81</v>
      </c>
      <c r="N20" s="538">
        <f>VLOOKUP($B20,'Core Demand'!$B$8:$E$36,MATCH(N$8,'Core Demand'!$B$8:$E$8,0),FALSE)</f>
        <v>474.65999999999997</v>
      </c>
      <c r="O20" s="490" t="s">
        <v>92</v>
      </c>
      <c r="P20" s="490" t="s">
        <v>93</v>
      </c>
      <c r="Q20" s="490">
        <v>379</v>
      </c>
      <c r="R20" s="490">
        <v>432</v>
      </c>
      <c r="S20" s="490">
        <v>165.2</v>
      </c>
      <c r="T20" s="490">
        <v>165.2</v>
      </c>
      <c r="U20" s="500">
        <v>4.5</v>
      </c>
      <c r="V20" s="490" t="s">
        <v>95</v>
      </c>
      <c r="W20" s="490">
        <v>150</v>
      </c>
      <c r="X20" s="490">
        <v>150</v>
      </c>
      <c r="Y20" s="490">
        <v>12</v>
      </c>
      <c r="Z20" s="500">
        <v>12</v>
      </c>
      <c r="AA20" s="490" t="s">
        <v>181</v>
      </c>
      <c r="AB20" s="490" t="s">
        <v>94</v>
      </c>
      <c r="AC20" s="501">
        <v>294</v>
      </c>
      <c r="AD20" s="501">
        <v>433</v>
      </c>
      <c r="AE20" s="490">
        <v>150</v>
      </c>
      <c r="AF20" s="490">
        <v>150</v>
      </c>
      <c r="AG20" s="490">
        <v>12</v>
      </c>
      <c r="AH20" s="490">
        <v>12</v>
      </c>
      <c r="AI20" s="490">
        <v>180</v>
      </c>
      <c r="AJ20" s="502" t="s">
        <v>58</v>
      </c>
      <c r="AL20" s="309" t="str">
        <f t="shared" si="37"/>
        <v>CHS</v>
      </c>
      <c r="AM20" s="90">
        <f t="shared" si="38"/>
        <v>165.2</v>
      </c>
      <c r="AN20" s="90">
        <f t="shared" si="39"/>
        <v>165.2</v>
      </c>
      <c r="AO20" s="316">
        <f t="shared" si="40"/>
        <v>4.5</v>
      </c>
      <c r="AP20" s="21">
        <f t="shared" si="41"/>
        <v>7339398.0764583787</v>
      </c>
      <c r="AQ20" s="306">
        <f t="shared" si="2"/>
        <v>1504.5766056739676</v>
      </c>
      <c r="AR20" s="281"/>
      <c r="AS20" s="309" t="str">
        <f t="shared" si="42"/>
        <v>Cruciform</v>
      </c>
      <c r="AT20" s="90">
        <f t="shared" si="3"/>
        <v>150</v>
      </c>
      <c r="AU20" s="90">
        <f t="shared" si="3"/>
        <v>150</v>
      </c>
      <c r="AV20" s="90">
        <f t="shared" si="3"/>
        <v>12</v>
      </c>
      <c r="AW20" s="316">
        <f t="shared" si="3"/>
        <v>12</v>
      </c>
      <c r="AX20" s="58">
        <f t="shared" si="4"/>
        <v>3456</v>
      </c>
      <c r="AY20" s="21">
        <f t="shared" si="43"/>
        <v>3394872</v>
      </c>
      <c r="AZ20" s="306">
        <f t="shared" si="5"/>
        <v>695.94875999999999</v>
      </c>
      <c r="BA20" s="281"/>
      <c r="BB20" s="309" t="str">
        <f t="shared" si="6"/>
        <v>CHS</v>
      </c>
      <c r="BC20" s="86">
        <f t="shared" si="7"/>
        <v>432</v>
      </c>
      <c r="BD20" s="90">
        <f t="shared" si="8"/>
        <v>165.2</v>
      </c>
      <c r="BE20" s="90">
        <f t="shared" si="9"/>
        <v>4.5</v>
      </c>
      <c r="BF20" s="90">
        <f t="shared" si="10"/>
        <v>150</v>
      </c>
      <c r="BG20" s="90">
        <f t="shared" si="11"/>
        <v>150</v>
      </c>
      <c r="BH20" s="316">
        <f t="shared" si="12"/>
        <v>180</v>
      </c>
      <c r="BI20" s="90">
        <v>0</v>
      </c>
      <c r="BJ20" s="90"/>
      <c r="BK20" s="316"/>
      <c r="BL20" s="86">
        <f t="array" ref="BL20:BO20">IF(BB20="RHS",val_Kr_RHS(BD20/10^3,BE20/10^3,BG20/10^3,BH20/10^3,BC20*10^3,BJ$10/10^3,BK$10/10^3,BI$10*10^3,$BM$5*10^3),IF(BB20="CHS",val_Kr_CHS(BD20/10^3,BE20/10^3,BG20/10^3,BH20/10^3,BC20*10^3,BJ$10/10^3,BK$10/10^3,BI$10*10^3,$BM$5*10^3),#N/A))</f>
        <v>12284.188313308241</v>
      </c>
      <c r="BM20" s="333">
        <v>3.2365314094790166E-3</v>
      </c>
      <c r="BN20" s="86">
        <v>0</v>
      </c>
      <c r="BO20" s="333">
        <v>0</v>
      </c>
      <c r="BP20" s="89" t="e">
        <f t="array" aca="1" ref="BP20:BT20" ca="1">IF(BB20="RHS",Mp_RHS(BD20,BE20,BG20,BH20,BC20,BJ20,BK20,BI20),IF(BB20="CHS",Mp_CHS(BD20,BE20,BG20,BH20,BC20,BJ20,BK20,BI20),#N/A))/10^6</f>
        <v>#NAME?</v>
      </c>
      <c r="BQ20" s="89" t="e">
        <f ca="1"/>
        <v>#NAME?</v>
      </c>
      <c r="BR20" s="86" t="e">
        <f ca="1"/>
        <v>#NAME?</v>
      </c>
      <c r="BS20" s="89" t="e">
        <f ca="1"/>
        <v>#NAME?</v>
      </c>
      <c r="BT20" s="89" t="e">
        <f ca="1"/>
        <v>#NAME?</v>
      </c>
      <c r="BU20" s="65" t="e">
        <f t="shared" ca="1" si="44"/>
        <v>#NAME?</v>
      </c>
      <c r="BV20" s="108" t="s">
        <v>531</v>
      </c>
      <c r="BW20" s="58">
        <f t="shared" si="45"/>
        <v>12284.188313308241</v>
      </c>
      <c r="BX20" s="281"/>
      <c r="BY20" s="86">
        <f t="shared" si="13"/>
        <v>294</v>
      </c>
      <c r="BZ20" s="93">
        <f t="shared" si="14"/>
        <v>1.4727891156462585</v>
      </c>
      <c r="CA20" s="90">
        <f t="shared" si="15"/>
        <v>150</v>
      </c>
      <c r="CB20" s="90">
        <f t="shared" si="16"/>
        <v>150</v>
      </c>
      <c r="CC20" s="90">
        <f t="shared" si="17"/>
        <v>12</v>
      </c>
      <c r="CD20" s="316">
        <f t="shared" si="18"/>
        <v>12</v>
      </c>
      <c r="CE20" s="86">
        <f t="shared" si="19"/>
        <v>474.65999999999997</v>
      </c>
      <c r="CF20" s="21">
        <f t="shared" si="20"/>
        <v>3456</v>
      </c>
      <c r="CG20" s="257">
        <f t="shared" si="21"/>
        <v>45264.959999999999</v>
      </c>
      <c r="CH20" s="21">
        <f t="shared" si="22"/>
        <v>72468</v>
      </c>
      <c r="CI20" s="81">
        <f t="shared" si="46"/>
        <v>0.46715561224489793</v>
      </c>
      <c r="CJ20" s="81">
        <f t="shared" si="23"/>
        <v>0.52083333333333337</v>
      </c>
      <c r="CK20" s="137">
        <f t="shared" si="24"/>
        <v>13.30789824</v>
      </c>
      <c r="CL20" s="206">
        <f t="shared" si="47"/>
        <v>0.53284438775510212</v>
      </c>
      <c r="CM20" s="140">
        <f t="shared" si="48"/>
        <v>7.091038890000001</v>
      </c>
      <c r="CN20" s="137">
        <f t="shared" si="49"/>
        <v>21.305592000000001</v>
      </c>
      <c r="CO20" s="206">
        <f t="shared" si="50"/>
        <v>1</v>
      </c>
      <c r="CP20" s="140">
        <f t="shared" si="51"/>
        <v>21.305592000000001</v>
      </c>
      <c r="CQ20" s="206">
        <f t="shared" si="25"/>
        <v>1</v>
      </c>
      <c r="CR20" s="140">
        <f t="shared" si="26"/>
        <v>21.305592000000001</v>
      </c>
      <c r="CS20" s="206">
        <f t="shared" si="27"/>
        <v>1</v>
      </c>
      <c r="CT20" s="140">
        <f t="shared" si="28"/>
        <v>21.305592000000001</v>
      </c>
      <c r="CU20" s="206">
        <f t="shared" si="29"/>
        <v>0.94005222302431113</v>
      </c>
      <c r="CV20" s="278">
        <f t="shared" si="30"/>
        <v>20.028369122448979</v>
      </c>
      <c r="CW20" s="352" t="s">
        <v>527</v>
      </c>
      <c r="CX20" s="140">
        <f t="shared" si="52"/>
        <v>21.305592000000001</v>
      </c>
    </row>
    <row r="21" spans="2:102" x14ac:dyDescent="0.25">
      <c r="B21" s="429">
        <v>25</v>
      </c>
      <c r="C21" s="19">
        <f t="shared" si="31"/>
        <v>695.94875999999999</v>
      </c>
      <c r="D21" s="19">
        <f t="shared" si="0"/>
        <v>1077.5601037500001</v>
      </c>
      <c r="E21" s="561">
        <v>0</v>
      </c>
      <c r="F21" s="556">
        <f>43*39*12*25.5/10^6</f>
        <v>0.51316200000000001</v>
      </c>
      <c r="G21" s="17">
        <f t="shared" si="33"/>
        <v>5.3709574537495453</v>
      </c>
      <c r="H21" s="19">
        <f t="shared" si="34"/>
        <v>3456</v>
      </c>
      <c r="I21" s="19">
        <f t="shared" si="35"/>
        <v>3394872</v>
      </c>
      <c r="J21" s="204">
        <f t="shared" si="36"/>
        <v>294</v>
      </c>
      <c r="L21" s="638"/>
      <c r="M21" s="516" t="s">
        <v>77</v>
      </c>
      <c r="N21" s="539">
        <f>VLOOKUP($B21,'Core Demand'!$B$8:$E$36,MATCH(N$8,'Core Demand'!$B$8:$E$8,0),FALSE)</f>
        <v>474.65999999999997</v>
      </c>
      <c r="O21" s="491" t="s">
        <v>91</v>
      </c>
      <c r="P21" s="491" t="s">
        <v>93</v>
      </c>
      <c r="Q21" s="491">
        <v>359</v>
      </c>
      <c r="R21" s="491">
        <v>446</v>
      </c>
      <c r="S21" s="491">
        <v>125</v>
      </c>
      <c r="T21" s="491">
        <v>125</v>
      </c>
      <c r="U21" s="503">
        <v>4.5</v>
      </c>
      <c r="V21" s="491" t="s">
        <v>95</v>
      </c>
      <c r="W21" s="491">
        <v>150</v>
      </c>
      <c r="X21" s="491">
        <v>150</v>
      </c>
      <c r="Y21" s="491">
        <v>12</v>
      </c>
      <c r="Z21" s="503">
        <v>12</v>
      </c>
      <c r="AA21" s="491" t="s">
        <v>95</v>
      </c>
      <c r="AB21" s="491" t="s">
        <v>94</v>
      </c>
      <c r="AC21" s="504">
        <v>294</v>
      </c>
      <c r="AD21" s="504">
        <v>433</v>
      </c>
      <c r="AE21" s="491">
        <v>90</v>
      </c>
      <c r="AF21" s="491">
        <v>90</v>
      </c>
      <c r="AG21" s="491">
        <v>12</v>
      </c>
      <c r="AH21" s="491">
        <v>12</v>
      </c>
      <c r="AI21" s="491">
        <v>0</v>
      </c>
      <c r="AJ21" s="505" t="s">
        <v>58</v>
      </c>
      <c r="AL21" s="312" t="str">
        <f t="shared" si="37"/>
        <v>RHS</v>
      </c>
      <c r="AM21" s="11">
        <f t="shared" si="38"/>
        <v>125</v>
      </c>
      <c r="AN21" s="11">
        <f t="shared" si="39"/>
        <v>125</v>
      </c>
      <c r="AO21" s="317">
        <f t="shared" si="40"/>
        <v>4.5</v>
      </c>
      <c r="AP21" s="10">
        <f t="shared" si="41"/>
        <v>5256390.75</v>
      </c>
      <c r="AQ21" s="307">
        <f t="shared" si="2"/>
        <v>1077.5601037500001</v>
      </c>
      <c r="AR21" s="281"/>
      <c r="AS21" s="312" t="str">
        <f t="shared" si="42"/>
        <v>Cruciform</v>
      </c>
      <c r="AT21" s="11">
        <f t="shared" si="3"/>
        <v>150</v>
      </c>
      <c r="AU21" s="11">
        <f t="shared" si="3"/>
        <v>150</v>
      </c>
      <c r="AV21" s="11">
        <f t="shared" si="3"/>
        <v>12</v>
      </c>
      <c r="AW21" s="317">
        <f t="shared" si="3"/>
        <v>12</v>
      </c>
      <c r="AX21" s="19">
        <f t="shared" si="4"/>
        <v>3456</v>
      </c>
      <c r="AY21" s="10">
        <f t="shared" si="43"/>
        <v>3394872</v>
      </c>
      <c r="AZ21" s="307">
        <f t="shared" si="5"/>
        <v>695.94875999999999</v>
      </c>
      <c r="BA21" s="281"/>
      <c r="BB21" s="312" t="str">
        <f t="shared" si="6"/>
        <v>RHS</v>
      </c>
      <c r="BC21" s="18">
        <f t="shared" si="7"/>
        <v>446</v>
      </c>
      <c r="BD21" s="11">
        <f t="shared" si="8"/>
        <v>125</v>
      </c>
      <c r="BE21" s="11">
        <f t="shared" si="9"/>
        <v>4.5</v>
      </c>
      <c r="BF21" s="11">
        <f t="shared" si="10"/>
        <v>90</v>
      </c>
      <c r="BG21" s="11">
        <f t="shared" si="11"/>
        <v>90</v>
      </c>
      <c r="BH21" s="317">
        <v>0</v>
      </c>
      <c r="BI21" s="11">
        <v>0</v>
      </c>
      <c r="BJ21" s="11"/>
      <c r="BK21" s="317"/>
      <c r="BL21" s="86" t="e">
        <f t="array" ref="BL21:BO21">IF(BB21="RHS",val_Kr_RHS(BD21/10^3,BE21/10^3,BG21/10^3,BH21/10^3,BC21*10^3,BJ$10/10^3,BK$10/10^3,BI$10*10^3,$BM$5*10^3),IF(BB21="CHS",val_Kr_CHS(BD21/10^3,BE21/10^3,BG21/10^3,BH21/10^3,BC21*10^3,BJ$10/10^3,BK$10/10^3,BI$10*10^3,$BM$5*10^3),#N/A))</f>
        <v>#VALUE!</v>
      </c>
      <c r="BM21" s="333" t="e">
        <v>#VALUE!</v>
      </c>
      <c r="BN21" s="86" t="e">
        <v>#VALUE!</v>
      </c>
      <c r="BO21" s="333" t="e">
        <v>#VALUE!</v>
      </c>
      <c r="BP21" s="14" t="e">
        <f t="array" aca="1" ref="BP21:BT21" ca="1">IF(BB21="RHS",Mp_RHS(BD21,BE21,BG21,BH21,BC21,BJ21,BK21,BI21),IF(BB21="CHS",Mp_CHS(BD21,BE21,BG21,BH21,BC21,BJ21,BK21,BI21),#N/A))/10^6</f>
        <v>#NAME?</v>
      </c>
      <c r="BQ21" s="14" t="e">
        <f ca="1"/>
        <v>#NAME?</v>
      </c>
      <c r="BR21" s="18" t="e">
        <f ca="1"/>
        <v>#NAME?</v>
      </c>
      <c r="BS21" s="14" t="e">
        <f ca="1"/>
        <v>#NAME?</v>
      </c>
      <c r="BT21" s="14" t="e">
        <f ca="1"/>
        <v>#NAME?</v>
      </c>
      <c r="BU21" s="17" t="e">
        <f t="shared" ca="1" si="44"/>
        <v>#NAME?</v>
      </c>
      <c r="BV21" s="111" t="s">
        <v>532</v>
      </c>
      <c r="BW21" s="19" t="e">
        <f t="shared" ca="1" si="45"/>
        <v>#NAME?</v>
      </c>
      <c r="BX21" s="281"/>
      <c r="BY21" s="18">
        <f t="shared" si="13"/>
        <v>294</v>
      </c>
      <c r="BZ21" s="105">
        <f t="shared" si="14"/>
        <v>1.4727891156462585</v>
      </c>
      <c r="CA21" s="11">
        <f t="shared" si="15"/>
        <v>90</v>
      </c>
      <c r="CB21" s="11">
        <f t="shared" si="16"/>
        <v>90</v>
      </c>
      <c r="CC21" s="11">
        <f t="shared" si="17"/>
        <v>12</v>
      </c>
      <c r="CD21" s="317">
        <f t="shared" si="18"/>
        <v>12</v>
      </c>
      <c r="CE21" s="18">
        <f t="shared" si="19"/>
        <v>474.65999999999997</v>
      </c>
      <c r="CF21" s="10">
        <f t="shared" si="20"/>
        <v>2016</v>
      </c>
      <c r="CG21" s="258">
        <f t="shared" si="21"/>
        <v>16449.599999999999</v>
      </c>
      <c r="CH21" s="10">
        <f t="shared" si="22"/>
        <v>27108</v>
      </c>
      <c r="CI21" s="53">
        <f t="shared" si="46"/>
        <v>0.80083819241982512</v>
      </c>
      <c r="CJ21" s="53">
        <f t="shared" si="23"/>
        <v>0.5357142857142857</v>
      </c>
      <c r="CK21" s="283">
        <f t="shared" si="24"/>
        <v>4.8361823999999993</v>
      </c>
      <c r="CL21" s="207">
        <f t="shared" si="47"/>
        <v>0.19916180758017488</v>
      </c>
      <c r="CM21" s="119">
        <f t="shared" si="48"/>
        <v>0.96318282857142823</v>
      </c>
      <c r="CN21" s="283">
        <f t="shared" si="49"/>
        <v>7.9697519999999997</v>
      </c>
      <c r="CO21" s="207">
        <f t="shared" si="50"/>
        <v>0.42680324557847904</v>
      </c>
      <c r="CP21" s="119">
        <f t="shared" si="51"/>
        <v>3.4015160200555745</v>
      </c>
      <c r="CQ21" s="207">
        <f t="shared" si="25"/>
        <v>0.67391776478735421</v>
      </c>
      <c r="CR21" s="119">
        <f t="shared" si="26"/>
        <v>5.3709574537495453</v>
      </c>
      <c r="CS21" s="207">
        <f t="shared" si="27"/>
        <v>0.91995223036760987</v>
      </c>
      <c r="CT21" s="119">
        <f t="shared" si="28"/>
        <v>7.3317911278767189</v>
      </c>
      <c r="CU21" s="207">
        <f t="shared" si="29"/>
        <v>0.54262240915554771</v>
      </c>
      <c r="CV21" s="284">
        <f t="shared" si="30"/>
        <v>4.3245660306122442</v>
      </c>
      <c r="CW21" s="579" t="s">
        <v>527</v>
      </c>
      <c r="CX21" s="119">
        <f t="shared" si="52"/>
        <v>5.3709574537495453</v>
      </c>
    </row>
    <row r="22" spans="2:102" x14ac:dyDescent="0.25">
      <c r="B22" s="430">
        <v>30</v>
      </c>
      <c r="C22" s="58">
        <f t="shared" si="31"/>
        <v>628.89428499999997</v>
      </c>
      <c r="D22" s="58">
        <f t="shared" si="0"/>
        <v>580.86699184599911</v>
      </c>
      <c r="E22" s="58" t="e">
        <f t="shared" ref="E22:E28" ca="1" si="53">BW22</f>
        <v>#NAME?</v>
      </c>
      <c r="F22" s="65" t="e">
        <f t="shared" ca="1" si="32"/>
        <v>#NAME?</v>
      </c>
      <c r="G22" s="65">
        <f t="shared" si="33"/>
        <v>6.8587500004228703</v>
      </c>
      <c r="H22" s="58">
        <f t="shared" si="34"/>
        <v>3336</v>
      </c>
      <c r="I22" s="58">
        <f t="shared" si="35"/>
        <v>3067777</v>
      </c>
      <c r="J22" s="203">
        <f t="shared" si="36"/>
        <v>297</v>
      </c>
      <c r="L22" s="636" t="s">
        <v>257</v>
      </c>
      <c r="M22" s="289" t="s">
        <v>127</v>
      </c>
      <c r="N22" s="537">
        <f>VLOOKUP($B22,'Core Demand'!$B$8:$E$36,MATCH(N$8,'Core Demand'!$B$8:$E$8,0),FALSE)</f>
        <v>411.23280000000005</v>
      </c>
      <c r="O22" s="286" t="s">
        <v>91</v>
      </c>
      <c r="P22" s="286" t="s">
        <v>167</v>
      </c>
      <c r="Q22" s="286">
        <v>245</v>
      </c>
      <c r="R22" s="286">
        <v>400</v>
      </c>
      <c r="S22" s="286">
        <v>125</v>
      </c>
      <c r="T22" s="286">
        <v>125</v>
      </c>
      <c r="U22" s="287">
        <v>2.2999999999999998</v>
      </c>
      <c r="V22" s="286" t="s">
        <v>95</v>
      </c>
      <c r="W22" s="286">
        <v>145</v>
      </c>
      <c r="X22" s="286">
        <v>145</v>
      </c>
      <c r="Y22" s="286">
        <v>12</v>
      </c>
      <c r="Z22" s="287">
        <v>12</v>
      </c>
      <c r="AA22" s="286" t="s">
        <v>95</v>
      </c>
      <c r="AB22" s="286" t="s">
        <v>166</v>
      </c>
      <c r="AC22" s="288">
        <v>297</v>
      </c>
      <c r="AD22" s="562">
        <f>AC22*1.4</f>
        <v>415.79999999999995</v>
      </c>
      <c r="AE22" s="286">
        <v>85</v>
      </c>
      <c r="AF22" s="286">
        <v>85</v>
      </c>
      <c r="AG22" s="286">
        <v>12</v>
      </c>
      <c r="AH22" s="286">
        <v>12</v>
      </c>
      <c r="AI22" s="286">
        <v>110</v>
      </c>
      <c r="AJ22" s="301">
        <v>167</v>
      </c>
      <c r="AL22" s="309" t="str">
        <f t="shared" si="37"/>
        <v>RHS</v>
      </c>
      <c r="AM22" s="90">
        <f t="shared" si="38"/>
        <v>125</v>
      </c>
      <c r="AN22" s="90">
        <f t="shared" si="39"/>
        <v>125</v>
      </c>
      <c r="AO22" s="316">
        <f t="shared" si="40"/>
        <v>2.2999999999999998</v>
      </c>
      <c r="AP22" s="21">
        <f t="shared" si="41"/>
        <v>2833497.5211999961</v>
      </c>
      <c r="AQ22" s="306">
        <f t="shared" si="2"/>
        <v>580.86699184599911</v>
      </c>
      <c r="AR22" s="281"/>
      <c r="AS22" s="309" t="str">
        <f t="shared" si="42"/>
        <v>Cruciform</v>
      </c>
      <c r="AT22" s="90">
        <f t="shared" si="3"/>
        <v>145</v>
      </c>
      <c r="AU22" s="90">
        <f t="shared" si="3"/>
        <v>145</v>
      </c>
      <c r="AV22" s="90">
        <f t="shared" si="3"/>
        <v>12</v>
      </c>
      <c r="AW22" s="316">
        <f t="shared" si="3"/>
        <v>12</v>
      </c>
      <c r="AX22" s="58">
        <f t="shared" si="4"/>
        <v>3336</v>
      </c>
      <c r="AY22" s="21">
        <f t="shared" si="43"/>
        <v>3067777</v>
      </c>
      <c r="AZ22" s="306">
        <f t="shared" si="5"/>
        <v>628.89428499999997</v>
      </c>
      <c r="BA22" s="281"/>
      <c r="BB22" s="313" t="str">
        <f t="shared" si="6"/>
        <v>RHS</v>
      </c>
      <c r="BC22" s="315">
        <f t="shared" si="7"/>
        <v>400</v>
      </c>
      <c r="BD22" s="314">
        <f t="shared" si="8"/>
        <v>125</v>
      </c>
      <c r="BE22" s="314">
        <f t="shared" si="9"/>
        <v>2.2999999999999998</v>
      </c>
      <c r="BF22" s="314">
        <f t="shared" si="10"/>
        <v>85</v>
      </c>
      <c r="BG22" s="314">
        <f t="shared" si="11"/>
        <v>85</v>
      </c>
      <c r="BH22" s="318">
        <f t="shared" ref="BH22:BH29" si="54">AI22</f>
        <v>110</v>
      </c>
      <c r="BI22" s="314">
        <v>0</v>
      </c>
      <c r="BJ22" s="314"/>
      <c r="BK22" s="318"/>
      <c r="BL22" s="86">
        <f t="array" ref="BL22:BO22">IF(BB22="RHS",val_Kr_RHS(BD22/10^3,BE22/10^3,BG22/10^3,BH22/10^3,BC22*10^3,BJ$10/10^3,BK$10/10^3,BI$10*10^3,$BM$5*10^3),IF(BB22="CHS",val_Kr_CHS(BD22/10^3,BE22/10^3,BG22/10^3,BH22/10^3,BC22*10^3,BJ$10/10^3,BK$10/10^3,BI$10*10^3,$BM$5*10^3),#N/A))</f>
        <v>628.75507291666668</v>
      </c>
      <c r="BM22" s="333">
        <v>4.9180075921742192E-4</v>
      </c>
      <c r="BN22" s="86">
        <v>71.186855615928252</v>
      </c>
      <c r="BO22" s="333">
        <v>1.4240834344418103E-2</v>
      </c>
      <c r="BP22" s="334" t="e">
        <f t="array" aca="1" ref="BP22:BT22" ca="1">IF(BB22="RHS",Mp_RHS(BD22,BE22,BG22,BH22,BC22,BJ22,BK22,BI22),IF(BB22="CHS",Mp_CHS(BD22,BE22,BG22,BH22,BC22,BJ22,BK22,BI22),#N/A))/10^6</f>
        <v>#NAME?</v>
      </c>
      <c r="BQ22" s="334" t="e">
        <f ca="1"/>
        <v>#NAME?</v>
      </c>
      <c r="BR22" s="315" t="e">
        <f ca="1"/>
        <v>#NAME?</v>
      </c>
      <c r="BS22" s="334" t="e">
        <f ca="1"/>
        <v>#NAME?</v>
      </c>
      <c r="BT22" s="334" t="e">
        <f ca="1"/>
        <v>#NAME?</v>
      </c>
      <c r="BU22" s="292" t="e">
        <f t="shared" ca="1" si="44"/>
        <v>#NAME?</v>
      </c>
      <c r="BV22" s="431" t="s">
        <v>532</v>
      </c>
      <c r="BW22" s="291" t="e">
        <f t="shared" ca="1" si="45"/>
        <v>#NAME?</v>
      </c>
      <c r="BX22" s="281"/>
      <c r="BY22" s="315">
        <f t="shared" si="13"/>
        <v>297</v>
      </c>
      <c r="BZ22" s="576">
        <f t="shared" si="14"/>
        <v>1.4</v>
      </c>
      <c r="CA22" s="314">
        <f t="shared" si="15"/>
        <v>85</v>
      </c>
      <c r="CB22" s="314">
        <f t="shared" si="16"/>
        <v>85</v>
      </c>
      <c r="CC22" s="314">
        <f t="shared" si="17"/>
        <v>12</v>
      </c>
      <c r="CD22" s="318">
        <f t="shared" si="18"/>
        <v>12</v>
      </c>
      <c r="CE22" s="315">
        <f t="shared" si="19"/>
        <v>411.23280000000005</v>
      </c>
      <c r="CF22" s="285">
        <f t="shared" si="20"/>
        <v>1896</v>
      </c>
      <c r="CG22" s="293">
        <f t="shared" si="21"/>
        <v>14697.341176470589</v>
      </c>
      <c r="CH22" s="285">
        <f t="shared" si="22"/>
        <v>24303</v>
      </c>
      <c r="CI22" s="294">
        <f t="shared" si="46"/>
        <v>0.73028598218471652</v>
      </c>
      <c r="CJ22" s="294">
        <f t="shared" si="23"/>
        <v>0.53797468354430378</v>
      </c>
      <c r="CK22" s="295">
        <f t="shared" si="24"/>
        <v>4.365110329411765</v>
      </c>
      <c r="CL22" s="296">
        <f t="shared" si="47"/>
        <v>0.26971401781528348</v>
      </c>
      <c r="CM22" s="297">
        <f t="shared" si="48"/>
        <v>1.1773314451526427</v>
      </c>
      <c r="CN22" s="295">
        <f t="shared" si="49"/>
        <v>7.2179909999999996</v>
      </c>
      <c r="CO22" s="296">
        <f t="shared" si="50"/>
        <v>0.55535203722715965</v>
      </c>
      <c r="CP22" s="297">
        <f t="shared" si="51"/>
        <v>4.008526006537303</v>
      </c>
      <c r="CQ22" s="296">
        <f t="shared" si="25"/>
        <v>0.82674808055207372</v>
      </c>
      <c r="CR22" s="297">
        <f t="shared" si="26"/>
        <v>5.9674602046921432</v>
      </c>
      <c r="CS22" s="296">
        <f t="shared" si="27"/>
        <v>0.95022978006246761</v>
      </c>
      <c r="CT22" s="297">
        <f t="shared" si="28"/>
        <v>6.8587500004228703</v>
      </c>
      <c r="CU22" s="296">
        <f t="shared" si="29"/>
        <v>0.67010197220313006</v>
      </c>
      <c r="CV22" s="298">
        <f t="shared" si="30"/>
        <v>4.8367900044444427</v>
      </c>
      <c r="CW22" s="352" t="s">
        <v>525</v>
      </c>
      <c r="CX22" s="297">
        <f t="shared" si="52"/>
        <v>6.8587500004228703</v>
      </c>
    </row>
    <row r="23" spans="2:102" x14ac:dyDescent="0.25">
      <c r="B23" s="429">
        <v>31</v>
      </c>
      <c r="C23" s="19">
        <f t="shared" si="31"/>
        <v>628.89428499999997</v>
      </c>
      <c r="D23" s="19">
        <f t="shared" si="0"/>
        <v>580.86699184599911</v>
      </c>
      <c r="E23" s="19" t="e">
        <f t="shared" ca="1" si="53"/>
        <v>#NAME?</v>
      </c>
      <c r="F23" s="17" t="e">
        <f t="shared" ca="1" si="32"/>
        <v>#NAME?</v>
      </c>
      <c r="G23" s="17">
        <f t="shared" si="33"/>
        <v>6.8587500004228703</v>
      </c>
      <c r="H23" s="19">
        <f t="shared" si="34"/>
        <v>3336</v>
      </c>
      <c r="I23" s="19">
        <f t="shared" si="35"/>
        <v>3067777</v>
      </c>
      <c r="J23" s="204">
        <f t="shared" si="36"/>
        <v>297</v>
      </c>
      <c r="L23" s="638"/>
      <c r="M23" s="6" t="s">
        <v>13</v>
      </c>
      <c r="N23" s="539">
        <f>VLOOKUP($B23,'Core Demand'!$B$8:$E$36,MATCH(N$8,'Core Demand'!$B$8:$E$8,0),FALSE)</f>
        <v>411.23280000000005</v>
      </c>
      <c r="O23" s="123" t="s">
        <v>91</v>
      </c>
      <c r="P23" s="123" t="s">
        <v>167</v>
      </c>
      <c r="Q23" s="123">
        <v>245</v>
      </c>
      <c r="R23" s="123">
        <v>400</v>
      </c>
      <c r="S23" s="123">
        <v>125</v>
      </c>
      <c r="T23" s="123">
        <v>125</v>
      </c>
      <c r="U23" s="280">
        <v>2.2999999999999998</v>
      </c>
      <c r="V23" s="123" t="s">
        <v>95</v>
      </c>
      <c r="W23" s="123">
        <v>145</v>
      </c>
      <c r="X23" s="123">
        <v>145</v>
      </c>
      <c r="Y23" s="123">
        <v>12</v>
      </c>
      <c r="Z23" s="280">
        <v>12</v>
      </c>
      <c r="AA23" s="123" t="s">
        <v>95</v>
      </c>
      <c r="AB23" s="123" t="s">
        <v>166</v>
      </c>
      <c r="AC23" s="130">
        <v>297</v>
      </c>
      <c r="AD23" s="563">
        <f>AC23*1.4</f>
        <v>415.79999999999995</v>
      </c>
      <c r="AE23" s="123">
        <v>85</v>
      </c>
      <c r="AF23" s="123">
        <v>85</v>
      </c>
      <c r="AG23" s="123">
        <v>12</v>
      </c>
      <c r="AH23" s="123">
        <v>12</v>
      </c>
      <c r="AI23" s="123">
        <v>30</v>
      </c>
      <c r="AJ23" s="300">
        <v>30</v>
      </c>
      <c r="AL23" s="312" t="str">
        <f t="shared" si="37"/>
        <v>RHS</v>
      </c>
      <c r="AM23" s="11">
        <f t="shared" si="38"/>
        <v>125</v>
      </c>
      <c r="AN23" s="11">
        <f t="shared" si="39"/>
        <v>125</v>
      </c>
      <c r="AO23" s="317">
        <f t="shared" si="40"/>
        <v>2.2999999999999998</v>
      </c>
      <c r="AP23" s="10">
        <f t="shared" si="41"/>
        <v>2833497.5211999961</v>
      </c>
      <c r="AQ23" s="307">
        <f t="shared" si="2"/>
        <v>580.86699184599911</v>
      </c>
      <c r="AR23" s="281"/>
      <c r="AS23" s="312" t="str">
        <f t="shared" si="42"/>
        <v>Cruciform</v>
      </c>
      <c r="AT23" s="11">
        <f t="shared" si="3"/>
        <v>145</v>
      </c>
      <c r="AU23" s="11">
        <f t="shared" si="3"/>
        <v>145</v>
      </c>
      <c r="AV23" s="11">
        <f t="shared" si="3"/>
        <v>12</v>
      </c>
      <c r="AW23" s="317">
        <f t="shared" si="3"/>
        <v>12</v>
      </c>
      <c r="AX23" s="19">
        <f t="shared" si="4"/>
        <v>3336</v>
      </c>
      <c r="AY23" s="10">
        <f t="shared" si="43"/>
        <v>3067777</v>
      </c>
      <c r="AZ23" s="307">
        <f t="shared" si="5"/>
        <v>628.89428499999997</v>
      </c>
      <c r="BA23" s="281"/>
      <c r="BB23" s="312" t="str">
        <f t="shared" si="6"/>
        <v>RHS</v>
      </c>
      <c r="BC23" s="18">
        <f t="shared" si="7"/>
        <v>400</v>
      </c>
      <c r="BD23" s="11">
        <f t="shared" si="8"/>
        <v>125</v>
      </c>
      <c r="BE23" s="11">
        <f t="shared" si="9"/>
        <v>2.2999999999999998</v>
      </c>
      <c r="BF23" s="11">
        <f t="shared" si="10"/>
        <v>85</v>
      </c>
      <c r="BG23" s="11">
        <f t="shared" si="11"/>
        <v>85</v>
      </c>
      <c r="BH23" s="317">
        <f t="shared" si="54"/>
        <v>30</v>
      </c>
      <c r="BI23" s="11">
        <v>0</v>
      </c>
      <c r="BJ23" s="11"/>
      <c r="BK23" s="317"/>
      <c r="BL23" s="86">
        <f t="array" ref="BL23:BO23">IF(BB23="RHS",val_Kr_RHS(BD23/10^3,BE23/10^3,BG23/10^3,BH23/10^3,BC23*10^3,BJ$10/10^3,BK$10/10^3,BI$10*10^3,$BM$5*10^3),IF(BB23="CHS",val_Kr_CHS(BD23/10^3,BE23/10^3,BG23/10^3,BH23/10^3,BC23*10^3,BJ$10/10^3,BK$10/10^3,BI$10*10^3,$BM$5*10^3),#N/A))</f>
        <v>12.754610795454548</v>
      </c>
      <c r="BM23" s="333">
        <v>1.8032694504638803E-3</v>
      </c>
      <c r="BN23" s="86">
        <v>1.4440609328550436</v>
      </c>
      <c r="BO23" s="333">
        <v>5.2216392596199708E-2</v>
      </c>
      <c r="BP23" s="14" t="e">
        <f t="array" aca="1" ref="BP23:BT23" ca="1">IF(BB23="RHS",Mp_RHS(BD23,BE23,BG23,BH23,BC23,BJ23,BK23,BI23),IF(BB23="CHS",Mp_CHS(BD23,BE23,BG23,BH23,BC23,BJ23,BK23,BI23),#N/A))/10^6</f>
        <v>#NAME?</v>
      </c>
      <c r="BQ23" s="14" t="e">
        <f ca="1"/>
        <v>#NAME?</v>
      </c>
      <c r="BR23" s="18" t="e">
        <f ca="1"/>
        <v>#NAME?</v>
      </c>
      <c r="BS23" s="14" t="e">
        <f ca="1"/>
        <v>#NAME?</v>
      </c>
      <c r="BT23" s="14" t="e">
        <f ca="1"/>
        <v>#NAME?</v>
      </c>
      <c r="BU23" s="17" t="e">
        <f t="shared" ca="1" si="44"/>
        <v>#NAME?</v>
      </c>
      <c r="BV23" s="111" t="s">
        <v>532</v>
      </c>
      <c r="BW23" s="19" t="e">
        <f t="shared" ca="1" si="45"/>
        <v>#NAME?</v>
      </c>
      <c r="BX23" s="281"/>
      <c r="BY23" s="18">
        <f t="shared" si="13"/>
        <v>297</v>
      </c>
      <c r="BZ23" s="105">
        <f t="shared" si="14"/>
        <v>1.4</v>
      </c>
      <c r="CA23" s="11">
        <f t="shared" si="15"/>
        <v>85</v>
      </c>
      <c r="CB23" s="11">
        <f t="shared" si="16"/>
        <v>85</v>
      </c>
      <c r="CC23" s="11">
        <f t="shared" si="17"/>
        <v>12</v>
      </c>
      <c r="CD23" s="317">
        <f t="shared" si="18"/>
        <v>12</v>
      </c>
      <c r="CE23" s="18">
        <f t="shared" si="19"/>
        <v>411.23280000000005</v>
      </c>
      <c r="CF23" s="10">
        <f t="shared" si="20"/>
        <v>1896</v>
      </c>
      <c r="CG23" s="258">
        <f t="shared" si="21"/>
        <v>14697.341176470589</v>
      </c>
      <c r="CH23" s="10">
        <f t="shared" si="22"/>
        <v>24303</v>
      </c>
      <c r="CI23" s="53">
        <f t="shared" si="46"/>
        <v>0.73028598218471652</v>
      </c>
      <c r="CJ23" s="53">
        <f t="shared" si="23"/>
        <v>0.53797468354430378</v>
      </c>
      <c r="CK23" s="283">
        <f t="shared" si="24"/>
        <v>4.365110329411765</v>
      </c>
      <c r="CL23" s="207">
        <f t="shared" si="47"/>
        <v>0.26971401781528348</v>
      </c>
      <c r="CM23" s="119">
        <f t="shared" si="48"/>
        <v>1.1773314451526427</v>
      </c>
      <c r="CN23" s="283">
        <f t="shared" si="49"/>
        <v>7.2179909999999996</v>
      </c>
      <c r="CO23" s="207">
        <f t="shared" si="50"/>
        <v>0.55535203722715965</v>
      </c>
      <c r="CP23" s="119">
        <f t="shared" si="51"/>
        <v>4.008526006537303</v>
      </c>
      <c r="CQ23" s="207">
        <f t="shared" si="25"/>
        <v>0.82674808055207372</v>
      </c>
      <c r="CR23" s="119">
        <f t="shared" si="26"/>
        <v>5.9674602046921432</v>
      </c>
      <c r="CS23" s="207">
        <f t="shared" si="27"/>
        <v>0.95022978006246761</v>
      </c>
      <c r="CT23" s="119">
        <f t="shared" si="28"/>
        <v>6.8587500004228703</v>
      </c>
      <c r="CU23" s="207">
        <f t="shared" si="29"/>
        <v>0.67010197220313006</v>
      </c>
      <c r="CV23" s="284">
        <f t="shared" si="30"/>
        <v>4.8367900044444427</v>
      </c>
      <c r="CW23" s="579" t="s">
        <v>525</v>
      </c>
      <c r="CX23" s="119">
        <f t="shared" si="52"/>
        <v>6.8587500004228703</v>
      </c>
    </row>
    <row r="24" spans="2:102" ht="15" customHeight="1" x14ac:dyDescent="0.25">
      <c r="B24" s="430">
        <v>40</v>
      </c>
      <c r="C24" s="58">
        <f t="shared" si="31"/>
        <v>7155.8358995833341</v>
      </c>
      <c r="D24" s="58">
        <f t="shared" si="0"/>
        <v>11919.16576</v>
      </c>
      <c r="E24" s="58" t="e">
        <f t="shared" ca="1" si="53"/>
        <v>#NAME?</v>
      </c>
      <c r="F24" s="65" t="e">
        <f t="shared" ca="1" si="32"/>
        <v>#NAME?</v>
      </c>
      <c r="G24" s="65">
        <f t="shared" si="33"/>
        <v>67.535062331344008</v>
      </c>
      <c r="H24" s="58">
        <f t="shared" si="34"/>
        <v>10279</v>
      </c>
      <c r="I24" s="58">
        <f t="shared" si="35"/>
        <v>34906516.583333336</v>
      </c>
      <c r="J24" s="203">
        <f t="shared" si="36"/>
        <v>308.19565086300003</v>
      </c>
      <c r="L24" s="636" t="s">
        <v>521</v>
      </c>
      <c r="M24" s="289" t="s">
        <v>21</v>
      </c>
      <c r="N24" s="537">
        <f>VLOOKUP($B24,'Core Demand'!$B$8:$E$36,MATCH(N$8,'Core Demand'!$B$8:$E$8,0),FALSE)</f>
        <v>1502.6180400000001</v>
      </c>
      <c r="O24" s="286" t="s">
        <v>91</v>
      </c>
      <c r="P24" s="286" t="s">
        <v>93</v>
      </c>
      <c r="Q24" s="286">
        <v>245</v>
      </c>
      <c r="R24" s="286">
        <v>400</v>
      </c>
      <c r="S24" s="286">
        <v>250</v>
      </c>
      <c r="T24" s="286">
        <v>250</v>
      </c>
      <c r="U24" s="287">
        <v>6</v>
      </c>
      <c r="V24" s="286" t="s">
        <v>95</v>
      </c>
      <c r="W24" s="286">
        <v>280</v>
      </c>
      <c r="X24" s="286">
        <v>280</v>
      </c>
      <c r="Y24" s="286">
        <v>19</v>
      </c>
      <c r="Z24" s="287">
        <v>19</v>
      </c>
      <c r="AA24" s="286" t="s">
        <v>95</v>
      </c>
      <c r="AB24" s="286" t="s">
        <v>94</v>
      </c>
      <c r="AC24" s="288">
        <v>308.19565086300003</v>
      </c>
      <c r="AD24" s="288">
        <v>465.39611707500001</v>
      </c>
      <c r="AE24" s="286">
        <v>208</v>
      </c>
      <c r="AF24" s="286">
        <v>208</v>
      </c>
      <c r="AG24" s="286">
        <v>19</v>
      </c>
      <c r="AH24" s="286">
        <v>19</v>
      </c>
      <c r="AI24" s="286">
        <v>190</v>
      </c>
      <c r="AJ24" s="301">
        <v>190</v>
      </c>
      <c r="AL24" s="309" t="str">
        <f t="shared" si="37"/>
        <v>RHS</v>
      </c>
      <c r="AM24" s="90">
        <f t="shared" si="38"/>
        <v>250</v>
      </c>
      <c r="AN24" s="90">
        <f t="shared" si="39"/>
        <v>250</v>
      </c>
      <c r="AO24" s="316">
        <f t="shared" si="40"/>
        <v>6</v>
      </c>
      <c r="AP24" s="21">
        <f t="shared" si="41"/>
        <v>58142272</v>
      </c>
      <c r="AQ24" s="306">
        <f t="shared" si="2"/>
        <v>11919.16576</v>
      </c>
      <c r="AR24" s="281"/>
      <c r="AS24" s="309" t="str">
        <f t="shared" si="42"/>
        <v>Cruciform</v>
      </c>
      <c r="AT24" s="90">
        <f t="shared" si="3"/>
        <v>280</v>
      </c>
      <c r="AU24" s="90">
        <f t="shared" si="3"/>
        <v>280</v>
      </c>
      <c r="AV24" s="90">
        <f t="shared" si="3"/>
        <v>19</v>
      </c>
      <c r="AW24" s="316">
        <f t="shared" si="3"/>
        <v>19</v>
      </c>
      <c r="AX24" s="58">
        <f t="shared" si="4"/>
        <v>10279</v>
      </c>
      <c r="AY24" s="21">
        <f t="shared" si="43"/>
        <v>34906516.583333336</v>
      </c>
      <c r="AZ24" s="306">
        <f t="shared" si="5"/>
        <v>7155.8358995833341</v>
      </c>
      <c r="BA24" s="281"/>
      <c r="BB24" s="313" t="str">
        <f t="shared" si="6"/>
        <v>RHS</v>
      </c>
      <c r="BC24" s="315">
        <f t="shared" si="7"/>
        <v>400</v>
      </c>
      <c r="BD24" s="314">
        <f t="shared" si="8"/>
        <v>250</v>
      </c>
      <c r="BE24" s="314">
        <f t="shared" si="9"/>
        <v>6</v>
      </c>
      <c r="BF24" s="314">
        <f t="shared" si="10"/>
        <v>208</v>
      </c>
      <c r="BG24" s="314">
        <f t="shared" si="11"/>
        <v>208</v>
      </c>
      <c r="BH24" s="318">
        <f t="shared" si="54"/>
        <v>190</v>
      </c>
      <c r="BI24" s="314">
        <v>0</v>
      </c>
      <c r="BJ24" s="314"/>
      <c r="BK24" s="318"/>
      <c r="BL24" s="86">
        <f t="array" ref="BL24:BO24">IF(BB24="RHS",val_Kr_RHS(BD24/10^3,BE24/10^3,BG24/10^3,BH24/10^3,BC24*10^3,BJ$10/10^3,BK$10/10^3,BI$10*10^3,$BM$5*10^3),IF(BB24="CHS",val_Kr_CHS(BD24/10^3,BE24/10^3,BG24/10^3,BH24/10^3,BC24*10^3,BJ$10/10^3,BK$10/10^3,BI$10*10^3,$BM$5*10^3),#N/A))</f>
        <v>46666.977814147431</v>
      </c>
      <c r="BM24" s="333">
        <v>1.2304463996183753E-4</v>
      </c>
      <c r="BN24" s="86">
        <v>787.05289891818006</v>
      </c>
      <c r="BO24" s="333">
        <v>1.1980408313550808E-2</v>
      </c>
      <c r="BP24" s="334" t="e">
        <f t="array" aca="1" ref="BP24:BT24" ca="1">IF(BB24="RHS",Mp_RHS(BD24,BE24,BG24,BH24,BC24,BJ24,BK24,BI24),IF(BB24="CHS",Mp_CHS(BD24,BE24,BG24,BH24,BC24,BJ24,BK24,BI24),#N/A))/10^6</f>
        <v>#NAME?</v>
      </c>
      <c r="BQ24" s="334" t="e">
        <f ca="1"/>
        <v>#NAME?</v>
      </c>
      <c r="BR24" s="315" t="e">
        <f ca="1"/>
        <v>#NAME?</v>
      </c>
      <c r="BS24" s="334" t="e">
        <f ca="1"/>
        <v>#NAME?</v>
      </c>
      <c r="BT24" s="334" t="e">
        <f ca="1"/>
        <v>#NAME?</v>
      </c>
      <c r="BU24" s="292" t="e">
        <f t="shared" ca="1" si="44"/>
        <v>#NAME?</v>
      </c>
      <c r="BV24" s="431" t="s">
        <v>532</v>
      </c>
      <c r="BW24" s="291" t="e">
        <f t="shared" ca="1" si="45"/>
        <v>#NAME?</v>
      </c>
      <c r="BX24" s="281"/>
      <c r="BY24" s="315">
        <f t="shared" si="13"/>
        <v>308.19565086300003</v>
      </c>
      <c r="BZ24" s="576">
        <f t="shared" si="14"/>
        <v>1.5100671140939597</v>
      </c>
      <c r="CA24" s="314">
        <f t="shared" si="15"/>
        <v>208</v>
      </c>
      <c r="CB24" s="314">
        <f t="shared" si="16"/>
        <v>208</v>
      </c>
      <c r="CC24" s="314">
        <f t="shared" si="17"/>
        <v>19</v>
      </c>
      <c r="CD24" s="318">
        <f t="shared" si="18"/>
        <v>19</v>
      </c>
      <c r="CE24" s="315">
        <f t="shared" si="19"/>
        <v>1502.6180400000001</v>
      </c>
      <c r="CF24" s="285">
        <f t="shared" si="20"/>
        <v>7543</v>
      </c>
      <c r="CG24" s="293">
        <f t="shared" si="21"/>
        <v>138041.40945512822</v>
      </c>
      <c r="CH24" s="285">
        <f t="shared" si="22"/>
        <v>222561.25</v>
      </c>
      <c r="CI24" s="294">
        <f t="shared" si="46"/>
        <v>0.64636522800774354</v>
      </c>
      <c r="CJ24" s="294">
        <f t="shared" si="23"/>
        <v>0.52392947103274556</v>
      </c>
      <c r="CK24" s="295">
        <f t="shared" si="24"/>
        <v>42.543762033069129</v>
      </c>
      <c r="CL24" s="296">
        <f t="shared" si="47"/>
        <v>0.35363477199225646</v>
      </c>
      <c r="CM24" s="297">
        <f t="shared" si="48"/>
        <v>15.044953586257218</v>
      </c>
      <c r="CN24" s="295">
        <f t="shared" si="49"/>
        <v>68.592409300632866</v>
      </c>
      <c r="CO24" s="296">
        <f t="shared" si="50"/>
        <v>0.69283227050677232</v>
      </c>
      <c r="CP24" s="297">
        <f t="shared" si="51"/>
        <v>47.523034675287313</v>
      </c>
      <c r="CQ24" s="296">
        <f t="shared" si="25"/>
        <v>0.9338585142243695</v>
      </c>
      <c r="CR24" s="297">
        <f t="shared" si="26"/>
        <v>64.055605436558835</v>
      </c>
      <c r="CS24" s="296">
        <f t="shared" si="27"/>
        <v>0.98458507318711275</v>
      </c>
      <c r="CT24" s="297">
        <f t="shared" si="28"/>
        <v>67.535062331344008</v>
      </c>
      <c r="CU24" s="296">
        <f t="shared" si="29"/>
        <v>0.82580928730944148</v>
      </c>
      <c r="CV24" s="298">
        <f t="shared" si="30"/>
        <v>56.644248639393133</v>
      </c>
      <c r="CW24" s="352" t="s">
        <v>525</v>
      </c>
      <c r="CX24" s="297">
        <f t="shared" si="52"/>
        <v>67.535062331344008</v>
      </c>
    </row>
    <row r="25" spans="2:102" x14ac:dyDescent="0.25">
      <c r="B25" s="430">
        <v>41</v>
      </c>
      <c r="C25" s="58">
        <f t="shared" si="31"/>
        <v>7155.8358995833341</v>
      </c>
      <c r="D25" s="58">
        <f t="shared" si="0"/>
        <v>11919.16576</v>
      </c>
      <c r="E25" s="58" t="e">
        <f t="shared" ca="1" si="53"/>
        <v>#NAME?</v>
      </c>
      <c r="F25" s="65" t="e">
        <f t="shared" ca="1" si="32"/>
        <v>#NAME?</v>
      </c>
      <c r="G25" s="65">
        <f t="shared" si="33"/>
        <v>67.535062331344008</v>
      </c>
      <c r="H25" s="58">
        <f t="shared" si="34"/>
        <v>10279</v>
      </c>
      <c r="I25" s="58">
        <f t="shared" si="35"/>
        <v>34906516.583333336</v>
      </c>
      <c r="J25" s="203">
        <f t="shared" si="36"/>
        <v>308.19565086300003</v>
      </c>
      <c r="L25" s="637"/>
      <c r="M25" s="46" t="s">
        <v>22</v>
      </c>
      <c r="N25" s="538">
        <f>VLOOKUP($B25,'Core Demand'!$B$8:$E$36,MATCH(N$8,'Core Demand'!$B$8:$E$8,0),FALSE)</f>
        <v>1502.6180400000001</v>
      </c>
      <c r="O25" s="146" t="s">
        <v>91</v>
      </c>
      <c r="P25" s="146" t="s">
        <v>93</v>
      </c>
      <c r="Q25" s="146">
        <v>245</v>
      </c>
      <c r="R25" s="146">
        <v>400</v>
      </c>
      <c r="S25" s="146">
        <v>250</v>
      </c>
      <c r="T25" s="146">
        <v>250</v>
      </c>
      <c r="U25" s="279">
        <v>6</v>
      </c>
      <c r="V25" s="146" t="s">
        <v>95</v>
      </c>
      <c r="W25" s="146">
        <v>280</v>
      </c>
      <c r="X25" s="146">
        <v>280</v>
      </c>
      <c r="Y25" s="146">
        <v>19</v>
      </c>
      <c r="Z25" s="279">
        <v>19</v>
      </c>
      <c r="AA25" s="146" t="s">
        <v>95</v>
      </c>
      <c r="AB25" s="146" t="s">
        <v>166</v>
      </c>
      <c r="AC25" s="153">
        <v>308.19565086300003</v>
      </c>
      <c r="AD25" s="153">
        <v>465.39611707500001</v>
      </c>
      <c r="AE25" s="146">
        <v>208</v>
      </c>
      <c r="AF25" s="146">
        <v>208</v>
      </c>
      <c r="AG25" s="146">
        <v>19</v>
      </c>
      <c r="AH25" s="146">
        <v>19</v>
      </c>
      <c r="AI25" s="146">
        <v>190</v>
      </c>
      <c r="AJ25" s="299">
        <v>190</v>
      </c>
      <c r="AL25" s="309" t="str">
        <f t="shared" si="37"/>
        <v>RHS</v>
      </c>
      <c r="AM25" s="90">
        <f t="shared" si="38"/>
        <v>250</v>
      </c>
      <c r="AN25" s="90">
        <f t="shared" si="39"/>
        <v>250</v>
      </c>
      <c r="AO25" s="316">
        <f t="shared" si="40"/>
        <v>6</v>
      </c>
      <c r="AP25" s="21">
        <f t="shared" si="41"/>
        <v>58142272</v>
      </c>
      <c r="AQ25" s="306">
        <f t="shared" si="2"/>
        <v>11919.16576</v>
      </c>
      <c r="AR25" s="281"/>
      <c r="AS25" s="309" t="str">
        <f t="shared" si="42"/>
        <v>Cruciform</v>
      </c>
      <c r="AT25" s="90">
        <f t="shared" si="3"/>
        <v>280</v>
      </c>
      <c r="AU25" s="90">
        <f t="shared" si="3"/>
        <v>280</v>
      </c>
      <c r="AV25" s="90">
        <f t="shared" si="3"/>
        <v>19</v>
      </c>
      <c r="AW25" s="316">
        <f t="shared" si="3"/>
        <v>19</v>
      </c>
      <c r="AX25" s="58">
        <f t="shared" si="4"/>
        <v>10279</v>
      </c>
      <c r="AY25" s="21">
        <f t="shared" si="43"/>
        <v>34906516.583333336</v>
      </c>
      <c r="AZ25" s="306">
        <f t="shared" si="5"/>
        <v>7155.8358995833341</v>
      </c>
      <c r="BA25" s="281"/>
      <c r="BB25" s="309" t="str">
        <f t="shared" si="6"/>
        <v>RHS</v>
      </c>
      <c r="BC25" s="86">
        <f t="shared" si="7"/>
        <v>400</v>
      </c>
      <c r="BD25" s="90">
        <f t="shared" si="8"/>
        <v>250</v>
      </c>
      <c r="BE25" s="90">
        <f t="shared" si="9"/>
        <v>6</v>
      </c>
      <c r="BF25" s="90">
        <f t="shared" si="10"/>
        <v>208</v>
      </c>
      <c r="BG25" s="90">
        <f t="shared" si="11"/>
        <v>208</v>
      </c>
      <c r="BH25" s="316">
        <f t="shared" si="54"/>
        <v>190</v>
      </c>
      <c r="BI25" s="90">
        <v>0</v>
      </c>
      <c r="BJ25" s="90"/>
      <c r="BK25" s="316"/>
      <c r="BL25" s="86">
        <f t="array" ref="BL25:BO25">IF(BB25="RHS",val_Kr_RHS(BD25/10^3,BE25/10^3,BG25/10^3,BH25/10^3,BC25*10^3,BJ$10/10^3,BK$10/10^3,BI$10*10^3,$BM$5*10^3),IF(BB25="CHS",val_Kr_CHS(BD25/10^3,BE25/10^3,BG25/10^3,BH25/10^3,BC25*10^3,BJ$10/10^3,BK$10/10^3,BI$10*10^3,$BM$5*10^3),#N/A))</f>
        <v>46666.977814147431</v>
      </c>
      <c r="BM25" s="333">
        <v>1.2304463996183753E-4</v>
      </c>
      <c r="BN25" s="86">
        <v>787.05289891818006</v>
      </c>
      <c r="BO25" s="333">
        <v>1.1980408313550808E-2</v>
      </c>
      <c r="BP25" s="89" t="e">
        <f t="array" aca="1" ref="BP25:BT25" ca="1">IF(BB25="RHS",Mp_RHS(BD25,BE25,BG25,BH25,BC25,BJ25,BK25,BI25),IF(BB25="CHS",Mp_CHS(BD25,BE25,BG25,BH25,BC25,BJ25,BK25,BI25),#N/A))/10^6</f>
        <v>#NAME?</v>
      </c>
      <c r="BQ25" s="89" t="e">
        <f ca="1"/>
        <v>#NAME?</v>
      </c>
      <c r="BR25" s="86" t="e">
        <f ca="1"/>
        <v>#NAME?</v>
      </c>
      <c r="BS25" s="89" t="e">
        <f ca="1"/>
        <v>#NAME?</v>
      </c>
      <c r="BT25" s="89" t="e">
        <f ca="1"/>
        <v>#NAME?</v>
      </c>
      <c r="BU25" s="65" t="e">
        <f t="shared" ca="1" si="44"/>
        <v>#NAME?</v>
      </c>
      <c r="BV25" s="108" t="s">
        <v>532</v>
      </c>
      <c r="BW25" s="58" t="e">
        <f t="shared" ca="1" si="45"/>
        <v>#NAME?</v>
      </c>
      <c r="BX25" s="281"/>
      <c r="BY25" s="86">
        <f t="shared" si="13"/>
        <v>308.19565086300003</v>
      </c>
      <c r="BZ25" s="93">
        <f t="shared" si="14"/>
        <v>1.5100671140939597</v>
      </c>
      <c r="CA25" s="90">
        <f t="shared" si="15"/>
        <v>208</v>
      </c>
      <c r="CB25" s="90">
        <f t="shared" si="16"/>
        <v>208</v>
      </c>
      <c r="CC25" s="90">
        <f t="shared" si="17"/>
        <v>19</v>
      </c>
      <c r="CD25" s="316">
        <f t="shared" si="18"/>
        <v>19</v>
      </c>
      <c r="CE25" s="86">
        <f t="shared" si="19"/>
        <v>1502.6180400000001</v>
      </c>
      <c r="CF25" s="21">
        <f t="shared" si="20"/>
        <v>7543</v>
      </c>
      <c r="CG25" s="257">
        <f t="shared" si="21"/>
        <v>138041.40945512822</v>
      </c>
      <c r="CH25" s="21">
        <f t="shared" si="22"/>
        <v>222561.25</v>
      </c>
      <c r="CI25" s="81">
        <f t="shared" si="46"/>
        <v>0.64636522800774354</v>
      </c>
      <c r="CJ25" s="81">
        <f t="shared" si="23"/>
        <v>0.52392947103274556</v>
      </c>
      <c r="CK25" s="137">
        <f t="shared" si="24"/>
        <v>42.543762033069129</v>
      </c>
      <c r="CL25" s="206">
        <f t="shared" si="47"/>
        <v>0.35363477199225646</v>
      </c>
      <c r="CM25" s="140">
        <f t="shared" si="48"/>
        <v>15.044953586257218</v>
      </c>
      <c r="CN25" s="137">
        <f t="shared" si="49"/>
        <v>68.592409300632866</v>
      </c>
      <c r="CO25" s="206">
        <f t="shared" si="50"/>
        <v>0.69283227050677232</v>
      </c>
      <c r="CP25" s="140">
        <f t="shared" si="51"/>
        <v>47.523034675287313</v>
      </c>
      <c r="CQ25" s="206">
        <f t="shared" si="25"/>
        <v>0.9338585142243695</v>
      </c>
      <c r="CR25" s="140">
        <f t="shared" si="26"/>
        <v>64.055605436558835</v>
      </c>
      <c r="CS25" s="206">
        <f t="shared" si="27"/>
        <v>0.98458507318711275</v>
      </c>
      <c r="CT25" s="140">
        <f t="shared" si="28"/>
        <v>67.535062331344008</v>
      </c>
      <c r="CU25" s="206">
        <f t="shared" si="29"/>
        <v>0.82580928730944148</v>
      </c>
      <c r="CV25" s="278">
        <f t="shared" si="30"/>
        <v>56.644248639393133</v>
      </c>
      <c r="CW25" s="352" t="s">
        <v>525</v>
      </c>
      <c r="CX25" s="140">
        <f t="shared" si="52"/>
        <v>67.535062331344008</v>
      </c>
    </row>
    <row r="26" spans="2:102" x14ac:dyDescent="0.25">
      <c r="B26" s="430">
        <v>42</v>
      </c>
      <c r="C26" s="58">
        <f t="shared" si="31"/>
        <v>7155.8358995833341</v>
      </c>
      <c r="D26" s="58">
        <f t="shared" si="0"/>
        <v>11919.16576</v>
      </c>
      <c r="E26" s="58" t="e">
        <f t="shared" ca="1" si="53"/>
        <v>#NAME?</v>
      </c>
      <c r="F26" s="65" t="e">
        <f t="shared" ca="1" si="32"/>
        <v>#NAME?</v>
      </c>
      <c r="G26" s="65">
        <f t="shared" si="33"/>
        <v>67.535062331344008</v>
      </c>
      <c r="H26" s="58">
        <f t="shared" si="34"/>
        <v>10279</v>
      </c>
      <c r="I26" s="58">
        <f t="shared" si="35"/>
        <v>34906516.583333336</v>
      </c>
      <c r="J26" s="203">
        <f t="shared" si="36"/>
        <v>308.19565086300003</v>
      </c>
      <c r="L26" s="637"/>
      <c r="M26" s="46" t="s">
        <v>23</v>
      </c>
      <c r="N26" s="538">
        <f>VLOOKUP($B26,'Core Demand'!$B$8:$E$36,MATCH(N$8,'Core Demand'!$B$8:$E$8,0),FALSE)</f>
        <v>1502.6180400000001</v>
      </c>
      <c r="O26" s="146" t="s">
        <v>91</v>
      </c>
      <c r="P26" s="146" t="s">
        <v>93</v>
      </c>
      <c r="Q26" s="146">
        <v>245</v>
      </c>
      <c r="R26" s="146">
        <v>400</v>
      </c>
      <c r="S26" s="146">
        <v>250</v>
      </c>
      <c r="T26" s="146">
        <v>250</v>
      </c>
      <c r="U26" s="279">
        <v>6</v>
      </c>
      <c r="V26" s="146" t="s">
        <v>95</v>
      </c>
      <c r="W26" s="146">
        <v>280</v>
      </c>
      <c r="X26" s="146">
        <v>280</v>
      </c>
      <c r="Y26" s="146">
        <v>19</v>
      </c>
      <c r="Z26" s="279">
        <v>19</v>
      </c>
      <c r="AA26" s="146" t="s">
        <v>95</v>
      </c>
      <c r="AB26" s="146" t="s">
        <v>166</v>
      </c>
      <c r="AC26" s="153">
        <v>308.19565086300003</v>
      </c>
      <c r="AD26" s="153">
        <v>465.39611707500001</v>
      </c>
      <c r="AE26" s="146">
        <v>208</v>
      </c>
      <c r="AF26" s="146">
        <v>208</v>
      </c>
      <c r="AG26" s="146">
        <v>19</v>
      </c>
      <c r="AH26" s="146">
        <v>19</v>
      </c>
      <c r="AI26" s="146">
        <v>190</v>
      </c>
      <c r="AJ26" s="299">
        <v>190</v>
      </c>
      <c r="AL26" s="309" t="str">
        <f t="shared" si="37"/>
        <v>RHS</v>
      </c>
      <c r="AM26" s="90">
        <f t="shared" si="38"/>
        <v>250</v>
      </c>
      <c r="AN26" s="90">
        <f t="shared" si="39"/>
        <v>250</v>
      </c>
      <c r="AO26" s="316">
        <f t="shared" si="40"/>
        <v>6</v>
      </c>
      <c r="AP26" s="21">
        <f t="shared" si="41"/>
        <v>58142272</v>
      </c>
      <c r="AQ26" s="306">
        <f t="shared" si="2"/>
        <v>11919.16576</v>
      </c>
      <c r="AR26" s="281"/>
      <c r="AS26" s="309" t="str">
        <f t="shared" si="42"/>
        <v>Cruciform</v>
      </c>
      <c r="AT26" s="90">
        <f t="shared" ref="AT26:AT29" si="55">W26</f>
        <v>280</v>
      </c>
      <c r="AU26" s="90">
        <f t="shared" ref="AU26:AU29" si="56">X26</f>
        <v>280</v>
      </c>
      <c r="AV26" s="90">
        <f t="shared" ref="AV26:AV29" si="57">Y26</f>
        <v>19</v>
      </c>
      <c r="AW26" s="316">
        <f t="shared" ref="AW26:AW29" si="58">Z26</f>
        <v>19</v>
      </c>
      <c r="AX26" s="58">
        <f t="shared" si="4"/>
        <v>10279</v>
      </c>
      <c r="AY26" s="21">
        <f t="shared" si="43"/>
        <v>34906516.583333336</v>
      </c>
      <c r="AZ26" s="306">
        <f t="shared" si="5"/>
        <v>7155.8358995833341</v>
      </c>
      <c r="BA26" s="281"/>
      <c r="BB26" s="309" t="str">
        <f t="shared" si="6"/>
        <v>RHS</v>
      </c>
      <c r="BC26" s="86">
        <f t="shared" si="7"/>
        <v>400</v>
      </c>
      <c r="BD26" s="90">
        <f t="shared" si="8"/>
        <v>250</v>
      </c>
      <c r="BE26" s="90">
        <f t="shared" si="9"/>
        <v>6</v>
      </c>
      <c r="BF26" s="90">
        <f t="shared" si="10"/>
        <v>208</v>
      </c>
      <c r="BG26" s="90">
        <f t="shared" si="11"/>
        <v>208</v>
      </c>
      <c r="BH26" s="316">
        <f t="shared" si="54"/>
        <v>190</v>
      </c>
      <c r="BI26" s="90">
        <v>0</v>
      </c>
      <c r="BJ26" s="90"/>
      <c r="BK26" s="316"/>
      <c r="BL26" s="86">
        <f t="array" ref="BL26:BO26">IF(BB26="RHS",val_Kr_RHS(BD26/10^3,BE26/10^3,BG26/10^3,BH26/10^3,BC26*10^3,BJ$10/10^3,BK$10/10^3,BI$10*10^3,$BM$5*10^3),IF(BB26="CHS",val_Kr_CHS(BD26/10^3,BE26/10^3,BG26/10^3,BH26/10^3,BC26*10^3,BJ$10/10^3,BK$10/10^3,BI$10*10^3,$BM$5*10^3),#N/A))</f>
        <v>46666.977814147431</v>
      </c>
      <c r="BM26" s="333">
        <v>1.2304463996183753E-4</v>
      </c>
      <c r="BN26" s="86">
        <v>787.05289891818006</v>
      </c>
      <c r="BO26" s="333">
        <v>1.1980408313550808E-2</v>
      </c>
      <c r="BP26" s="89" t="e">
        <f t="array" aca="1" ref="BP26:BT26" ca="1">IF(BB26="RHS",Mp_RHS(BD26,BE26,BG26,BH26,BC26,BJ26,BK26,BI26),IF(BB26="CHS",Mp_CHS(BD26,BE26,BG26,BH26,BC26,BJ26,BK26,BI26),#N/A))/10^6</f>
        <v>#NAME?</v>
      </c>
      <c r="BQ26" s="89" t="e">
        <f ca="1"/>
        <v>#NAME?</v>
      </c>
      <c r="BR26" s="86" t="e">
        <f ca="1"/>
        <v>#NAME?</v>
      </c>
      <c r="BS26" s="89" t="e">
        <f ca="1"/>
        <v>#NAME?</v>
      </c>
      <c r="BT26" s="89" t="e">
        <f ca="1"/>
        <v>#NAME?</v>
      </c>
      <c r="BU26" s="65" t="e">
        <f t="shared" ca="1" si="44"/>
        <v>#NAME?</v>
      </c>
      <c r="BV26" s="108" t="s">
        <v>532</v>
      </c>
      <c r="BW26" s="58" t="e">
        <f t="shared" ca="1" si="45"/>
        <v>#NAME?</v>
      </c>
      <c r="BX26" s="281"/>
      <c r="BY26" s="86">
        <f t="shared" si="13"/>
        <v>308.19565086300003</v>
      </c>
      <c r="BZ26" s="93">
        <f t="shared" si="14"/>
        <v>1.5100671140939597</v>
      </c>
      <c r="CA26" s="90">
        <f t="shared" si="15"/>
        <v>208</v>
      </c>
      <c r="CB26" s="90">
        <f t="shared" si="16"/>
        <v>208</v>
      </c>
      <c r="CC26" s="90">
        <f t="shared" si="17"/>
        <v>19</v>
      </c>
      <c r="CD26" s="316">
        <f t="shared" si="18"/>
        <v>19</v>
      </c>
      <c r="CE26" s="86">
        <f t="shared" si="19"/>
        <v>1502.6180400000001</v>
      </c>
      <c r="CF26" s="21">
        <f t="shared" si="20"/>
        <v>7543</v>
      </c>
      <c r="CG26" s="257">
        <f t="shared" si="21"/>
        <v>138041.40945512822</v>
      </c>
      <c r="CH26" s="21">
        <f t="shared" si="22"/>
        <v>222561.25</v>
      </c>
      <c r="CI26" s="81">
        <f t="shared" si="46"/>
        <v>0.64636522800774354</v>
      </c>
      <c r="CJ26" s="81">
        <f t="shared" si="23"/>
        <v>0.52392947103274556</v>
      </c>
      <c r="CK26" s="137">
        <f t="shared" si="24"/>
        <v>42.543762033069129</v>
      </c>
      <c r="CL26" s="206">
        <f t="shared" si="47"/>
        <v>0.35363477199225646</v>
      </c>
      <c r="CM26" s="140">
        <f t="shared" si="48"/>
        <v>15.044953586257218</v>
      </c>
      <c r="CN26" s="137">
        <f t="shared" si="49"/>
        <v>68.592409300632866</v>
      </c>
      <c r="CO26" s="206">
        <f t="shared" si="50"/>
        <v>0.69283227050677232</v>
      </c>
      <c r="CP26" s="140">
        <f t="shared" si="51"/>
        <v>47.523034675287313</v>
      </c>
      <c r="CQ26" s="206">
        <f t="shared" si="25"/>
        <v>0.9338585142243695</v>
      </c>
      <c r="CR26" s="140">
        <f t="shared" si="26"/>
        <v>64.055605436558835</v>
      </c>
      <c r="CS26" s="206">
        <f t="shared" si="27"/>
        <v>0.98458507318711275</v>
      </c>
      <c r="CT26" s="140">
        <f t="shared" si="28"/>
        <v>67.535062331344008</v>
      </c>
      <c r="CU26" s="206">
        <f t="shared" si="29"/>
        <v>0.82580928730944148</v>
      </c>
      <c r="CV26" s="278">
        <f t="shared" si="30"/>
        <v>56.644248639393133</v>
      </c>
      <c r="CW26" s="352" t="s">
        <v>525</v>
      </c>
      <c r="CX26" s="140">
        <f t="shared" si="52"/>
        <v>67.535062331344008</v>
      </c>
    </row>
    <row r="27" spans="2:102" x14ac:dyDescent="0.25">
      <c r="B27" s="430">
        <v>43</v>
      </c>
      <c r="C27" s="58">
        <f t="shared" si="31"/>
        <v>7155.8358995833341</v>
      </c>
      <c r="D27" s="58">
        <f t="shared" si="0"/>
        <v>11919.16576</v>
      </c>
      <c r="E27" s="58" t="e">
        <f t="shared" ca="1" si="53"/>
        <v>#NAME?</v>
      </c>
      <c r="F27" s="65" t="e">
        <f t="shared" ca="1" si="32"/>
        <v>#NAME?</v>
      </c>
      <c r="G27" s="65">
        <f t="shared" si="33"/>
        <v>67.535062331344008</v>
      </c>
      <c r="H27" s="58">
        <f t="shared" si="34"/>
        <v>10279</v>
      </c>
      <c r="I27" s="58">
        <f t="shared" si="35"/>
        <v>34906516.583333336</v>
      </c>
      <c r="J27" s="203">
        <f t="shared" si="36"/>
        <v>308.19565086300003</v>
      </c>
      <c r="L27" s="637"/>
      <c r="M27" s="46" t="s">
        <v>24</v>
      </c>
      <c r="N27" s="538">
        <f>VLOOKUP($B27,'Core Demand'!$B$8:$E$36,MATCH(N$8,'Core Demand'!$B$8:$E$8,0),FALSE)</f>
        <v>1502.6180400000001</v>
      </c>
      <c r="O27" s="146" t="s">
        <v>91</v>
      </c>
      <c r="P27" s="146" t="s">
        <v>93</v>
      </c>
      <c r="Q27" s="146">
        <v>245</v>
      </c>
      <c r="R27" s="146">
        <v>400</v>
      </c>
      <c r="S27" s="146">
        <v>250</v>
      </c>
      <c r="T27" s="146">
        <v>250</v>
      </c>
      <c r="U27" s="279">
        <v>6</v>
      </c>
      <c r="V27" s="146" t="s">
        <v>95</v>
      </c>
      <c r="W27" s="146">
        <v>280</v>
      </c>
      <c r="X27" s="146">
        <v>280</v>
      </c>
      <c r="Y27" s="146">
        <v>19</v>
      </c>
      <c r="Z27" s="279">
        <v>19</v>
      </c>
      <c r="AA27" s="146" t="s">
        <v>95</v>
      </c>
      <c r="AB27" s="146" t="s">
        <v>166</v>
      </c>
      <c r="AC27" s="153">
        <v>308.19565086300003</v>
      </c>
      <c r="AD27" s="153">
        <v>465.39611707500001</v>
      </c>
      <c r="AE27" s="146">
        <v>208</v>
      </c>
      <c r="AF27" s="146">
        <v>208</v>
      </c>
      <c r="AG27" s="146">
        <v>19</v>
      </c>
      <c r="AH27" s="146">
        <v>19</v>
      </c>
      <c r="AI27" s="146">
        <v>190</v>
      </c>
      <c r="AJ27" s="299">
        <v>190</v>
      </c>
      <c r="AL27" s="309" t="str">
        <f t="shared" si="37"/>
        <v>RHS</v>
      </c>
      <c r="AM27" s="90">
        <f t="shared" si="38"/>
        <v>250</v>
      </c>
      <c r="AN27" s="90">
        <f t="shared" si="39"/>
        <v>250</v>
      </c>
      <c r="AO27" s="316">
        <f t="shared" si="40"/>
        <v>6</v>
      </c>
      <c r="AP27" s="21">
        <f t="shared" si="41"/>
        <v>58142272</v>
      </c>
      <c r="AQ27" s="306">
        <f t="shared" si="2"/>
        <v>11919.16576</v>
      </c>
      <c r="AR27" s="281"/>
      <c r="AS27" s="309" t="str">
        <f t="shared" si="42"/>
        <v>Cruciform</v>
      </c>
      <c r="AT27" s="90">
        <f t="shared" si="55"/>
        <v>280</v>
      </c>
      <c r="AU27" s="90">
        <f t="shared" si="56"/>
        <v>280</v>
      </c>
      <c r="AV27" s="90">
        <f t="shared" si="57"/>
        <v>19</v>
      </c>
      <c r="AW27" s="316">
        <f t="shared" si="58"/>
        <v>19</v>
      </c>
      <c r="AX27" s="58">
        <f t="shared" si="4"/>
        <v>10279</v>
      </c>
      <c r="AY27" s="21">
        <f t="shared" si="43"/>
        <v>34906516.583333336</v>
      </c>
      <c r="AZ27" s="306">
        <f t="shared" si="5"/>
        <v>7155.8358995833341</v>
      </c>
      <c r="BA27" s="281"/>
      <c r="BB27" s="309" t="str">
        <f t="shared" si="6"/>
        <v>RHS</v>
      </c>
      <c r="BC27" s="86">
        <f t="shared" si="7"/>
        <v>400</v>
      </c>
      <c r="BD27" s="90">
        <f t="shared" si="8"/>
        <v>250</v>
      </c>
      <c r="BE27" s="90">
        <f t="shared" si="9"/>
        <v>6</v>
      </c>
      <c r="BF27" s="90">
        <f t="shared" si="10"/>
        <v>208</v>
      </c>
      <c r="BG27" s="90">
        <f t="shared" si="11"/>
        <v>208</v>
      </c>
      <c r="BH27" s="316">
        <f t="shared" si="54"/>
        <v>190</v>
      </c>
      <c r="BI27" s="90">
        <v>0</v>
      </c>
      <c r="BJ27" s="90"/>
      <c r="BK27" s="316"/>
      <c r="BL27" s="86">
        <f t="array" ref="BL27:BO27">IF(BB27="RHS",val_Kr_RHS(BD27/10^3,BE27/10^3,BG27/10^3,BH27/10^3,BC27*10^3,BJ$10/10^3,BK$10/10^3,BI$10*10^3,$BM$5*10^3),IF(BB27="CHS",val_Kr_CHS(BD27/10^3,BE27/10^3,BG27/10^3,BH27/10^3,BC27*10^3,BJ$10/10^3,BK$10/10^3,BI$10*10^3,$BM$5*10^3),#N/A))</f>
        <v>46666.977814147431</v>
      </c>
      <c r="BM27" s="333">
        <v>1.2304463996183753E-4</v>
      </c>
      <c r="BN27" s="86">
        <v>787.05289891818006</v>
      </c>
      <c r="BO27" s="333">
        <v>1.1980408313550808E-2</v>
      </c>
      <c r="BP27" s="89" t="e">
        <f t="array" aca="1" ref="BP27:BT27" ca="1">IF(BB27="RHS",Mp_RHS(BD27,BE27,BG27,BH27,BC27,BJ27,BK27,BI27),IF(BB27="CHS",Mp_CHS(BD27,BE27,BG27,BH27,BC27,BJ27,BK27,BI27),#N/A))/10^6</f>
        <v>#NAME?</v>
      </c>
      <c r="BQ27" s="89" t="e">
        <f ca="1"/>
        <v>#NAME?</v>
      </c>
      <c r="BR27" s="86" t="e">
        <f ca="1"/>
        <v>#NAME?</v>
      </c>
      <c r="BS27" s="89" t="e">
        <f ca="1"/>
        <v>#NAME?</v>
      </c>
      <c r="BT27" s="89" t="e">
        <f ca="1"/>
        <v>#NAME?</v>
      </c>
      <c r="BU27" s="65" t="e">
        <f t="shared" ca="1" si="44"/>
        <v>#NAME?</v>
      </c>
      <c r="BV27" s="108" t="s">
        <v>532</v>
      </c>
      <c r="BW27" s="58" t="e">
        <f t="shared" ca="1" si="45"/>
        <v>#NAME?</v>
      </c>
      <c r="BX27" s="281"/>
      <c r="BY27" s="86">
        <f t="shared" si="13"/>
        <v>308.19565086300003</v>
      </c>
      <c r="BZ27" s="93">
        <f t="shared" si="14"/>
        <v>1.5100671140939597</v>
      </c>
      <c r="CA27" s="90">
        <f t="shared" si="15"/>
        <v>208</v>
      </c>
      <c r="CB27" s="90">
        <f t="shared" si="16"/>
        <v>208</v>
      </c>
      <c r="CC27" s="90">
        <f t="shared" si="17"/>
        <v>19</v>
      </c>
      <c r="CD27" s="316">
        <f t="shared" si="18"/>
        <v>19</v>
      </c>
      <c r="CE27" s="86">
        <f t="shared" si="19"/>
        <v>1502.6180400000001</v>
      </c>
      <c r="CF27" s="21">
        <f t="shared" si="20"/>
        <v>7543</v>
      </c>
      <c r="CG27" s="257">
        <f t="shared" si="21"/>
        <v>138041.40945512822</v>
      </c>
      <c r="CH27" s="21">
        <f t="shared" si="22"/>
        <v>222561.25</v>
      </c>
      <c r="CI27" s="81">
        <f t="shared" si="46"/>
        <v>0.64636522800774354</v>
      </c>
      <c r="CJ27" s="81">
        <f t="shared" si="23"/>
        <v>0.52392947103274556</v>
      </c>
      <c r="CK27" s="137">
        <f t="shared" si="24"/>
        <v>42.543762033069129</v>
      </c>
      <c r="CL27" s="206">
        <f t="shared" si="47"/>
        <v>0.35363477199225646</v>
      </c>
      <c r="CM27" s="140">
        <f t="shared" si="48"/>
        <v>15.044953586257218</v>
      </c>
      <c r="CN27" s="137">
        <f t="shared" si="49"/>
        <v>68.592409300632866</v>
      </c>
      <c r="CO27" s="206">
        <f t="shared" si="50"/>
        <v>0.69283227050677232</v>
      </c>
      <c r="CP27" s="140">
        <f t="shared" si="51"/>
        <v>47.523034675287313</v>
      </c>
      <c r="CQ27" s="206">
        <f t="shared" si="25"/>
        <v>0.9338585142243695</v>
      </c>
      <c r="CR27" s="140">
        <f t="shared" si="26"/>
        <v>64.055605436558835</v>
      </c>
      <c r="CS27" s="206">
        <f t="shared" si="27"/>
        <v>0.98458507318711275</v>
      </c>
      <c r="CT27" s="140">
        <f t="shared" si="28"/>
        <v>67.535062331344008</v>
      </c>
      <c r="CU27" s="206">
        <f t="shared" si="29"/>
        <v>0.82580928730944148</v>
      </c>
      <c r="CV27" s="278">
        <f t="shared" si="30"/>
        <v>56.644248639393133</v>
      </c>
      <c r="CW27" s="352" t="s">
        <v>525</v>
      </c>
      <c r="CX27" s="140">
        <f t="shared" si="52"/>
        <v>67.535062331344008</v>
      </c>
    </row>
    <row r="28" spans="2:102" x14ac:dyDescent="0.25">
      <c r="B28" s="430">
        <v>44</v>
      </c>
      <c r="C28" s="58">
        <f t="shared" si="31"/>
        <v>7155.8358995833341</v>
      </c>
      <c r="D28" s="58">
        <f t="shared" si="0"/>
        <v>11919.16576</v>
      </c>
      <c r="E28" s="58" t="e">
        <f t="shared" ca="1" si="53"/>
        <v>#NAME?</v>
      </c>
      <c r="F28" s="65" t="e">
        <f t="shared" ca="1" si="32"/>
        <v>#NAME?</v>
      </c>
      <c r="G28" s="65">
        <f t="shared" si="33"/>
        <v>67.535062331344008</v>
      </c>
      <c r="H28" s="58">
        <f t="shared" si="34"/>
        <v>10279</v>
      </c>
      <c r="I28" s="58">
        <f t="shared" si="35"/>
        <v>34906516.583333336</v>
      </c>
      <c r="J28" s="203">
        <f t="shared" si="36"/>
        <v>308.19565086300003</v>
      </c>
      <c r="L28" s="637"/>
      <c r="M28" s="46" t="s">
        <v>172</v>
      </c>
      <c r="N28" s="538">
        <f>VLOOKUP($B28,'Core Demand'!$B$8:$E$36,MATCH(N$8,'Core Demand'!$B$8:$E$8,0),FALSE)</f>
        <v>1502.6180400000001</v>
      </c>
      <c r="O28" s="146" t="s">
        <v>91</v>
      </c>
      <c r="P28" s="146" t="s">
        <v>93</v>
      </c>
      <c r="Q28" s="146">
        <v>245</v>
      </c>
      <c r="R28" s="146">
        <v>400</v>
      </c>
      <c r="S28" s="146">
        <v>250</v>
      </c>
      <c r="T28" s="146">
        <v>250</v>
      </c>
      <c r="U28" s="279">
        <v>6</v>
      </c>
      <c r="V28" s="146" t="s">
        <v>95</v>
      </c>
      <c r="W28" s="146">
        <v>280</v>
      </c>
      <c r="X28" s="146">
        <v>280</v>
      </c>
      <c r="Y28" s="146">
        <v>19</v>
      </c>
      <c r="Z28" s="279">
        <v>19</v>
      </c>
      <c r="AA28" s="146" t="s">
        <v>95</v>
      </c>
      <c r="AB28" s="146" t="s">
        <v>166</v>
      </c>
      <c r="AC28" s="153">
        <v>308.19565086300003</v>
      </c>
      <c r="AD28" s="153">
        <v>465.39611707500001</v>
      </c>
      <c r="AE28" s="146">
        <v>208</v>
      </c>
      <c r="AF28" s="146">
        <v>208</v>
      </c>
      <c r="AG28" s="146">
        <v>19</v>
      </c>
      <c r="AH28" s="146">
        <v>19</v>
      </c>
      <c r="AI28" s="146">
        <v>190</v>
      </c>
      <c r="AJ28" s="299">
        <v>190</v>
      </c>
      <c r="AL28" s="309" t="str">
        <f t="shared" si="37"/>
        <v>RHS</v>
      </c>
      <c r="AM28" s="90">
        <f t="shared" si="38"/>
        <v>250</v>
      </c>
      <c r="AN28" s="90">
        <f t="shared" si="39"/>
        <v>250</v>
      </c>
      <c r="AO28" s="316">
        <f t="shared" si="40"/>
        <v>6</v>
      </c>
      <c r="AP28" s="21">
        <f t="shared" si="41"/>
        <v>58142272</v>
      </c>
      <c r="AQ28" s="306">
        <f t="shared" si="2"/>
        <v>11919.16576</v>
      </c>
      <c r="AR28" s="281"/>
      <c r="AS28" s="309" t="str">
        <f t="shared" si="42"/>
        <v>Cruciform</v>
      </c>
      <c r="AT28" s="90">
        <f t="shared" si="55"/>
        <v>280</v>
      </c>
      <c r="AU28" s="90">
        <f t="shared" si="56"/>
        <v>280</v>
      </c>
      <c r="AV28" s="90">
        <f t="shared" si="57"/>
        <v>19</v>
      </c>
      <c r="AW28" s="316">
        <f t="shared" si="58"/>
        <v>19</v>
      </c>
      <c r="AX28" s="58">
        <f t="shared" si="4"/>
        <v>10279</v>
      </c>
      <c r="AY28" s="21">
        <f t="shared" si="43"/>
        <v>34906516.583333336</v>
      </c>
      <c r="AZ28" s="306">
        <f t="shared" si="5"/>
        <v>7155.8358995833341</v>
      </c>
      <c r="BA28" s="281"/>
      <c r="BB28" s="309" t="str">
        <f t="shared" si="6"/>
        <v>RHS</v>
      </c>
      <c r="BC28" s="86">
        <f t="shared" si="7"/>
        <v>400</v>
      </c>
      <c r="BD28" s="90">
        <f t="shared" si="8"/>
        <v>250</v>
      </c>
      <c r="BE28" s="90">
        <f t="shared" si="9"/>
        <v>6</v>
      </c>
      <c r="BF28" s="90">
        <f t="shared" si="10"/>
        <v>208</v>
      </c>
      <c r="BG28" s="90">
        <f t="shared" si="11"/>
        <v>208</v>
      </c>
      <c r="BH28" s="316">
        <f t="shared" si="54"/>
        <v>190</v>
      </c>
      <c r="BI28" s="90">
        <v>0</v>
      </c>
      <c r="BJ28" s="90"/>
      <c r="BK28" s="316"/>
      <c r="BL28" s="86">
        <f t="array" ref="BL28:BO28">IF(BB28="RHS",val_Kr_RHS(BD28/10^3,BE28/10^3,BG28/10^3,BH28/10^3,BC28*10^3,BJ$10/10^3,BK$10/10^3,BI$10*10^3,$BM$5*10^3),IF(BB28="CHS",val_Kr_CHS(BD28/10^3,BE28/10^3,BG28/10^3,BH28/10^3,BC28*10^3,BJ$10/10^3,BK$10/10^3,BI$10*10^3,$BM$5*10^3),#N/A))</f>
        <v>46666.977814147431</v>
      </c>
      <c r="BM28" s="333">
        <v>1.2304463996183753E-4</v>
      </c>
      <c r="BN28" s="86">
        <v>787.05289891818006</v>
      </c>
      <c r="BO28" s="333">
        <v>1.1980408313550808E-2</v>
      </c>
      <c r="BP28" s="89" t="e">
        <f t="array" aca="1" ref="BP28:BT28" ca="1">IF(BB28="RHS",Mp_RHS(BD28,BE28,BG28,BH28,BC28,BJ28,BK28,BI28),IF(BB28="CHS",Mp_CHS(BD28,BE28,BG28,BH28,BC28,BJ28,BK28,BI28),#N/A))/10^6</f>
        <v>#NAME?</v>
      </c>
      <c r="BQ28" s="89" t="e">
        <f ca="1"/>
        <v>#NAME?</v>
      </c>
      <c r="BR28" s="86" t="e">
        <f ca="1"/>
        <v>#NAME?</v>
      </c>
      <c r="BS28" s="89" t="e">
        <f ca="1"/>
        <v>#NAME?</v>
      </c>
      <c r="BT28" s="89" t="e">
        <f ca="1"/>
        <v>#NAME?</v>
      </c>
      <c r="BU28" s="65" t="e">
        <f t="shared" ca="1" si="44"/>
        <v>#NAME?</v>
      </c>
      <c r="BV28" s="108" t="s">
        <v>532</v>
      </c>
      <c r="BW28" s="58" t="e">
        <f t="shared" ca="1" si="45"/>
        <v>#NAME?</v>
      </c>
      <c r="BX28" s="281"/>
      <c r="BY28" s="86">
        <f t="shared" si="13"/>
        <v>308.19565086300003</v>
      </c>
      <c r="BZ28" s="93">
        <f t="shared" si="14"/>
        <v>1.5100671140939597</v>
      </c>
      <c r="CA28" s="90">
        <f t="shared" si="15"/>
        <v>208</v>
      </c>
      <c r="CB28" s="90">
        <f t="shared" si="16"/>
        <v>208</v>
      </c>
      <c r="CC28" s="90">
        <f t="shared" si="17"/>
        <v>19</v>
      </c>
      <c r="CD28" s="316">
        <f t="shared" si="18"/>
        <v>19</v>
      </c>
      <c r="CE28" s="86">
        <f t="shared" si="19"/>
        <v>1502.6180400000001</v>
      </c>
      <c r="CF28" s="21">
        <f t="shared" si="20"/>
        <v>7543</v>
      </c>
      <c r="CG28" s="257">
        <f t="shared" si="21"/>
        <v>138041.40945512822</v>
      </c>
      <c r="CH28" s="21">
        <f t="shared" si="22"/>
        <v>222561.25</v>
      </c>
      <c r="CI28" s="81">
        <f t="shared" si="46"/>
        <v>0.64636522800774354</v>
      </c>
      <c r="CJ28" s="81">
        <f t="shared" si="23"/>
        <v>0.52392947103274556</v>
      </c>
      <c r="CK28" s="137">
        <f t="shared" si="24"/>
        <v>42.543762033069129</v>
      </c>
      <c r="CL28" s="206">
        <f t="shared" si="47"/>
        <v>0.35363477199225646</v>
      </c>
      <c r="CM28" s="140">
        <f t="shared" si="48"/>
        <v>15.044953586257218</v>
      </c>
      <c r="CN28" s="137">
        <f t="shared" si="49"/>
        <v>68.592409300632866</v>
      </c>
      <c r="CO28" s="206">
        <f t="shared" si="50"/>
        <v>0.69283227050677232</v>
      </c>
      <c r="CP28" s="140">
        <f t="shared" si="51"/>
        <v>47.523034675287313</v>
      </c>
      <c r="CQ28" s="206">
        <f t="shared" si="25"/>
        <v>0.9338585142243695</v>
      </c>
      <c r="CR28" s="140">
        <f t="shared" si="26"/>
        <v>64.055605436558835</v>
      </c>
      <c r="CS28" s="206">
        <f t="shared" si="27"/>
        <v>0.98458507318711275</v>
      </c>
      <c r="CT28" s="140">
        <f t="shared" si="28"/>
        <v>67.535062331344008</v>
      </c>
      <c r="CU28" s="206">
        <f t="shared" si="29"/>
        <v>0.82580928730944148</v>
      </c>
      <c r="CV28" s="278">
        <f t="shared" si="30"/>
        <v>56.644248639393133</v>
      </c>
      <c r="CW28" s="352" t="s">
        <v>525</v>
      </c>
      <c r="CX28" s="140">
        <f t="shared" si="52"/>
        <v>67.535062331344008</v>
      </c>
    </row>
    <row r="29" spans="2:102" ht="15.75" thickBot="1" x14ac:dyDescent="0.3">
      <c r="B29" s="429">
        <v>45</v>
      </c>
      <c r="C29" s="19">
        <f t="shared" ref="C29" si="59">AZ29</f>
        <v>7155.8358995833341</v>
      </c>
      <c r="D29" s="19">
        <f t="shared" si="0"/>
        <v>11919.16576</v>
      </c>
      <c r="E29" s="19" t="e">
        <f t="shared" ref="E29" ca="1" si="60">BW29</f>
        <v>#NAME?</v>
      </c>
      <c r="F29" s="17" t="e">
        <f t="shared" ref="F29" ca="1" si="61">BU29</f>
        <v>#NAME?</v>
      </c>
      <c r="G29" s="17">
        <f t="shared" si="33"/>
        <v>67.535062331344008</v>
      </c>
      <c r="H29" s="19">
        <f t="shared" si="34"/>
        <v>10279</v>
      </c>
      <c r="I29" s="19">
        <f t="shared" si="35"/>
        <v>34906516.583333336</v>
      </c>
      <c r="J29" s="204">
        <f t="shared" si="36"/>
        <v>308.19565086300003</v>
      </c>
      <c r="L29" s="638"/>
      <c r="M29" s="44" t="s">
        <v>86</v>
      </c>
      <c r="N29" s="538">
        <f>VLOOKUP($B29,'Core Demand'!$B$8:$E$36,MATCH(N$8,'Core Demand'!$B$8:$E$8,0),FALSE)</f>
        <v>1502.6180400000001</v>
      </c>
      <c r="O29" s="302" t="s">
        <v>91</v>
      </c>
      <c r="P29" s="302" t="s">
        <v>93</v>
      </c>
      <c r="Q29" s="302">
        <v>245</v>
      </c>
      <c r="R29" s="302">
        <v>400</v>
      </c>
      <c r="S29" s="302">
        <v>250</v>
      </c>
      <c r="T29" s="302">
        <v>250</v>
      </c>
      <c r="U29" s="303">
        <v>6</v>
      </c>
      <c r="V29" s="302" t="s">
        <v>95</v>
      </c>
      <c r="W29" s="302">
        <v>280</v>
      </c>
      <c r="X29" s="302">
        <v>280</v>
      </c>
      <c r="Y29" s="302">
        <v>19</v>
      </c>
      <c r="Z29" s="303">
        <v>19</v>
      </c>
      <c r="AA29" s="302" t="s">
        <v>95</v>
      </c>
      <c r="AB29" s="302" t="s">
        <v>166</v>
      </c>
      <c r="AC29" s="304">
        <v>308.19565086300003</v>
      </c>
      <c r="AD29" s="304">
        <v>465.39611707500001</v>
      </c>
      <c r="AE29" s="302">
        <v>208</v>
      </c>
      <c r="AF29" s="302">
        <v>208</v>
      </c>
      <c r="AG29" s="302">
        <v>19</v>
      </c>
      <c r="AH29" s="302">
        <v>19</v>
      </c>
      <c r="AI29" s="302">
        <v>190</v>
      </c>
      <c r="AJ29" s="305">
        <v>190</v>
      </c>
      <c r="AL29" s="310" t="str">
        <f t="shared" si="37"/>
        <v>RHS</v>
      </c>
      <c r="AM29" s="311">
        <f t="shared" si="38"/>
        <v>250</v>
      </c>
      <c r="AN29" s="311">
        <f t="shared" si="39"/>
        <v>250</v>
      </c>
      <c r="AO29" s="319">
        <f t="shared" si="40"/>
        <v>6</v>
      </c>
      <c r="AP29" s="252">
        <f t="shared" si="41"/>
        <v>58142272</v>
      </c>
      <c r="AQ29" s="308">
        <f t="shared" si="2"/>
        <v>11919.16576</v>
      </c>
      <c r="AR29" s="281"/>
      <c r="AS29" s="310" t="str">
        <f t="shared" si="42"/>
        <v>Cruciform</v>
      </c>
      <c r="AT29" s="311">
        <f t="shared" si="55"/>
        <v>280</v>
      </c>
      <c r="AU29" s="311">
        <f t="shared" si="56"/>
        <v>280</v>
      </c>
      <c r="AV29" s="311">
        <f t="shared" si="57"/>
        <v>19</v>
      </c>
      <c r="AW29" s="319">
        <f t="shared" si="58"/>
        <v>19</v>
      </c>
      <c r="AX29" s="201">
        <f t="shared" si="4"/>
        <v>10279</v>
      </c>
      <c r="AY29" s="252">
        <f t="shared" si="43"/>
        <v>34906516.583333336</v>
      </c>
      <c r="AZ29" s="308">
        <f t="shared" si="5"/>
        <v>7155.8358995833341</v>
      </c>
      <c r="BA29" s="281"/>
      <c r="BB29" s="312" t="str">
        <f t="shared" si="6"/>
        <v>RHS</v>
      </c>
      <c r="BC29" s="18">
        <f t="shared" si="7"/>
        <v>400</v>
      </c>
      <c r="BD29" s="11">
        <f t="shared" si="8"/>
        <v>250</v>
      </c>
      <c r="BE29" s="11">
        <f t="shared" si="9"/>
        <v>6</v>
      </c>
      <c r="BF29" s="11">
        <f t="shared" si="10"/>
        <v>208</v>
      </c>
      <c r="BG29" s="11">
        <f t="shared" si="11"/>
        <v>208</v>
      </c>
      <c r="BH29" s="317">
        <f t="shared" si="54"/>
        <v>190</v>
      </c>
      <c r="BI29" s="11">
        <v>0</v>
      </c>
      <c r="BJ29" s="11"/>
      <c r="BK29" s="317"/>
      <c r="BL29" s="86">
        <f t="array" ref="BL29:BO29">IF(BB29="RHS",val_Kr_RHS(BD29/10^3,BE29/10^3,BG29/10^3,BH29/10^3,BC29*10^3,BJ$10/10^3,BK$10/10^3,BI$10*10^3,$BM$5*10^3),IF(BB29="CHS",val_Kr_CHS(BD29/10^3,BE29/10^3,BG29/10^3,BH29/10^3,BC29*10^3,BJ$10/10^3,BK$10/10^3,BI$10*10^3,$BM$5*10^3),#N/A))</f>
        <v>46666.977814147431</v>
      </c>
      <c r="BM29" s="333">
        <v>1.2304463996183753E-4</v>
      </c>
      <c r="BN29" s="86">
        <v>787.05289891818006</v>
      </c>
      <c r="BO29" s="333">
        <v>1.1980408313550808E-2</v>
      </c>
      <c r="BP29" s="14" t="e">
        <f t="array" aca="1" ref="BP29:BT29" ca="1">IF(BB29="RHS",Mp_RHS(BD29,BE29,BG29,BH29,BC29,BJ29,BK29,BI29),IF(BB29="CHS",Mp_CHS(BD29,BE29,BG29,BH29,BC29,BJ29,BK29,BI29),#N/A))/10^6</f>
        <v>#NAME?</v>
      </c>
      <c r="BQ29" s="14" t="e">
        <f ca="1"/>
        <v>#NAME?</v>
      </c>
      <c r="BR29" s="18" t="e">
        <f ca="1"/>
        <v>#NAME?</v>
      </c>
      <c r="BS29" s="14" t="e">
        <f ca="1"/>
        <v>#NAME?</v>
      </c>
      <c r="BT29" s="14" t="e">
        <f ca="1"/>
        <v>#NAME?</v>
      </c>
      <c r="BU29" s="17" t="e">
        <f t="shared" ca="1" si="44"/>
        <v>#NAME?</v>
      </c>
      <c r="BV29" s="111" t="s">
        <v>532</v>
      </c>
      <c r="BW29" s="19" t="e">
        <f t="shared" ca="1" si="45"/>
        <v>#NAME?</v>
      </c>
      <c r="BX29" s="281"/>
      <c r="BY29" s="18">
        <f t="shared" si="13"/>
        <v>308.19565086300003</v>
      </c>
      <c r="BZ29" s="105">
        <f t="shared" si="14"/>
        <v>1.5100671140939597</v>
      </c>
      <c r="CA29" s="11">
        <f t="shared" si="15"/>
        <v>208</v>
      </c>
      <c r="CB29" s="11">
        <f t="shared" si="16"/>
        <v>208</v>
      </c>
      <c r="CC29" s="11">
        <f t="shared" si="17"/>
        <v>19</v>
      </c>
      <c r="CD29" s="317">
        <f t="shared" si="18"/>
        <v>19</v>
      </c>
      <c r="CE29" s="18">
        <f t="shared" si="19"/>
        <v>1502.6180400000001</v>
      </c>
      <c r="CF29" s="10">
        <f t="shared" si="20"/>
        <v>7543</v>
      </c>
      <c r="CG29" s="258">
        <f t="shared" si="21"/>
        <v>138041.40945512822</v>
      </c>
      <c r="CH29" s="10">
        <f t="shared" si="22"/>
        <v>222561.25</v>
      </c>
      <c r="CI29" s="53">
        <f t="shared" si="46"/>
        <v>0.64636522800774354</v>
      </c>
      <c r="CJ29" s="53">
        <f t="shared" si="23"/>
        <v>0.52392947103274556</v>
      </c>
      <c r="CK29" s="283">
        <f t="shared" si="24"/>
        <v>42.543762033069129</v>
      </c>
      <c r="CL29" s="207">
        <f t="shared" si="47"/>
        <v>0.35363477199225646</v>
      </c>
      <c r="CM29" s="119">
        <f t="shared" si="48"/>
        <v>15.044953586257218</v>
      </c>
      <c r="CN29" s="283">
        <f t="shared" si="49"/>
        <v>68.592409300632866</v>
      </c>
      <c r="CO29" s="207">
        <f t="shared" si="50"/>
        <v>0.69283227050677232</v>
      </c>
      <c r="CP29" s="119">
        <f t="shared" si="51"/>
        <v>47.523034675287313</v>
      </c>
      <c r="CQ29" s="207">
        <f t="shared" si="25"/>
        <v>0.9338585142243695</v>
      </c>
      <c r="CR29" s="119">
        <f t="shared" si="26"/>
        <v>64.055605436558835</v>
      </c>
      <c r="CS29" s="207">
        <f t="shared" si="27"/>
        <v>0.98458507318711275</v>
      </c>
      <c r="CT29" s="119">
        <f t="shared" si="28"/>
        <v>67.535062331344008</v>
      </c>
      <c r="CU29" s="207">
        <f t="shared" si="29"/>
        <v>0.82580928730944148</v>
      </c>
      <c r="CV29" s="284">
        <f t="shared" si="30"/>
        <v>56.644248639393133</v>
      </c>
      <c r="CW29" s="579" t="s">
        <v>525</v>
      </c>
      <c r="CX29" s="119">
        <f t="shared" si="52"/>
        <v>67.535062331344008</v>
      </c>
    </row>
    <row r="30" spans="2:102" ht="15" customHeight="1" x14ac:dyDescent="0.25">
      <c r="B30" s="430">
        <v>46</v>
      </c>
      <c r="C30" s="58">
        <f>C24</f>
        <v>7155.8358995833341</v>
      </c>
      <c r="D30" s="58">
        <f t="shared" ref="D30:F30" si="62">D24</f>
        <v>11919.16576</v>
      </c>
      <c r="E30" s="58" t="e">
        <f t="shared" ca="1" si="62"/>
        <v>#NAME?</v>
      </c>
      <c r="F30" s="65" t="e">
        <f t="shared" ca="1" si="62"/>
        <v>#NAME?</v>
      </c>
      <c r="G30" s="65">
        <f t="shared" si="33"/>
        <v>0</v>
      </c>
      <c r="H30" s="58">
        <f t="shared" si="34"/>
        <v>0</v>
      </c>
      <c r="I30" s="58">
        <f t="shared" si="35"/>
        <v>0</v>
      </c>
      <c r="J30" s="58">
        <f t="shared" si="36"/>
        <v>0</v>
      </c>
      <c r="L30" s="636" t="s">
        <v>520</v>
      </c>
      <c r="AL30" s="46"/>
      <c r="AM30" s="46"/>
      <c r="AN30" s="46"/>
      <c r="AO30" s="46"/>
      <c r="AR30" s="281"/>
      <c r="AS30" s="281"/>
      <c r="AT30" s="281"/>
      <c r="AU30" s="281"/>
      <c r="AV30" s="281"/>
      <c r="AW30" s="281"/>
      <c r="AX30" s="587"/>
      <c r="AY30" s="281"/>
      <c r="AZ30" s="281"/>
      <c r="BA30" s="281"/>
      <c r="BC30" s="326"/>
      <c r="BD30" s="326"/>
      <c r="BE30" s="326"/>
      <c r="BF30" s="326"/>
      <c r="BG30" s="326"/>
      <c r="BH30" s="326"/>
      <c r="BQ30" s="281"/>
      <c r="BR30" s="281"/>
      <c r="BS30" s="281"/>
      <c r="BT30" s="281"/>
      <c r="BX30" s="326"/>
      <c r="BY30" s="326"/>
      <c r="CA30" s="326"/>
      <c r="CB30" s="326"/>
      <c r="CC30" s="326"/>
      <c r="CD30" s="326"/>
      <c r="CE30" s="326"/>
      <c r="CF30" s="326"/>
      <c r="CG30" s="326"/>
      <c r="CH30" s="326"/>
      <c r="CI30" s="326"/>
      <c r="CJ30" s="326"/>
      <c r="CK30" s="326"/>
      <c r="CL30" s="326"/>
      <c r="CM30" s="326"/>
      <c r="CN30" s="326"/>
      <c r="CO30" s="326"/>
      <c r="CP30" s="326"/>
      <c r="CQ30" s="326"/>
      <c r="CR30" s="326"/>
      <c r="CS30" s="326"/>
      <c r="CT30" s="326"/>
      <c r="CU30" s="326"/>
    </row>
    <row r="31" spans="2:102" x14ac:dyDescent="0.25">
      <c r="B31" s="430">
        <v>47</v>
      </c>
      <c r="C31" s="58">
        <f t="shared" ref="C31:F35" si="63">C25</f>
        <v>7155.8358995833341</v>
      </c>
      <c r="D31" s="58">
        <f t="shared" si="63"/>
        <v>11919.16576</v>
      </c>
      <c r="E31" s="58" t="e">
        <f t="shared" ca="1" si="63"/>
        <v>#NAME?</v>
      </c>
      <c r="F31" s="65" t="e">
        <f t="shared" ca="1" si="63"/>
        <v>#NAME?</v>
      </c>
      <c r="G31" s="65">
        <f t="shared" si="33"/>
        <v>0</v>
      </c>
      <c r="H31" s="58">
        <f t="shared" si="34"/>
        <v>0</v>
      </c>
      <c r="I31" s="58">
        <f t="shared" si="35"/>
        <v>0</v>
      </c>
      <c r="J31" s="58">
        <f t="shared" si="36"/>
        <v>0</v>
      </c>
      <c r="L31" s="637"/>
      <c r="AL31" s="46"/>
      <c r="AM31" s="46"/>
      <c r="AN31" s="46"/>
      <c r="AO31" s="46"/>
      <c r="AR31" s="281"/>
      <c r="AS31" s="281"/>
      <c r="AT31" s="281"/>
      <c r="AU31" s="281"/>
      <c r="AV31" s="281"/>
      <c r="AW31" s="281"/>
      <c r="AX31" s="587"/>
      <c r="AY31" s="281"/>
      <c r="AZ31" s="281"/>
      <c r="BA31" s="281"/>
      <c r="BC31" s="326"/>
      <c r="BD31" s="326"/>
      <c r="BE31" s="326"/>
      <c r="BF31" s="326"/>
      <c r="BG31" s="326"/>
      <c r="BH31" s="326"/>
      <c r="BQ31" s="281"/>
      <c r="BR31" s="281"/>
      <c r="BS31" s="281"/>
      <c r="BT31" s="281"/>
    </row>
    <row r="32" spans="2:102" x14ac:dyDescent="0.25">
      <c r="B32" s="430">
        <v>48</v>
      </c>
      <c r="C32" s="58">
        <f t="shared" si="63"/>
        <v>7155.8358995833341</v>
      </c>
      <c r="D32" s="58">
        <f t="shared" si="63"/>
        <v>11919.16576</v>
      </c>
      <c r="E32" s="58" t="e">
        <f t="shared" ca="1" si="63"/>
        <v>#NAME?</v>
      </c>
      <c r="F32" s="65" t="e">
        <f t="shared" ca="1" si="63"/>
        <v>#NAME?</v>
      </c>
      <c r="G32" s="65">
        <f t="shared" si="33"/>
        <v>0</v>
      </c>
      <c r="H32" s="58">
        <f t="shared" si="34"/>
        <v>0</v>
      </c>
      <c r="I32" s="58">
        <f t="shared" si="35"/>
        <v>0</v>
      </c>
      <c r="J32" s="58">
        <f t="shared" si="36"/>
        <v>0</v>
      </c>
      <c r="L32" s="637"/>
      <c r="AL32" s="46"/>
      <c r="AM32" s="46"/>
      <c r="AN32" s="46"/>
      <c r="AO32" s="46"/>
      <c r="AR32" s="281"/>
      <c r="AS32" s="281"/>
      <c r="AT32" s="281"/>
      <c r="AU32" s="281"/>
      <c r="AV32" s="281"/>
      <c r="AW32" s="281"/>
      <c r="AX32" s="587"/>
      <c r="AY32" s="281"/>
      <c r="AZ32" s="281"/>
      <c r="BA32" s="281"/>
      <c r="BC32" s="326"/>
      <c r="BD32" s="326"/>
      <c r="BE32" s="326"/>
      <c r="BF32" s="326"/>
      <c r="BG32" s="326"/>
      <c r="BH32" s="326"/>
      <c r="BQ32" s="281"/>
      <c r="BR32" s="281"/>
      <c r="BS32" s="281"/>
      <c r="BT32" s="281"/>
      <c r="CA32" s="326"/>
    </row>
    <row r="33" spans="2:94" x14ac:dyDescent="0.25">
      <c r="B33" s="430">
        <v>49</v>
      </c>
      <c r="C33" s="58">
        <f t="shared" si="63"/>
        <v>7155.8358995833341</v>
      </c>
      <c r="D33" s="58">
        <f t="shared" si="63"/>
        <v>11919.16576</v>
      </c>
      <c r="E33" s="58" t="e">
        <f t="shared" ca="1" si="63"/>
        <v>#NAME?</v>
      </c>
      <c r="F33" s="65" t="e">
        <f t="shared" ca="1" si="63"/>
        <v>#NAME?</v>
      </c>
      <c r="G33" s="65">
        <f t="shared" si="33"/>
        <v>0</v>
      </c>
      <c r="H33" s="58">
        <f t="shared" si="34"/>
        <v>0</v>
      </c>
      <c r="I33" s="58">
        <f t="shared" si="35"/>
        <v>0</v>
      </c>
      <c r="J33" s="58">
        <f t="shared" si="36"/>
        <v>0</v>
      </c>
      <c r="L33" s="637"/>
      <c r="AL33" s="46"/>
      <c r="AM33" s="46"/>
      <c r="AN33" s="46"/>
      <c r="AO33" s="46"/>
      <c r="AP33" s="326"/>
      <c r="AQ33" s="326"/>
      <c r="AR33" s="281"/>
      <c r="AS33" s="281"/>
      <c r="AT33" s="281"/>
      <c r="AU33" s="281"/>
      <c r="AV33" s="281"/>
      <c r="AW33" s="281"/>
      <c r="AX33" s="587"/>
      <c r="AY33" s="281"/>
      <c r="AZ33" s="281"/>
      <c r="BA33" s="281"/>
      <c r="BB33" s="326"/>
      <c r="BC33" s="326"/>
      <c r="BD33" s="326"/>
      <c r="BE33" s="326"/>
      <c r="BF33" s="326"/>
      <c r="BG33" s="326"/>
      <c r="BH33" s="326"/>
      <c r="BQ33" s="281"/>
      <c r="BR33" s="281"/>
      <c r="BS33" s="281"/>
      <c r="BT33" s="281"/>
      <c r="BU33" s="326"/>
      <c r="BW33" s="326"/>
      <c r="CA33" s="326"/>
    </row>
    <row r="34" spans="2:94" x14ac:dyDescent="0.25">
      <c r="B34" s="430">
        <v>50</v>
      </c>
      <c r="C34" s="58">
        <f t="shared" si="63"/>
        <v>7155.8358995833341</v>
      </c>
      <c r="D34" s="58">
        <f t="shared" si="63"/>
        <v>11919.16576</v>
      </c>
      <c r="E34" s="58" t="e">
        <f t="shared" ca="1" si="63"/>
        <v>#NAME?</v>
      </c>
      <c r="F34" s="65" t="e">
        <f t="shared" ca="1" si="63"/>
        <v>#NAME?</v>
      </c>
      <c r="G34" s="65">
        <f t="shared" si="33"/>
        <v>0</v>
      </c>
      <c r="H34" s="58">
        <f t="shared" si="34"/>
        <v>0</v>
      </c>
      <c r="I34" s="58">
        <f t="shared" si="35"/>
        <v>0</v>
      </c>
      <c r="J34" s="58">
        <f t="shared" si="36"/>
        <v>0</v>
      </c>
      <c r="L34" s="637"/>
      <c r="AI34" s="1"/>
      <c r="AJ34" s="1"/>
      <c r="AL34" s="1"/>
      <c r="AM34" s="1"/>
      <c r="AN34" s="1"/>
      <c r="AO34" s="1"/>
      <c r="AX34" s="339"/>
      <c r="BB34" s="326"/>
      <c r="BC34" s="326"/>
      <c r="BD34" s="326"/>
      <c r="BE34" s="326"/>
      <c r="BF34" s="326"/>
      <c r="BG34" s="326"/>
      <c r="BH34" s="326"/>
      <c r="CA34" s="326"/>
    </row>
    <row r="35" spans="2:94" x14ac:dyDescent="0.25">
      <c r="B35" s="429">
        <v>51</v>
      </c>
      <c r="C35" s="19">
        <f t="shared" si="63"/>
        <v>7155.8358995833341</v>
      </c>
      <c r="D35" s="19">
        <f t="shared" si="63"/>
        <v>11919.16576</v>
      </c>
      <c r="E35" s="19" t="e">
        <f t="shared" ca="1" si="63"/>
        <v>#NAME?</v>
      </c>
      <c r="F35" s="17" t="e">
        <f t="shared" ca="1" si="63"/>
        <v>#NAME?</v>
      </c>
      <c r="G35" s="17">
        <f t="shared" si="33"/>
        <v>0</v>
      </c>
      <c r="H35" s="19">
        <f t="shared" si="34"/>
        <v>0</v>
      </c>
      <c r="I35" s="19">
        <f t="shared" si="35"/>
        <v>0</v>
      </c>
      <c r="J35" s="19">
        <f t="shared" si="36"/>
        <v>0</v>
      </c>
      <c r="L35" s="638"/>
      <c r="AI35" s="1"/>
      <c r="AJ35" s="1"/>
      <c r="AK35" s="1"/>
      <c r="AL35" s="1"/>
      <c r="AM35" s="1"/>
      <c r="AN35" s="1"/>
      <c r="AO35" s="1"/>
      <c r="AX35" s="339"/>
      <c r="BB35" s="326"/>
      <c r="BC35" s="326"/>
      <c r="BD35" s="326"/>
      <c r="BE35" s="326"/>
      <c r="BF35" s="326"/>
      <c r="BG35" s="326"/>
      <c r="BH35" s="326"/>
      <c r="BQ35" s="332"/>
      <c r="BR35" s="332"/>
      <c r="BS35" s="332"/>
      <c r="BT35" s="332"/>
      <c r="CA35" s="326"/>
    </row>
    <row r="36" spans="2:94" x14ac:dyDescent="0.25">
      <c r="B36" s="429"/>
      <c r="C36" s="19"/>
      <c r="D36" s="19"/>
      <c r="E36" s="19"/>
      <c r="F36" s="17"/>
      <c r="G36" s="17"/>
      <c r="H36" s="17"/>
      <c r="I36" s="17"/>
      <c r="J36" s="282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X36" s="339"/>
      <c r="CA36" s="326"/>
      <c r="CI36" s="1"/>
      <c r="CJ36" s="1"/>
      <c r="CK36" s="1"/>
      <c r="CL36" s="1"/>
      <c r="CM36" s="1"/>
      <c r="CN36" s="1"/>
      <c r="CO36" s="1"/>
      <c r="CP36" s="1"/>
    </row>
    <row r="37" spans="2:94" x14ac:dyDescent="0.25"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CI37" s="1"/>
      <c r="CJ37" s="1"/>
      <c r="CK37" s="1"/>
      <c r="CL37" s="1"/>
      <c r="CM37" s="1"/>
      <c r="CN37" s="1"/>
      <c r="CO37" s="1"/>
      <c r="CP37" s="1"/>
    </row>
    <row r="38" spans="2:94" x14ac:dyDescent="0.25"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CI38" s="1"/>
      <c r="CJ38" s="1"/>
      <c r="CK38" s="1"/>
      <c r="CL38" s="1"/>
      <c r="CM38" s="1"/>
      <c r="CN38" s="1"/>
      <c r="CO38" s="1"/>
      <c r="CP38" s="1"/>
    </row>
    <row r="39" spans="2:94" x14ac:dyDescent="0.25"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BB39" s="326"/>
      <c r="BC39" s="326"/>
      <c r="BD39" s="326"/>
      <c r="BE39" s="326"/>
      <c r="BF39" s="326"/>
      <c r="BG39" s="326"/>
      <c r="BH39" s="326"/>
      <c r="BU39" s="326"/>
      <c r="BW39" s="326"/>
      <c r="BX39" s="326"/>
      <c r="CI39" s="1"/>
      <c r="CJ39" s="1"/>
      <c r="CK39" s="1"/>
      <c r="CL39" s="1"/>
      <c r="CM39" s="1"/>
      <c r="CN39" s="1"/>
      <c r="CO39" s="1"/>
      <c r="CP39" s="1"/>
    </row>
    <row r="40" spans="2:94" x14ac:dyDescent="0.25"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BB40" s="326"/>
      <c r="BC40" s="326"/>
      <c r="BD40" s="326"/>
      <c r="BE40" s="326"/>
      <c r="BF40" s="326"/>
      <c r="BG40" s="326"/>
      <c r="BH40" s="326"/>
      <c r="BU40" s="326"/>
      <c r="BW40" s="326"/>
      <c r="BX40" s="326"/>
      <c r="CI40" s="1"/>
      <c r="CJ40" s="1"/>
      <c r="CK40" s="1"/>
      <c r="CL40" s="1"/>
      <c r="CM40" s="1"/>
      <c r="CN40" s="1"/>
      <c r="CO40" s="1"/>
      <c r="CP40" s="1"/>
    </row>
    <row r="41" spans="2:94" x14ac:dyDescent="0.25"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CI41" s="1"/>
      <c r="CJ41" s="1"/>
      <c r="CK41" s="1"/>
      <c r="CL41" s="1"/>
      <c r="CM41" s="1"/>
      <c r="CN41" s="1"/>
      <c r="CO41" s="1"/>
      <c r="CP41" s="1"/>
    </row>
    <row r="42" spans="2:94" x14ac:dyDescent="0.25"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CI42" s="1"/>
      <c r="CJ42" s="1"/>
      <c r="CK42" s="1"/>
      <c r="CL42" s="1"/>
      <c r="CM42" s="1"/>
      <c r="CN42" s="1"/>
      <c r="CO42" s="1"/>
      <c r="CP42" s="1"/>
    </row>
    <row r="43" spans="2:94" x14ac:dyDescent="0.25"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CI43" s="1"/>
      <c r="CJ43" s="1"/>
      <c r="CK43" s="1"/>
      <c r="CL43" s="1"/>
      <c r="CM43" s="1"/>
      <c r="CN43" s="1"/>
      <c r="CO43" s="1"/>
      <c r="CP43" s="1"/>
    </row>
    <row r="44" spans="2:94" x14ac:dyDescent="0.25"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CI44" s="1"/>
      <c r="CJ44" s="1"/>
      <c r="CK44" s="1"/>
      <c r="CL44" s="1"/>
      <c r="CM44" s="1"/>
      <c r="CN44" s="1"/>
      <c r="CO44" s="1"/>
      <c r="CP44" s="1"/>
    </row>
    <row r="45" spans="2:94" x14ac:dyDescent="0.25"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2:94" x14ac:dyDescent="0.25"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2:94" x14ac:dyDescent="0.25"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2:94" x14ac:dyDescent="0.25"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27:41" x14ac:dyDescent="0.25"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27:41" x14ac:dyDescent="0.25"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27:41" x14ac:dyDescent="0.25"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27:41" x14ac:dyDescent="0.25"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27:41" x14ac:dyDescent="0.25"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27:41" x14ac:dyDescent="0.25"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27:41" x14ac:dyDescent="0.25"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27:41" x14ac:dyDescent="0.25"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27:41" x14ac:dyDescent="0.25"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27:41" x14ac:dyDescent="0.25">
      <c r="AI58" s="1"/>
      <c r="AJ58" s="1"/>
      <c r="AK58" s="1"/>
      <c r="AL58" s="1"/>
      <c r="AM58" s="1"/>
      <c r="AN58" s="1"/>
      <c r="AO58" s="1"/>
    </row>
    <row r="59" spans="27:41" x14ac:dyDescent="0.25">
      <c r="AI59" s="1"/>
      <c r="AJ59" s="1"/>
      <c r="AK59" s="1"/>
      <c r="AL59" s="1"/>
      <c r="AM59" s="1"/>
      <c r="AN59" s="1"/>
      <c r="AO59" s="1"/>
    </row>
    <row r="60" spans="27:41" x14ac:dyDescent="0.25">
      <c r="AI60" s="1"/>
      <c r="AJ60" s="1"/>
      <c r="AK60" s="1"/>
      <c r="AL60" s="1"/>
      <c r="AM60" s="1"/>
      <c r="AN60" s="1"/>
      <c r="AO60" s="1"/>
    </row>
    <row r="61" spans="27:41" x14ac:dyDescent="0.25">
      <c r="AI61" s="1"/>
      <c r="AJ61" s="1"/>
      <c r="AK61" s="1"/>
      <c r="AL61" s="1"/>
      <c r="AM61" s="1"/>
      <c r="AN61" s="1"/>
      <c r="AO61" s="1"/>
    </row>
  </sheetData>
  <mergeCells count="6">
    <mergeCell ref="C7:J7"/>
    <mergeCell ref="L30:L35"/>
    <mergeCell ref="L22:L23"/>
    <mergeCell ref="L16:L21"/>
    <mergeCell ref="L10:L15"/>
    <mergeCell ref="L24:L29"/>
  </mergeCells>
  <dataValidations disablePrompts="1" count="2">
    <dataValidation type="list" allowBlank="1" showInputMessage="1" showErrorMessage="1" sqref="CW10:CW29">
      <formula1>$CW$1:$CW$5</formula1>
    </dataValidation>
    <dataValidation type="list" allowBlank="1" showInputMessage="1" showErrorMessage="1" sqref="BV10:BV29">
      <formula1>$BV$4:$BV$5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36"/>
  <sheetViews>
    <sheetView workbookViewId="0"/>
  </sheetViews>
  <sheetFormatPr defaultRowHeight="15" x14ac:dyDescent="0.25"/>
  <cols>
    <col min="1" max="7" width="9.140625" style="326"/>
    <col min="8" max="8" width="11.140625" style="326" bestFit="1" customWidth="1"/>
    <col min="9" max="10" width="11.140625" style="326" customWidth="1"/>
    <col min="11" max="19" width="9.140625" style="326" customWidth="1"/>
    <col min="23" max="23" width="9.140625" style="326"/>
  </cols>
  <sheetData>
    <row r="1" spans="1:24" x14ac:dyDescent="0.25">
      <c r="B1" s="23" t="s">
        <v>283</v>
      </c>
    </row>
    <row r="2" spans="1:24" x14ac:dyDescent="0.25">
      <c r="B2" s="325" t="s">
        <v>47</v>
      </c>
      <c r="C2" s="326" t="s">
        <v>354</v>
      </c>
    </row>
    <row r="3" spans="1:24" x14ac:dyDescent="0.25">
      <c r="B3" s="325" t="s">
        <v>349</v>
      </c>
    </row>
    <row r="4" spans="1:24" x14ac:dyDescent="0.25">
      <c r="B4" s="325"/>
    </row>
    <row r="5" spans="1:24" x14ac:dyDescent="0.25">
      <c r="B5" s="325"/>
    </row>
    <row r="7" spans="1:24" ht="15.75" thickBot="1" x14ac:dyDescent="0.3">
      <c r="B7" s="427"/>
      <c r="C7" s="647" t="s">
        <v>65</v>
      </c>
      <c r="D7" s="648"/>
      <c r="E7" s="648"/>
      <c r="G7" s="23" t="s">
        <v>277</v>
      </c>
      <c r="I7" s="320" t="s">
        <v>431</v>
      </c>
      <c r="K7" s="320" t="s">
        <v>65</v>
      </c>
      <c r="L7" s="320"/>
      <c r="M7" s="320"/>
      <c r="N7" s="320"/>
      <c r="O7" s="320"/>
      <c r="P7" s="320"/>
      <c r="Q7" s="320"/>
      <c r="R7" s="320"/>
      <c r="S7" s="320"/>
    </row>
    <row r="8" spans="1:24" x14ac:dyDescent="0.25">
      <c r="B8" s="428" t="s">
        <v>284</v>
      </c>
      <c r="C8" s="41" t="s">
        <v>89</v>
      </c>
      <c r="D8" s="41" t="s">
        <v>475</v>
      </c>
      <c r="E8" s="41" t="s">
        <v>519</v>
      </c>
      <c r="G8" s="40" t="s">
        <v>1</v>
      </c>
      <c r="H8" s="41" t="s">
        <v>2</v>
      </c>
      <c r="I8" s="41" t="s">
        <v>89</v>
      </c>
      <c r="J8" s="322" t="s">
        <v>131</v>
      </c>
      <c r="K8" s="41" t="s">
        <v>67</v>
      </c>
      <c r="L8" s="41" t="s">
        <v>129</v>
      </c>
      <c r="M8" s="41" t="s">
        <v>128</v>
      </c>
      <c r="N8" s="41" t="s">
        <v>99</v>
      </c>
      <c r="O8" s="41" t="s">
        <v>68</v>
      </c>
      <c r="P8" s="273" t="s">
        <v>4</v>
      </c>
      <c r="Q8" s="41" t="s">
        <v>5</v>
      </c>
      <c r="R8" s="196" t="s">
        <v>75</v>
      </c>
      <c r="S8" s="487" t="s">
        <v>6</v>
      </c>
      <c r="U8" s="351" t="s">
        <v>3</v>
      </c>
      <c r="V8" s="351" t="s">
        <v>191</v>
      </c>
      <c r="W8" s="351" t="s">
        <v>476</v>
      </c>
      <c r="X8" s="326" t="s">
        <v>475</v>
      </c>
    </row>
    <row r="9" spans="1:24" x14ac:dyDescent="0.25">
      <c r="B9" s="429"/>
      <c r="C9" s="6" t="s">
        <v>11</v>
      </c>
      <c r="D9" s="6" t="s">
        <v>11</v>
      </c>
      <c r="E9" s="6" t="s">
        <v>11</v>
      </c>
      <c r="G9" s="195"/>
      <c r="H9" s="6"/>
      <c r="I9" s="6" t="s">
        <v>11</v>
      </c>
      <c r="J9" s="323" t="s">
        <v>11</v>
      </c>
      <c r="K9" s="6"/>
      <c r="L9" s="6"/>
      <c r="M9" s="6"/>
      <c r="N9" s="6"/>
      <c r="O9" s="6"/>
      <c r="P9" s="489" t="s">
        <v>125</v>
      </c>
      <c r="Q9" s="6" t="s">
        <v>125</v>
      </c>
      <c r="R9" s="6" t="s">
        <v>58</v>
      </c>
      <c r="S9" s="323" t="s">
        <v>58</v>
      </c>
      <c r="U9" s="21" t="s">
        <v>9</v>
      </c>
      <c r="V9" s="21" t="s">
        <v>11</v>
      </c>
      <c r="W9" s="21" t="s">
        <v>58</v>
      </c>
      <c r="X9" s="21" t="s">
        <v>11</v>
      </c>
    </row>
    <row r="10" spans="1:24" x14ac:dyDescent="0.25">
      <c r="A10" s="463"/>
      <c r="B10" s="517">
        <v>10</v>
      </c>
      <c r="C10" s="535" t="str">
        <f>I10</f>
        <v>-</v>
      </c>
      <c r="D10" s="535">
        <f>X10</f>
        <v>430.91999999999996</v>
      </c>
      <c r="E10" s="535">
        <f>MAX(C10:D10)</f>
        <v>430.91999999999996</v>
      </c>
      <c r="F10" s="463"/>
      <c r="G10" s="650" t="s">
        <v>255</v>
      </c>
      <c r="H10" s="510" t="s">
        <v>82</v>
      </c>
      <c r="I10" s="490" t="s">
        <v>58</v>
      </c>
      <c r="J10" s="511">
        <v>431</v>
      </c>
      <c r="K10" s="490" t="s">
        <v>90</v>
      </c>
      <c r="L10" s="490">
        <v>90</v>
      </c>
      <c r="M10" s="490"/>
      <c r="N10" s="490">
        <v>12</v>
      </c>
      <c r="O10" s="490" t="s">
        <v>94</v>
      </c>
      <c r="P10" s="490">
        <v>266</v>
      </c>
      <c r="Q10" s="490"/>
      <c r="R10" s="518">
        <f t="shared" ref="R10:R15" si="0">1.5/S10</f>
        <v>1.3636363636363635</v>
      </c>
      <c r="S10" s="519">
        <v>1.1000000000000001</v>
      </c>
      <c r="U10" s="464">
        <f>_xll.area(K10,L10,N10,M10,N10)</f>
        <v>1080</v>
      </c>
      <c r="V10" s="488">
        <f>U10*P10/10^3</f>
        <v>287.27999999999997</v>
      </c>
      <c r="W10" s="496">
        <f>R10*S10</f>
        <v>1.5</v>
      </c>
      <c r="X10" s="465">
        <f>V10*W10</f>
        <v>430.91999999999996</v>
      </c>
    </row>
    <row r="11" spans="1:24" x14ac:dyDescent="0.25">
      <c r="A11" s="463"/>
      <c r="B11" s="517">
        <v>11</v>
      </c>
      <c r="C11" s="535">
        <f t="shared" ref="C11:C28" si="1">I11</f>
        <v>535</v>
      </c>
      <c r="D11" s="535">
        <f t="shared" ref="D11:D28" si="2">X11</f>
        <v>432.21600000000001</v>
      </c>
      <c r="E11" s="535">
        <f t="shared" ref="E11:E28" si="3">MAX(C11:D11)</f>
        <v>535</v>
      </c>
      <c r="F11" s="463"/>
      <c r="G11" s="650"/>
      <c r="H11" s="510" t="s">
        <v>15</v>
      </c>
      <c r="I11" s="490">
        <v>535</v>
      </c>
      <c r="J11" s="511">
        <v>432</v>
      </c>
      <c r="K11" s="490" t="s">
        <v>90</v>
      </c>
      <c r="L11" s="490">
        <v>90</v>
      </c>
      <c r="M11" s="490"/>
      <c r="N11" s="490">
        <v>12</v>
      </c>
      <c r="O11" s="490" t="s">
        <v>94</v>
      </c>
      <c r="P11" s="490">
        <v>266.8</v>
      </c>
      <c r="Q11" s="490"/>
      <c r="R11" s="518">
        <f t="shared" si="0"/>
        <v>1.3636363636363635</v>
      </c>
      <c r="S11" s="519">
        <v>1.1000000000000001</v>
      </c>
      <c r="U11" s="464">
        <f t="shared" ref="U11:U29" si="4">_xll.area(K11,L11,N11,M11,N11)</f>
        <v>1080</v>
      </c>
      <c r="V11" s="488">
        <f t="shared" ref="V11:V29" si="5">U11*P11/10^3</f>
        <v>288.14400000000001</v>
      </c>
      <c r="W11" s="496">
        <f t="shared" ref="W11:W29" si="6">R11*S11</f>
        <v>1.5</v>
      </c>
      <c r="X11" s="465">
        <f t="shared" ref="X11:X29" si="7">V11*W11</f>
        <v>432.21600000000001</v>
      </c>
    </row>
    <row r="12" spans="1:24" x14ac:dyDescent="0.25">
      <c r="A12" s="463"/>
      <c r="B12" s="517">
        <v>12</v>
      </c>
      <c r="C12" s="535">
        <f t="shared" si="1"/>
        <v>507</v>
      </c>
      <c r="D12" s="535">
        <f t="shared" si="2"/>
        <v>432.21600000000001</v>
      </c>
      <c r="E12" s="535">
        <f t="shared" si="3"/>
        <v>507</v>
      </c>
      <c r="F12" s="463"/>
      <c r="G12" s="650"/>
      <c r="H12" s="510" t="s">
        <v>16</v>
      </c>
      <c r="I12" s="490">
        <v>507</v>
      </c>
      <c r="J12" s="511">
        <v>432</v>
      </c>
      <c r="K12" s="490" t="s">
        <v>90</v>
      </c>
      <c r="L12" s="490">
        <v>90</v>
      </c>
      <c r="M12" s="490"/>
      <c r="N12" s="490">
        <v>12</v>
      </c>
      <c r="O12" s="490" t="s">
        <v>94</v>
      </c>
      <c r="P12" s="490">
        <v>266.8</v>
      </c>
      <c r="Q12" s="490"/>
      <c r="R12" s="518">
        <f t="shared" si="0"/>
        <v>1.3636363636363635</v>
      </c>
      <c r="S12" s="519">
        <v>1.1000000000000001</v>
      </c>
      <c r="U12" s="464">
        <f t="shared" si="4"/>
        <v>1080</v>
      </c>
      <c r="V12" s="488">
        <f t="shared" si="5"/>
        <v>288.14400000000001</v>
      </c>
      <c r="W12" s="496">
        <f t="shared" si="6"/>
        <v>1.5</v>
      </c>
      <c r="X12" s="465">
        <f t="shared" si="7"/>
        <v>432.21600000000001</v>
      </c>
    </row>
    <row r="13" spans="1:24" x14ac:dyDescent="0.25">
      <c r="A13" s="463"/>
      <c r="B13" s="517">
        <v>13</v>
      </c>
      <c r="C13" s="535">
        <f t="shared" si="1"/>
        <v>375</v>
      </c>
      <c r="D13" s="535">
        <f t="shared" si="2"/>
        <v>436.91399999999999</v>
      </c>
      <c r="E13" s="535">
        <f t="shared" si="3"/>
        <v>436.91399999999999</v>
      </c>
      <c r="F13" s="463"/>
      <c r="G13" s="650"/>
      <c r="H13" s="510" t="s">
        <v>17</v>
      </c>
      <c r="I13" s="490">
        <v>375</v>
      </c>
      <c r="J13" s="511">
        <v>437</v>
      </c>
      <c r="K13" s="490" t="s">
        <v>90</v>
      </c>
      <c r="L13" s="490">
        <v>90</v>
      </c>
      <c r="M13" s="490"/>
      <c r="N13" s="490">
        <v>12</v>
      </c>
      <c r="O13" s="490" t="s">
        <v>94</v>
      </c>
      <c r="P13" s="490">
        <v>269.7</v>
      </c>
      <c r="Q13" s="490"/>
      <c r="R13" s="518">
        <f t="shared" si="0"/>
        <v>1.3636363636363635</v>
      </c>
      <c r="S13" s="519">
        <v>1.1000000000000001</v>
      </c>
      <c r="U13" s="464">
        <f t="shared" si="4"/>
        <v>1080</v>
      </c>
      <c r="V13" s="488">
        <f t="shared" si="5"/>
        <v>291.27600000000001</v>
      </c>
      <c r="W13" s="496">
        <f t="shared" si="6"/>
        <v>1.5</v>
      </c>
      <c r="X13" s="465">
        <f t="shared" si="7"/>
        <v>436.91399999999999</v>
      </c>
    </row>
    <row r="14" spans="1:24" x14ac:dyDescent="0.25">
      <c r="A14" s="463"/>
      <c r="B14" s="517">
        <v>14</v>
      </c>
      <c r="C14" s="535">
        <f t="shared" si="1"/>
        <v>362</v>
      </c>
      <c r="D14" s="535">
        <f t="shared" si="2"/>
        <v>432.21600000000001</v>
      </c>
      <c r="E14" s="535">
        <f t="shared" si="3"/>
        <v>432.21600000000001</v>
      </c>
      <c r="F14" s="463"/>
      <c r="G14" s="650"/>
      <c r="H14" s="510" t="s">
        <v>18</v>
      </c>
      <c r="I14" s="490">
        <v>362</v>
      </c>
      <c r="J14" s="511">
        <v>432</v>
      </c>
      <c r="K14" s="490" t="s">
        <v>90</v>
      </c>
      <c r="L14" s="490">
        <v>90</v>
      </c>
      <c r="M14" s="490"/>
      <c r="N14" s="490">
        <v>12</v>
      </c>
      <c r="O14" s="490" t="s">
        <v>94</v>
      </c>
      <c r="P14" s="490">
        <v>266.8</v>
      </c>
      <c r="Q14" s="490"/>
      <c r="R14" s="518">
        <f t="shared" si="0"/>
        <v>1.3636363636363635</v>
      </c>
      <c r="S14" s="519">
        <v>1.1000000000000001</v>
      </c>
      <c r="U14" s="464">
        <f t="shared" si="4"/>
        <v>1080</v>
      </c>
      <c r="V14" s="488">
        <f t="shared" si="5"/>
        <v>288.14400000000001</v>
      </c>
      <c r="W14" s="496">
        <f t="shared" si="6"/>
        <v>1.5</v>
      </c>
      <c r="X14" s="465">
        <f t="shared" si="7"/>
        <v>432.21600000000001</v>
      </c>
    </row>
    <row r="15" spans="1:24" x14ac:dyDescent="0.25">
      <c r="A15" s="463"/>
      <c r="B15" s="520">
        <v>15</v>
      </c>
      <c r="C15" s="536">
        <f t="shared" si="1"/>
        <v>300</v>
      </c>
      <c r="D15" s="536">
        <f t="shared" si="2"/>
        <v>432.21600000000001</v>
      </c>
      <c r="E15" s="536">
        <f t="shared" si="3"/>
        <v>432.21600000000001</v>
      </c>
      <c r="F15" s="463"/>
      <c r="G15" s="651"/>
      <c r="H15" s="489" t="s">
        <v>19</v>
      </c>
      <c r="I15" s="491">
        <v>300</v>
      </c>
      <c r="J15" s="512">
        <v>432</v>
      </c>
      <c r="K15" s="491" t="s">
        <v>90</v>
      </c>
      <c r="L15" s="491">
        <v>90</v>
      </c>
      <c r="M15" s="491"/>
      <c r="N15" s="491">
        <v>12</v>
      </c>
      <c r="O15" s="491" t="s">
        <v>94</v>
      </c>
      <c r="P15" s="491">
        <v>266.8</v>
      </c>
      <c r="Q15" s="491"/>
      <c r="R15" s="521">
        <f t="shared" si="0"/>
        <v>1.3636363636363635</v>
      </c>
      <c r="S15" s="522">
        <v>1.1000000000000001</v>
      </c>
      <c r="U15" s="531">
        <f t="shared" si="4"/>
        <v>1080</v>
      </c>
      <c r="V15" s="532">
        <f t="shared" si="5"/>
        <v>288.14400000000001</v>
      </c>
      <c r="W15" s="533">
        <f t="shared" si="6"/>
        <v>1.5</v>
      </c>
      <c r="X15" s="534">
        <f t="shared" si="7"/>
        <v>432.21600000000001</v>
      </c>
    </row>
    <row r="16" spans="1:24" x14ac:dyDescent="0.25">
      <c r="A16" s="463"/>
      <c r="B16" s="517">
        <v>20</v>
      </c>
      <c r="C16" s="535" t="str">
        <f t="shared" si="1"/>
        <v>-</v>
      </c>
      <c r="D16" s="535">
        <f t="shared" si="2"/>
        <v>474.65999999999997</v>
      </c>
      <c r="E16" s="535">
        <f t="shared" si="3"/>
        <v>474.65999999999997</v>
      </c>
      <c r="F16" s="463"/>
      <c r="G16" s="652" t="s">
        <v>256</v>
      </c>
      <c r="H16" s="513" t="s">
        <v>78</v>
      </c>
      <c r="I16" s="506" t="s">
        <v>58</v>
      </c>
      <c r="J16" s="514">
        <v>475</v>
      </c>
      <c r="K16" s="506" t="s">
        <v>90</v>
      </c>
      <c r="L16" s="506">
        <v>90</v>
      </c>
      <c r="M16" s="506"/>
      <c r="N16" s="506">
        <v>12</v>
      </c>
      <c r="O16" s="506" t="s">
        <v>94</v>
      </c>
      <c r="P16" s="506">
        <v>293</v>
      </c>
      <c r="Q16" s="506"/>
      <c r="R16" s="523">
        <f>1.5/S16</f>
        <v>1.3636363636363635</v>
      </c>
      <c r="S16" s="524">
        <v>1.1000000000000001</v>
      </c>
      <c r="U16" s="464">
        <f t="shared" si="4"/>
        <v>1080</v>
      </c>
      <c r="V16" s="488">
        <f t="shared" si="5"/>
        <v>316.44</v>
      </c>
      <c r="W16" s="496">
        <f t="shared" si="6"/>
        <v>1.5</v>
      </c>
      <c r="X16" s="465">
        <f t="shared" si="7"/>
        <v>474.65999999999997</v>
      </c>
    </row>
    <row r="17" spans="1:24" x14ac:dyDescent="0.25">
      <c r="A17" s="463"/>
      <c r="B17" s="517">
        <v>21</v>
      </c>
      <c r="C17" s="535" t="str">
        <f t="shared" si="1"/>
        <v>-</v>
      </c>
      <c r="D17" s="535">
        <f t="shared" si="2"/>
        <v>474.65999999999997</v>
      </c>
      <c r="E17" s="535">
        <f t="shared" si="3"/>
        <v>474.65999999999997</v>
      </c>
      <c r="F17" s="463"/>
      <c r="G17" s="650"/>
      <c r="H17" s="515" t="s">
        <v>79</v>
      </c>
      <c r="I17" s="490" t="s">
        <v>58</v>
      </c>
      <c r="J17" s="511">
        <v>475</v>
      </c>
      <c r="K17" s="490" t="s">
        <v>90</v>
      </c>
      <c r="L17" s="490">
        <v>90</v>
      </c>
      <c r="M17" s="490"/>
      <c r="N17" s="490">
        <v>12</v>
      </c>
      <c r="O17" s="490" t="s">
        <v>94</v>
      </c>
      <c r="P17" s="490">
        <v>293</v>
      </c>
      <c r="Q17" s="490"/>
      <c r="R17" s="518">
        <f t="shared" ref="R17:R21" si="8">1.5/S17</f>
        <v>1.3636363636363635</v>
      </c>
      <c r="S17" s="519">
        <v>1.1000000000000001</v>
      </c>
      <c r="U17" s="464">
        <f t="shared" si="4"/>
        <v>1080</v>
      </c>
      <c r="V17" s="488">
        <f t="shared" si="5"/>
        <v>316.44</v>
      </c>
      <c r="W17" s="496">
        <f t="shared" si="6"/>
        <v>1.5</v>
      </c>
      <c r="X17" s="465">
        <f t="shared" si="7"/>
        <v>474.65999999999997</v>
      </c>
    </row>
    <row r="18" spans="1:24" x14ac:dyDescent="0.25">
      <c r="A18" s="463"/>
      <c r="B18" s="517">
        <v>22</v>
      </c>
      <c r="C18" s="535">
        <f t="shared" si="1"/>
        <v>527</v>
      </c>
      <c r="D18" s="535">
        <f t="shared" si="2"/>
        <v>474.65999999999997</v>
      </c>
      <c r="E18" s="535">
        <f t="shared" si="3"/>
        <v>527</v>
      </c>
      <c r="F18" s="463"/>
      <c r="G18" s="650"/>
      <c r="H18" s="515" t="s">
        <v>76</v>
      </c>
      <c r="I18" s="490">
        <v>527</v>
      </c>
      <c r="J18" s="511">
        <v>475</v>
      </c>
      <c r="K18" s="490" t="s">
        <v>90</v>
      </c>
      <c r="L18" s="490">
        <v>90</v>
      </c>
      <c r="M18" s="490"/>
      <c r="N18" s="490">
        <v>12</v>
      </c>
      <c r="O18" s="490" t="s">
        <v>94</v>
      </c>
      <c r="P18" s="490">
        <v>293</v>
      </c>
      <c r="Q18" s="490"/>
      <c r="R18" s="518">
        <f t="shared" si="8"/>
        <v>1.3636363636363635</v>
      </c>
      <c r="S18" s="519">
        <v>1.1000000000000001</v>
      </c>
      <c r="U18" s="464">
        <f t="shared" si="4"/>
        <v>1080</v>
      </c>
      <c r="V18" s="488">
        <f t="shared" si="5"/>
        <v>316.44</v>
      </c>
      <c r="W18" s="496">
        <f t="shared" si="6"/>
        <v>1.5</v>
      </c>
      <c r="X18" s="465">
        <f t="shared" si="7"/>
        <v>474.65999999999997</v>
      </c>
    </row>
    <row r="19" spans="1:24" x14ac:dyDescent="0.25">
      <c r="A19" s="463"/>
      <c r="B19" s="517">
        <v>23</v>
      </c>
      <c r="C19" s="535" t="str">
        <f t="shared" si="1"/>
        <v>-</v>
      </c>
      <c r="D19" s="535">
        <f t="shared" si="2"/>
        <v>474.65999999999997</v>
      </c>
      <c r="E19" s="535">
        <f t="shared" si="3"/>
        <v>474.65999999999997</v>
      </c>
      <c r="F19" s="463"/>
      <c r="G19" s="650"/>
      <c r="H19" s="515" t="s">
        <v>80</v>
      </c>
      <c r="I19" s="490" t="s">
        <v>58</v>
      </c>
      <c r="J19" s="511">
        <v>475</v>
      </c>
      <c r="K19" s="490" t="s">
        <v>90</v>
      </c>
      <c r="L19" s="490">
        <v>90</v>
      </c>
      <c r="M19" s="490"/>
      <c r="N19" s="490">
        <v>12</v>
      </c>
      <c r="O19" s="490" t="s">
        <v>94</v>
      </c>
      <c r="P19" s="490">
        <v>293</v>
      </c>
      <c r="Q19" s="490"/>
      <c r="R19" s="518">
        <f t="shared" si="8"/>
        <v>1.3636363636363635</v>
      </c>
      <c r="S19" s="519">
        <v>1.1000000000000001</v>
      </c>
      <c r="U19" s="464">
        <f t="shared" si="4"/>
        <v>1080</v>
      </c>
      <c r="V19" s="488">
        <f t="shared" si="5"/>
        <v>316.44</v>
      </c>
      <c r="W19" s="496">
        <f t="shared" si="6"/>
        <v>1.5</v>
      </c>
      <c r="X19" s="465">
        <f t="shared" si="7"/>
        <v>474.65999999999997</v>
      </c>
    </row>
    <row r="20" spans="1:24" x14ac:dyDescent="0.25">
      <c r="A20" s="463"/>
      <c r="B20" s="517">
        <v>24</v>
      </c>
      <c r="C20" s="535" t="str">
        <f t="shared" si="1"/>
        <v>-</v>
      </c>
      <c r="D20" s="535">
        <f t="shared" si="2"/>
        <v>474.65999999999997</v>
      </c>
      <c r="E20" s="535">
        <f t="shared" si="3"/>
        <v>474.65999999999997</v>
      </c>
      <c r="F20" s="463"/>
      <c r="G20" s="650"/>
      <c r="H20" s="515" t="s">
        <v>81</v>
      </c>
      <c r="I20" s="490" t="s">
        <v>58</v>
      </c>
      <c r="J20" s="511">
        <v>475</v>
      </c>
      <c r="K20" s="490" t="s">
        <v>90</v>
      </c>
      <c r="L20" s="490">
        <v>90</v>
      </c>
      <c r="M20" s="490"/>
      <c r="N20" s="490">
        <v>12</v>
      </c>
      <c r="O20" s="490" t="s">
        <v>94</v>
      </c>
      <c r="P20" s="490">
        <v>293</v>
      </c>
      <c r="Q20" s="490"/>
      <c r="R20" s="518">
        <f t="shared" si="8"/>
        <v>1.3636363636363635</v>
      </c>
      <c r="S20" s="519">
        <v>1.1000000000000001</v>
      </c>
      <c r="U20" s="464">
        <f t="shared" si="4"/>
        <v>1080</v>
      </c>
      <c r="V20" s="488">
        <f t="shared" si="5"/>
        <v>316.44</v>
      </c>
      <c r="W20" s="496">
        <f t="shared" si="6"/>
        <v>1.5</v>
      </c>
      <c r="X20" s="465">
        <f t="shared" si="7"/>
        <v>474.65999999999997</v>
      </c>
    </row>
    <row r="21" spans="1:24" x14ac:dyDescent="0.25">
      <c r="A21" s="463"/>
      <c r="B21" s="520">
        <v>25</v>
      </c>
      <c r="C21" s="536">
        <f t="shared" si="1"/>
        <v>339</v>
      </c>
      <c r="D21" s="536">
        <f t="shared" si="2"/>
        <v>474.65999999999997</v>
      </c>
      <c r="E21" s="536">
        <f t="shared" si="3"/>
        <v>474.65999999999997</v>
      </c>
      <c r="F21" s="463"/>
      <c r="G21" s="651"/>
      <c r="H21" s="516" t="s">
        <v>77</v>
      </c>
      <c r="I21" s="491">
        <v>339</v>
      </c>
      <c r="J21" s="512">
        <v>475</v>
      </c>
      <c r="K21" s="491" t="s">
        <v>90</v>
      </c>
      <c r="L21" s="491">
        <v>90</v>
      </c>
      <c r="M21" s="491"/>
      <c r="N21" s="491">
        <v>12</v>
      </c>
      <c r="O21" s="491" t="s">
        <v>94</v>
      </c>
      <c r="P21" s="491">
        <v>293</v>
      </c>
      <c r="Q21" s="491"/>
      <c r="R21" s="521">
        <f t="shared" si="8"/>
        <v>1.3636363636363635</v>
      </c>
      <c r="S21" s="522">
        <v>1.1000000000000001</v>
      </c>
      <c r="U21" s="531">
        <f t="shared" si="4"/>
        <v>1080</v>
      </c>
      <c r="V21" s="532">
        <f t="shared" si="5"/>
        <v>316.44</v>
      </c>
      <c r="W21" s="533">
        <f t="shared" si="6"/>
        <v>1.5</v>
      </c>
      <c r="X21" s="534">
        <f t="shared" si="7"/>
        <v>474.65999999999997</v>
      </c>
    </row>
    <row r="22" spans="1:24" x14ac:dyDescent="0.25">
      <c r="A22" s="463"/>
      <c r="B22" s="517">
        <v>30</v>
      </c>
      <c r="C22" s="535" t="str">
        <f t="shared" si="1"/>
        <v>-</v>
      </c>
      <c r="D22" s="535">
        <f t="shared" si="2"/>
        <v>411.23280000000005</v>
      </c>
      <c r="E22" s="535">
        <f t="shared" si="3"/>
        <v>411.23280000000005</v>
      </c>
      <c r="F22" s="463"/>
      <c r="G22" s="652" t="s">
        <v>257</v>
      </c>
      <c r="H22" s="525" t="s">
        <v>127</v>
      </c>
      <c r="I22" s="506" t="s">
        <v>58</v>
      </c>
      <c r="J22" s="514">
        <v>0</v>
      </c>
      <c r="K22" s="506" t="s">
        <v>90</v>
      </c>
      <c r="L22" s="506">
        <v>74</v>
      </c>
      <c r="M22" s="506"/>
      <c r="N22" s="506">
        <v>12</v>
      </c>
      <c r="O22" s="506" t="s">
        <v>94</v>
      </c>
      <c r="P22" s="506">
        <v>297</v>
      </c>
      <c r="Q22" s="506">
        <v>421</v>
      </c>
      <c r="R22" s="523">
        <f>Q22/P22</f>
        <v>1.4175084175084176</v>
      </c>
      <c r="S22" s="524">
        <v>1.1000000000000001</v>
      </c>
      <c r="U22" s="464">
        <f t="shared" si="4"/>
        <v>888</v>
      </c>
      <c r="V22" s="488">
        <f t="shared" si="5"/>
        <v>263.73599999999999</v>
      </c>
      <c r="W22" s="496">
        <f t="shared" si="6"/>
        <v>1.5592592592592596</v>
      </c>
      <c r="X22" s="465">
        <f t="shared" si="7"/>
        <v>411.23280000000005</v>
      </c>
    </row>
    <row r="23" spans="1:24" x14ac:dyDescent="0.25">
      <c r="A23" s="463"/>
      <c r="B23" s="520">
        <v>31</v>
      </c>
      <c r="C23" s="536">
        <f t="shared" si="1"/>
        <v>308.88</v>
      </c>
      <c r="D23" s="536">
        <f t="shared" si="2"/>
        <v>411.23280000000005</v>
      </c>
      <c r="E23" s="536">
        <f t="shared" si="3"/>
        <v>411.23280000000005</v>
      </c>
      <c r="F23" s="463"/>
      <c r="G23" s="651"/>
      <c r="H23" s="489" t="s">
        <v>13</v>
      </c>
      <c r="I23" s="491">
        <v>308.88</v>
      </c>
      <c r="J23" s="512">
        <v>0</v>
      </c>
      <c r="K23" s="491" t="s">
        <v>90</v>
      </c>
      <c r="L23" s="491">
        <v>74</v>
      </c>
      <c r="M23" s="491"/>
      <c r="N23" s="491">
        <v>12</v>
      </c>
      <c r="O23" s="491" t="s">
        <v>94</v>
      </c>
      <c r="P23" s="491">
        <v>297</v>
      </c>
      <c r="Q23" s="491">
        <v>421</v>
      </c>
      <c r="R23" s="521">
        <f>Q23/P23</f>
        <v>1.4175084175084176</v>
      </c>
      <c r="S23" s="522">
        <v>1.1000000000000001</v>
      </c>
      <c r="U23" s="531">
        <f t="shared" si="4"/>
        <v>888</v>
      </c>
      <c r="V23" s="532">
        <f t="shared" si="5"/>
        <v>263.73599999999999</v>
      </c>
      <c r="W23" s="533">
        <f t="shared" si="6"/>
        <v>1.5592592592592596</v>
      </c>
      <c r="X23" s="534">
        <f t="shared" si="7"/>
        <v>411.23280000000005</v>
      </c>
    </row>
    <row r="24" spans="1:24" ht="15" customHeight="1" x14ac:dyDescent="0.25">
      <c r="A24" s="463"/>
      <c r="B24" s="517">
        <v>40</v>
      </c>
      <c r="C24" s="535">
        <f t="shared" si="1"/>
        <v>1156</v>
      </c>
      <c r="D24" s="535">
        <f t="shared" si="2"/>
        <v>1502.6180400000001</v>
      </c>
      <c r="E24" s="535">
        <f t="shared" si="3"/>
        <v>1502.6180400000001</v>
      </c>
      <c r="F24" s="463"/>
      <c r="G24" s="636" t="s">
        <v>521</v>
      </c>
      <c r="H24" s="525" t="s">
        <v>21</v>
      </c>
      <c r="I24" s="506">
        <v>1156</v>
      </c>
      <c r="J24" s="514">
        <v>1460.8843685687239</v>
      </c>
      <c r="K24" s="506" t="s">
        <v>90</v>
      </c>
      <c r="L24" s="506">
        <v>162</v>
      </c>
      <c r="M24" s="506"/>
      <c r="N24" s="506">
        <v>19</v>
      </c>
      <c r="O24" s="506" t="s">
        <v>94</v>
      </c>
      <c r="P24" s="506">
        <v>317</v>
      </c>
      <c r="Q24" s="506"/>
      <c r="R24" s="523">
        <v>1.4</v>
      </c>
      <c r="S24" s="524">
        <v>1.1000000000000001</v>
      </c>
      <c r="U24" s="464">
        <f t="shared" si="4"/>
        <v>3078</v>
      </c>
      <c r="V24" s="488">
        <f t="shared" si="5"/>
        <v>975.726</v>
      </c>
      <c r="W24" s="496">
        <f t="shared" si="6"/>
        <v>1.54</v>
      </c>
      <c r="X24" s="465">
        <f t="shared" si="7"/>
        <v>1502.6180400000001</v>
      </c>
    </row>
    <row r="25" spans="1:24" x14ac:dyDescent="0.25">
      <c r="A25" s="463"/>
      <c r="B25" s="517">
        <v>41</v>
      </c>
      <c r="C25" s="535">
        <f t="shared" si="1"/>
        <v>1572</v>
      </c>
      <c r="D25" s="535">
        <f t="shared" si="2"/>
        <v>1502.6180400000001</v>
      </c>
      <c r="E25" s="535">
        <f t="shared" si="3"/>
        <v>1572</v>
      </c>
      <c r="F25" s="463"/>
      <c r="G25" s="637"/>
      <c r="H25" s="510" t="s">
        <v>22</v>
      </c>
      <c r="I25" s="490">
        <v>1572</v>
      </c>
      <c r="J25" s="511">
        <v>1460.8843685687239</v>
      </c>
      <c r="K25" s="490" t="s">
        <v>90</v>
      </c>
      <c r="L25" s="490">
        <v>162</v>
      </c>
      <c r="M25" s="490"/>
      <c r="N25" s="490">
        <v>19</v>
      </c>
      <c r="O25" s="490" t="s">
        <v>94</v>
      </c>
      <c r="P25" s="490">
        <v>317</v>
      </c>
      <c r="Q25" s="490"/>
      <c r="R25" s="518">
        <v>1.4</v>
      </c>
      <c r="S25" s="519">
        <v>1.1000000000000001</v>
      </c>
      <c r="U25" s="464">
        <f t="shared" si="4"/>
        <v>3078</v>
      </c>
      <c r="V25" s="488">
        <f t="shared" si="5"/>
        <v>975.726</v>
      </c>
      <c r="W25" s="496">
        <f t="shared" si="6"/>
        <v>1.54</v>
      </c>
      <c r="X25" s="465">
        <f t="shared" si="7"/>
        <v>1502.6180400000001</v>
      </c>
    </row>
    <row r="26" spans="1:24" x14ac:dyDescent="0.25">
      <c r="A26" s="463"/>
      <c r="B26" s="517">
        <v>42</v>
      </c>
      <c r="C26" s="535">
        <f t="shared" si="1"/>
        <v>1541</v>
      </c>
      <c r="D26" s="535">
        <f t="shared" si="2"/>
        <v>1502.6180400000001</v>
      </c>
      <c r="E26" s="535">
        <f t="shared" si="3"/>
        <v>1541</v>
      </c>
      <c r="F26" s="463"/>
      <c r="G26" s="637"/>
      <c r="H26" s="510" t="s">
        <v>23</v>
      </c>
      <c r="I26" s="490">
        <v>1541</v>
      </c>
      <c r="J26" s="511">
        <v>1460.8843685687239</v>
      </c>
      <c r="K26" s="490" t="s">
        <v>90</v>
      </c>
      <c r="L26" s="490">
        <v>162</v>
      </c>
      <c r="M26" s="490"/>
      <c r="N26" s="490">
        <v>19</v>
      </c>
      <c r="O26" s="490" t="s">
        <v>94</v>
      </c>
      <c r="P26" s="490">
        <v>317</v>
      </c>
      <c r="Q26" s="490"/>
      <c r="R26" s="518">
        <v>1.4</v>
      </c>
      <c r="S26" s="519">
        <v>1.1000000000000001</v>
      </c>
      <c r="U26" s="464">
        <f t="shared" si="4"/>
        <v>3078</v>
      </c>
      <c r="V26" s="488">
        <f t="shared" si="5"/>
        <v>975.726</v>
      </c>
      <c r="W26" s="496">
        <f t="shared" si="6"/>
        <v>1.54</v>
      </c>
      <c r="X26" s="465">
        <f t="shared" si="7"/>
        <v>1502.6180400000001</v>
      </c>
    </row>
    <row r="27" spans="1:24" x14ac:dyDescent="0.25">
      <c r="A27" s="463"/>
      <c r="B27" s="517">
        <v>43</v>
      </c>
      <c r="C27" s="535">
        <f t="shared" si="1"/>
        <v>989</v>
      </c>
      <c r="D27" s="535">
        <f t="shared" si="2"/>
        <v>1502.6180400000001</v>
      </c>
      <c r="E27" s="535">
        <f t="shared" si="3"/>
        <v>1502.6180400000001</v>
      </c>
      <c r="F27" s="463"/>
      <c r="G27" s="637"/>
      <c r="H27" s="510" t="s">
        <v>24</v>
      </c>
      <c r="I27" s="490">
        <v>989</v>
      </c>
      <c r="J27" s="511">
        <v>1460.8843685687239</v>
      </c>
      <c r="K27" s="490" t="s">
        <v>90</v>
      </c>
      <c r="L27" s="490">
        <v>162</v>
      </c>
      <c r="M27" s="490"/>
      <c r="N27" s="490">
        <v>19</v>
      </c>
      <c r="O27" s="490" t="s">
        <v>94</v>
      </c>
      <c r="P27" s="490">
        <v>317</v>
      </c>
      <c r="Q27" s="490"/>
      <c r="R27" s="518">
        <v>1.4</v>
      </c>
      <c r="S27" s="519">
        <v>1.1000000000000001</v>
      </c>
      <c r="U27" s="464">
        <f t="shared" si="4"/>
        <v>3078</v>
      </c>
      <c r="V27" s="488">
        <f t="shared" si="5"/>
        <v>975.726</v>
      </c>
      <c r="W27" s="496">
        <f t="shared" si="6"/>
        <v>1.54</v>
      </c>
      <c r="X27" s="465">
        <f t="shared" si="7"/>
        <v>1502.6180400000001</v>
      </c>
    </row>
    <row r="28" spans="1:24" x14ac:dyDescent="0.25">
      <c r="A28" s="463"/>
      <c r="B28" s="517">
        <v>44</v>
      </c>
      <c r="C28" s="535">
        <f t="shared" si="1"/>
        <v>1585</v>
      </c>
      <c r="D28" s="535">
        <f t="shared" si="2"/>
        <v>1502.6180400000001</v>
      </c>
      <c r="E28" s="535">
        <f t="shared" si="3"/>
        <v>1585</v>
      </c>
      <c r="F28" s="463"/>
      <c r="G28" s="637"/>
      <c r="H28" s="510" t="s">
        <v>172</v>
      </c>
      <c r="I28" s="490">
        <v>1585</v>
      </c>
      <c r="J28" s="511">
        <v>1460.8843685687239</v>
      </c>
      <c r="K28" s="490" t="s">
        <v>90</v>
      </c>
      <c r="L28" s="490">
        <v>162</v>
      </c>
      <c r="M28" s="490"/>
      <c r="N28" s="490">
        <v>19</v>
      </c>
      <c r="O28" s="490" t="s">
        <v>94</v>
      </c>
      <c r="P28" s="490">
        <v>317</v>
      </c>
      <c r="Q28" s="490"/>
      <c r="R28" s="518">
        <v>1.4</v>
      </c>
      <c r="S28" s="519">
        <v>1.1000000000000001</v>
      </c>
      <c r="U28" s="464">
        <f t="shared" si="4"/>
        <v>3078</v>
      </c>
      <c r="V28" s="488">
        <f t="shared" si="5"/>
        <v>975.726</v>
      </c>
      <c r="W28" s="496">
        <f t="shared" si="6"/>
        <v>1.54</v>
      </c>
      <c r="X28" s="465">
        <f t="shared" si="7"/>
        <v>1502.6180400000001</v>
      </c>
    </row>
    <row r="29" spans="1:24" ht="15.75" thickBot="1" x14ac:dyDescent="0.3">
      <c r="A29" s="463"/>
      <c r="B29" s="520">
        <v>45</v>
      </c>
      <c r="C29" s="536" t="str">
        <f t="shared" ref="C29" si="9">I29</f>
        <v>-</v>
      </c>
      <c r="D29" s="536">
        <f t="shared" ref="D29" si="10">X29</f>
        <v>1502.6180400000001</v>
      </c>
      <c r="E29" s="536">
        <f t="shared" ref="E29" si="11">MAX(C29:D29)</f>
        <v>1502.6180400000001</v>
      </c>
      <c r="F29" s="463"/>
      <c r="G29" s="638"/>
      <c r="H29" s="526" t="s">
        <v>86</v>
      </c>
      <c r="I29" s="527" t="s">
        <v>58</v>
      </c>
      <c r="J29" s="528">
        <v>1460.8843685687239</v>
      </c>
      <c r="K29" s="527" t="s">
        <v>90</v>
      </c>
      <c r="L29" s="527">
        <v>162</v>
      </c>
      <c r="M29" s="527"/>
      <c r="N29" s="527">
        <v>19</v>
      </c>
      <c r="O29" s="527" t="s">
        <v>94</v>
      </c>
      <c r="P29" s="527">
        <v>317</v>
      </c>
      <c r="Q29" s="527"/>
      <c r="R29" s="529">
        <v>1.4</v>
      </c>
      <c r="S29" s="530">
        <v>1.1000000000000001</v>
      </c>
      <c r="U29" s="464">
        <f t="shared" si="4"/>
        <v>3078</v>
      </c>
      <c r="V29" s="488">
        <f t="shared" si="5"/>
        <v>975.726</v>
      </c>
      <c r="W29" s="496">
        <f t="shared" si="6"/>
        <v>1.54</v>
      </c>
      <c r="X29" s="465">
        <f t="shared" si="7"/>
        <v>1502.6180400000001</v>
      </c>
    </row>
    <row r="30" spans="1:24" ht="15" customHeight="1" x14ac:dyDescent="0.25">
      <c r="B30" s="517">
        <v>46</v>
      </c>
      <c r="C30" s="535">
        <f>C24</f>
        <v>1156</v>
      </c>
      <c r="D30" s="535">
        <f t="shared" ref="D30:E30" si="12">D24</f>
        <v>1502.6180400000001</v>
      </c>
      <c r="E30" s="535">
        <f t="shared" si="12"/>
        <v>1502.6180400000001</v>
      </c>
      <c r="G30" s="636" t="s">
        <v>520</v>
      </c>
      <c r="R30" s="332"/>
      <c r="S30" s="332"/>
    </row>
    <row r="31" spans="1:24" x14ac:dyDescent="0.25">
      <c r="B31" s="517">
        <v>47</v>
      </c>
      <c r="C31" s="535">
        <f t="shared" ref="C31:E31" si="13">C25</f>
        <v>1572</v>
      </c>
      <c r="D31" s="535">
        <f t="shared" si="13"/>
        <v>1502.6180400000001</v>
      </c>
      <c r="E31" s="535">
        <f t="shared" si="13"/>
        <v>1572</v>
      </c>
      <c r="G31" s="637"/>
    </row>
    <row r="32" spans="1:24" x14ac:dyDescent="0.25">
      <c r="B32" s="517">
        <v>48</v>
      </c>
      <c r="C32" s="535">
        <f t="shared" ref="C32:E32" si="14">C26</f>
        <v>1541</v>
      </c>
      <c r="D32" s="535">
        <f t="shared" si="14"/>
        <v>1502.6180400000001</v>
      </c>
      <c r="E32" s="535">
        <f t="shared" si="14"/>
        <v>1541</v>
      </c>
      <c r="G32" s="637"/>
    </row>
    <row r="33" spans="2:7" x14ac:dyDescent="0.25">
      <c r="B33" s="517">
        <v>49</v>
      </c>
      <c r="C33" s="535">
        <f t="shared" ref="C33:E33" si="15">C27</f>
        <v>989</v>
      </c>
      <c r="D33" s="535">
        <f t="shared" si="15"/>
        <v>1502.6180400000001</v>
      </c>
      <c r="E33" s="535">
        <f t="shared" si="15"/>
        <v>1502.6180400000001</v>
      </c>
      <c r="G33" s="637"/>
    </row>
    <row r="34" spans="2:7" x14ac:dyDescent="0.25">
      <c r="B34" s="517">
        <v>50</v>
      </c>
      <c r="C34" s="535">
        <f t="shared" ref="C34:E34" si="16">C28</f>
        <v>1585</v>
      </c>
      <c r="D34" s="535">
        <f t="shared" si="16"/>
        <v>1502.6180400000001</v>
      </c>
      <c r="E34" s="535">
        <f t="shared" si="16"/>
        <v>1585</v>
      </c>
      <c r="G34" s="637"/>
    </row>
    <row r="35" spans="2:7" x14ac:dyDescent="0.25">
      <c r="B35" s="520">
        <v>51</v>
      </c>
      <c r="C35" s="536" t="str">
        <f t="shared" ref="C35:E35" si="17">C29</f>
        <v>-</v>
      </c>
      <c r="D35" s="536">
        <f t="shared" si="17"/>
        <v>1502.6180400000001</v>
      </c>
      <c r="E35" s="536">
        <f t="shared" si="17"/>
        <v>1502.6180400000001</v>
      </c>
      <c r="G35" s="638"/>
    </row>
    <row r="36" spans="2:7" x14ac:dyDescent="0.25">
      <c r="B36" s="520"/>
      <c r="C36" s="536"/>
      <c r="D36" s="536"/>
      <c r="E36" s="536"/>
    </row>
  </sheetData>
  <mergeCells count="6">
    <mergeCell ref="C7:E7"/>
    <mergeCell ref="G30:G35"/>
    <mergeCell ref="G10:G15"/>
    <mergeCell ref="G16:G21"/>
    <mergeCell ref="G22:G23"/>
    <mergeCell ref="G24:G2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D36"/>
  <sheetViews>
    <sheetView topLeftCell="N1" workbookViewId="0">
      <selection activeCell="N10" sqref="N8:AL10"/>
    </sheetView>
  </sheetViews>
  <sheetFormatPr defaultRowHeight="15" x14ac:dyDescent="0.25"/>
  <cols>
    <col min="2" max="5" width="9.140625" style="326"/>
    <col min="6" max="9" width="9.28515625" style="326"/>
    <col min="10" max="11" width="9.140625" style="326"/>
    <col min="12" max="12" width="11.140625" style="326" bestFit="1" customWidth="1"/>
    <col min="13" max="13" width="11.140625" style="326" customWidth="1"/>
    <col min="14" max="22" width="9.140625" style="326" customWidth="1"/>
    <col min="24" max="45" width="9.140625" style="326"/>
    <col min="46" max="46" width="9.28515625" style="326"/>
    <col min="47" max="65" width="9.140625" style="326"/>
    <col min="66" max="66" width="9.28515625" style="326"/>
  </cols>
  <sheetData>
    <row r="1" spans="2:82" ht="15.75" thickBot="1" x14ac:dyDescent="0.3">
      <c r="B1" s="23" t="s">
        <v>283</v>
      </c>
    </row>
    <row r="2" spans="2:82" x14ac:dyDescent="0.25">
      <c r="B2" s="325" t="s">
        <v>47</v>
      </c>
      <c r="C2" s="326" t="s">
        <v>354</v>
      </c>
      <c r="AP2" s="449" t="s">
        <v>428</v>
      </c>
    </row>
    <row r="3" spans="2:82" x14ac:dyDescent="0.25">
      <c r="B3" s="325" t="s">
        <v>349</v>
      </c>
      <c r="AI3" s="434"/>
      <c r="AJ3" s="434"/>
      <c r="AK3" s="434"/>
      <c r="AL3" s="434"/>
      <c r="AM3" s="434"/>
      <c r="AP3" s="450" t="s">
        <v>250</v>
      </c>
    </row>
    <row r="4" spans="2:82" x14ac:dyDescent="0.25">
      <c r="B4" s="325"/>
      <c r="AP4" s="450" t="s">
        <v>244</v>
      </c>
    </row>
    <row r="5" spans="2:82" x14ac:dyDescent="0.25">
      <c r="B5" s="325"/>
      <c r="AP5" s="450" t="s">
        <v>236</v>
      </c>
    </row>
    <row r="6" spans="2:82" ht="15.75" thickBot="1" x14ac:dyDescent="0.3">
      <c r="AG6" s="389"/>
      <c r="AP6" s="451" t="s">
        <v>430</v>
      </c>
    </row>
    <row r="7" spans="2:82" ht="15.75" thickBot="1" x14ac:dyDescent="0.3">
      <c r="B7" s="427"/>
      <c r="C7" s="647" t="s">
        <v>400</v>
      </c>
      <c r="D7" s="648"/>
      <c r="E7" s="647" t="s">
        <v>401</v>
      </c>
      <c r="F7" s="649"/>
      <c r="G7" s="647" t="s">
        <v>550</v>
      </c>
      <c r="H7" s="648"/>
      <c r="I7" s="648"/>
      <c r="K7" s="23" t="s">
        <v>277</v>
      </c>
      <c r="N7" s="320" t="s">
        <v>98</v>
      </c>
      <c r="O7" s="320"/>
      <c r="P7" s="320"/>
      <c r="Q7" s="320"/>
      <c r="R7" s="320"/>
      <c r="S7" s="320" t="s">
        <v>427</v>
      </c>
      <c r="T7" s="320"/>
      <c r="U7" s="320"/>
      <c r="V7" s="320"/>
      <c r="X7" s="23" t="s">
        <v>404</v>
      </c>
      <c r="AI7" s="326" t="s">
        <v>552</v>
      </c>
      <c r="AW7" s="23" t="s">
        <v>405</v>
      </c>
    </row>
    <row r="8" spans="2:82" ht="18" x14ac:dyDescent="0.35">
      <c r="B8" s="428" t="s">
        <v>284</v>
      </c>
      <c r="C8" s="41" t="s">
        <v>350</v>
      </c>
      <c r="D8" s="41" t="s">
        <v>351</v>
      </c>
      <c r="E8" s="41" t="s">
        <v>352</v>
      </c>
      <c r="F8" s="322" t="s">
        <v>353</v>
      </c>
      <c r="G8" s="41" t="s">
        <v>219</v>
      </c>
      <c r="H8" s="41" t="s">
        <v>87</v>
      </c>
      <c r="I8" s="42" t="s">
        <v>4</v>
      </c>
      <c r="K8" s="40" t="s">
        <v>1</v>
      </c>
      <c r="L8" s="41" t="s">
        <v>2</v>
      </c>
      <c r="M8" s="321" t="s">
        <v>519</v>
      </c>
      <c r="N8" s="41" t="s">
        <v>83</v>
      </c>
      <c r="O8" s="41" t="s">
        <v>4</v>
      </c>
      <c r="P8" s="41" t="s">
        <v>5</v>
      </c>
      <c r="Q8" s="41" t="s">
        <v>551</v>
      </c>
      <c r="R8" s="322" t="s">
        <v>295</v>
      </c>
      <c r="S8" s="41" t="s">
        <v>309</v>
      </c>
      <c r="T8" s="41" t="s">
        <v>308</v>
      </c>
      <c r="U8" s="41" t="s">
        <v>307</v>
      </c>
      <c r="V8" s="41" t="s">
        <v>310</v>
      </c>
      <c r="X8" s="21" t="s">
        <v>144</v>
      </c>
      <c r="Y8" s="21" t="s">
        <v>145</v>
      </c>
      <c r="Z8" s="21" t="s">
        <v>146</v>
      </c>
      <c r="AA8" s="21" t="s">
        <v>303</v>
      </c>
      <c r="AB8" s="21" t="s">
        <v>302</v>
      </c>
      <c r="AC8" s="21" t="s">
        <v>148</v>
      </c>
      <c r="AD8" s="21" t="s">
        <v>149</v>
      </c>
      <c r="AE8" s="21" t="s">
        <v>147</v>
      </c>
      <c r="AF8" s="21" t="s">
        <v>304</v>
      </c>
      <c r="AG8" s="21" t="s">
        <v>263</v>
      </c>
      <c r="AH8" s="21"/>
      <c r="AI8" s="21" t="s">
        <v>148</v>
      </c>
      <c r="AJ8" s="21" t="s">
        <v>149</v>
      </c>
      <c r="AK8" s="21" t="s">
        <v>147</v>
      </c>
      <c r="AL8" s="21" t="s">
        <v>304</v>
      </c>
      <c r="AM8" s="21"/>
      <c r="AN8" s="21" t="s">
        <v>245</v>
      </c>
      <c r="AO8" s="21" t="s">
        <v>100</v>
      </c>
      <c r="AP8" s="351" t="s">
        <v>346</v>
      </c>
      <c r="AQ8" s="351" t="s">
        <v>348</v>
      </c>
      <c r="AR8" s="351" t="s">
        <v>347</v>
      </c>
      <c r="AS8" s="351"/>
      <c r="AT8" s="351" t="s">
        <v>429</v>
      </c>
      <c r="AU8" s="351" t="s">
        <v>304</v>
      </c>
      <c r="AV8" s="351"/>
      <c r="AW8" s="21" t="s">
        <v>144</v>
      </c>
      <c r="AX8" s="21" t="s">
        <v>145</v>
      </c>
      <c r="AY8" s="21" t="s">
        <v>146</v>
      </c>
      <c r="AZ8" s="21" t="s">
        <v>303</v>
      </c>
      <c r="BA8" s="21" t="s">
        <v>302</v>
      </c>
      <c r="BB8" s="21" t="s">
        <v>148</v>
      </c>
      <c r="BC8" s="21" t="s">
        <v>149</v>
      </c>
      <c r="BD8" s="21" t="s">
        <v>147</v>
      </c>
      <c r="BE8" s="21" t="s">
        <v>304</v>
      </c>
      <c r="BF8" s="21" t="s">
        <v>263</v>
      </c>
      <c r="BG8" s="21"/>
      <c r="BH8" s="21" t="s">
        <v>245</v>
      </c>
      <c r="BI8" s="21" t="s">
        <v>100</v>
      </c>
      <c r="BJ8" s="351" t="s">
        <v>346</v>
      </c>
      <c r="BK8" s="351" t="s">
        <v>348</v>
      </c>
      <c r="BL8" s="351" t="s">
        <v>347</v>
      </c>
      <c r="BM8" s="21"/>
      <c r="BN8" s="351" t="s">
        <v>429</v>
      </c>
      <c r="BO8" s="351" t="s">
        <v>304</v>
      </c>
    </row>
    <row r="9" spans="2:82" x14ac:dyDescent="0.25">
      <c r="B9" s="429"/>
      <c r="C9" s="6" t="s">
        <v>49</v>
      </c>
      <c r="D9" s="6" t="s">
        <v>39</v>
      </c>
      <c r="E9" s="6" t="s">
        <v>49</v>
      </c>
      <c r="F9" s="323" t="s">
        <v>39</v>
      </c>
      <c r="G9" s="6" t="s">
        <v>9</v>
      </c>
      <c r="H9" s="6" t="s">
        <v>37</v>
      </c>
      <c r="I9" s="324" t="s">
        <v>125</v>
      </c>
      <c r="K9" s="195"/>
      <c r="L9" s="6"/>
      <c r="M9" s="498" t="s">
        <v>11</v>
      </c>
      <c r="N9" s="6"/>
      <c r="O9" s="6" t="s">
        <v>125</v>
      </c>
      <c r="P9" s="6" t="s">
        <v>125</v>
      </c>
      <c r="Q9" s="6" t="s">
        <v>38</v>
      </c>
      <c r="R9" s="323" t="s">
        <v>38</v>
      </c>
      <c r="S9" s="6"/>
      <c r="T9" s="6"/>
      <c r="U9" s="6"/>
      <c r="V9" s="6"/>
      <c r="X9" s="418"/>
      <c r="Y9" s="418"/>
      <c r="Z9" s="418"/>
      <c r="AA9" s="418" t="s">
        <v>171</v>
      </c>
      <c r="AB9" s="418" t="s">
        <v>171</v>
      </c>
      <c r="AC9" s="418" t="s">
        <v>49</v>
      </c>
      <c r="AD9" s="418" t="s">
        <v>49</v>
      </c>
      <c r="AE9" s="418" t="s">
        <v>49</v>
      </c>
      <c r="AF9" s="418" t="s">
        <v>49</v>
      </c>
      <c r="AG9" s="418" t="s">
        <v>39</v>
      </c>
      <c r="AH9" s="418"/>
      <c r="AI9" s="418" t="s">
        <v>49</v>
      </c>
      <c r="AJ9" s="418" t="s">
        <v>49</v>
      </c>
      <c r="AK9" s="418" t="s">
        <v>49</v>
      </c>
      <c r="AL9" s="418" t="s">
        <v>49</v>
      </c>
      <c r="AM9" s="418"/>
      <c r="AN9" s="6" t="s">
        <v>11</v>
      </c>
      <c r="AO9" s="6" t="s">
        <v>38</v>
      </c>
      <c r="AP9" s="6" t="s">
        <v>38</v>
      </c>
      <c r="AQ9" s="6" t="s">
        <v>38</v>
      </c>
      <c r="AR9" s="6" t="s">
        <v>49</v>
      </c>
      <c r="AS9" s="6"/>
      <c r="AT9" s="6"/>
      <c r="AU9" s="6" t="s">
        <v>49</v>
      </c>
      <c r="AV9" s="6"/>
      <c r="AW9" s="418"/>
      <c r="AX9" s="418"/>
      <c r="AY9" s="418"/>
      <c r="AZ9" s="418" t="s">
        <v>171</v>
      </c>
      <c r="BA9" s="418" t="s">
        <v>171</v>
      </c>
      <c r="BB9" s="418" t="s">
        <v>49</v>
      </c>
      <c r="BC9" s="418" t="s">
        <v>49</v>
      </c>
      <c r="BD9" s="418" t="s">
        <v>49</v>
      </c>
      <c r="BE9" s="418" t="s">
        <v>49</v>
      </c>
      <c r="BF9" s="418" t="s">
        <v>39</v>
      </c>
      <c r="BG9" s="418"/>
      <c r="BH9" s="6" t="s">
        <v>11</v>
      </c>
      <c r="BI9" s="6" t="s">
        <v>38</v>
      </c>
      <c r="BJ9" s="6" t="s">
        <v>38</v>
      </c>
      <c r="BK9" s="6" t="s">
        <v>38</v>
      </c>
      <c r="BL9" s="6" t="s">
        <v>49</v>
      </c>
      <c r="BM9" s="10"/>
      <c r="BN9" s="6"/>
      <c r="BO9" s="6" t="s">
        <v>49</v>
      </c>
    </row>
    <row r="10" spans="2:82" x14ac:dyDescent="0.25">
      <c r="B10" s="430">
        <v>10</v>
      </c>
      <c r="C10" s="65">
        <f>AU10</f>
        <v>0</v>
      </c>
      <c r="D10" s="65"/>
      <c r="E10" s="65">
        <f t="shared" ref="E10:E29" si="0">IF(ISBLANK(BO10),C10,BO10)</f>
        <v>0</v>
      </c>
      <c r="F10" s="594"/>
      <c r="G10" s="65"/>
      <c r="H10" s="65"/>
      <c r="I10" s="275">
        <f>O10</f>
        <v>305</v>
      </c>
      <c r="K10" s="637" t="s">
        <v>255</v>
      </c>
      <c r="L10" s="46" t="s">
        <v>82</v>
      </c>
      <c r="M10" s="537">
        <f>VLOOKUP($B10,'Core Demand'!$B$8:$E$36,MATCH(M$8,'Core Demand'!$B$8:$E$8,0),FALSE)</f>
        <v>430.91999999999996</v>
      </c>
      <c r="N10" s="189" t="s">
        <v>341</v>
      </c>
      <c r="O10" s="189">
        <v>305</v>
      </c>
      <c r="P10" s="146"/>
      <c r="Q10" s="146"/>
      <c r="R10" s="328">
        <v>12</v>
      </c>
      <c r="S10" s="189"/>
      <c r="T10" s="189"/>
      <c r="U10" s="189"/>
      <c r="V10" s="189"/>
      <c r="X10" s="345">
        <f>268.9/(122+121.9)</f>
        <v>1.10250102501025</v>
      </c>
      <c r="Y10" s="345">
        <f>272.5/(120.2+78.4)</f>
        <v>1.3721047331319234</v>
      </c>
      <c r="Z10" s="345">
        <f>228.8/(124.2+126.8)</f>
        <v>0.91155378486055783</v>
      </c>
      <c r="AA10" s="348">
        <v>26.6</v>
      </c>
      <c r="AB10" s="348">
        <v>28.1</v>
      </c>
      <c r="AC10" s="339">
        <f>_xll.KAB(X10,RADIANS(AA10),RADIANS(AB10),$R10,$V10,$S10)/10^6</f>
        <v>0</v>
      </c>
      <c r="AD10" s="339">
        <f t="shared" ref="AD10:AD21" si="1">_xll.KAC(Y10,RADIANS(AA10),$R10,$V10,$T10)/10^6</f>
        <v>0</v>
      </c>
      <c r="AE10" s="339">
        <f t="shared" ref="AE10:AE21" si="2">_xll.KBD(Z10,RADIANS(AB10),$R10,$V10,$U10)/10^6</f>
        <v>0</v>
      </c>
      <c r="AF10" s="344">
        <f t="shared" ref="AF10:AF29" si="3">SUM(AC10:AE10)</f>
        <v>0</v>
      </c>
      <c r="AG10" s="344"/>
      <c r="AH10" s="339"/>
      <c r="AI10" s="389">
        <f>Kab_mod(X10,RADIANS(AA10),RADIANS(AB10),$R10,$V10,$S10)/10^6</f>
        <v>708.6794668956926</v>
      </c>
      <c r="AJ10" s="389">
        <f>Kac_mod(Y10,RADIANS(AA10),$R10,$V10,$T10)/10^6</f>
        <v>161.80284086279997</v>
      </c>
      <c r="AK10" s="389">
        <f>Kbd_mod(Z10,RADIANS(AB10),$R10,$V10,$U10)/10^6</f>
        <v>146.22150049807647</v>
      </c>
      <c r="AL10" s="389">
        <f t="shared" ref="AL10:AL29" si="4">(Kab_mod(X10,RADIANS(AA10),RADIANS(AB10),$R10,$V10,$S10)+Kac_mod(Y10,RADIANS(AA10),$R10,$V10,$T10)+Kbd_mod(Z10,RADIANS(AB10),$R10,$V10,$U10))/10^6</f>
        <v>1016.703808256569</v>
      </c>
      <c r="AM10" s="339"/>
      <c r="AN10" s="343">
        <v>100</v>
      </c>
      <c r="AO10" s="343">
        <v>269.10000000000002</v>
      </c>
      <c r="AP10" s="343">
        <v>2.9140000000000001</v>
      </c>
      <c r="AQ10" s="343"/>
      <c r="AR10" s="344">
        <v>2854</v>
      </c>
      <c r="AS10" s="339"/>
      <c r="AT10" s="343" t="s">
        <v>250</v>
      </c>
      <c r="AU10" s="353">
        <f>IF(AT10="Kinoshita",AF10,IF(AT10="FE",AR10,IF(AT10="Rigid","∞",#N/A)))</f>
        <v>0</v>
      </c>
      <c r="AV10" s="339"/>
      <c r="AW10" s="339"/>
      <c r="AX10" s="339"/>
      <c r="AY10" s="339"/>
      <c r="AZ10" s="339"/>
      <c r="BA10" s="339"/>
      <c r="BB10" s="339"/>
      <c r="BC10" s="339"/>
      <c r="BD10" s="339"/>
      <c r="BE10" s="344"/>
      <c r="BF10" s="344"/>
      <c r="BG10" s="339"/>
      <c r="BH10" s="339"/>
      <c r="BI10" s="339"/>
      <c r="BJ10" s="339"/>
      <c r="BK10" s="339"/>
      <c r="BL10" s="344"/>
      <c r="BM10" s="339"/>
      <c r="BN10" s="343" t="s">
        <v>430</v>
      </c>
      <c r="BO10" s="353">
        <f>IF(BN10="Kinoshita",BE10,IF(BN10="FE",BL10,IF(BN10="Rigid","∞",IF(BN10="Handed",AU10,#N/A))))</f>
        <v>0</v>
      </c>
      <c r="BP10" s="339"/>
      <c r="BQ10" s="339"/>
    </row>
    <row r="11" spans="2:82" x14ac:dyDescent="0.25">
      <c r="B11" s="430">
        <v>11</v>
      </c>
      <c r="C11" s="65">
        <f t="shared" ref="C11:C28" si="5">AU11</f>
        <v>51</v>
      </c>
      <c r="D11" s="65"/>
      <c r="E11" s="65">
        <f t="shared" si="0"/>
        <v>51</v>
      </c>
      <c r="F11" s="594"/>
      <c r="G11" s="65"/>
      <c r="H11" s="65"/>
      <c r="I11" s="275"/>
      <c r="K11" s="637"/>
      <c r="L11" s="46" t="s">
        <v>15</v>
      </c>
      <c r="M11" s="538">
        <f>VLOOKUP($B11,'Core Demand'!$B$8:$E$36,MATCH(M$8,'Core Demand'!$B$8:$E$8,0),FALSE)</f>
        <v>535</v>
      </c>
      <c r="N11" s="189" t="s">
        <v>219</v>
      </c>
      <c r="O11" s="189">
        <v>385.8</v>
      </c>
      <c r="P11" s="146"/>
      <c r="Q11" s="146"/>
      <c r="R11" s="328">
        <v>12</v>
      </c>
      <c r="S11" s="189"/>
      <c r="T11" s="189"/>
      <c r="U11" s="189"/>
      <c r="V11" s="189"/>
      <c r="X11" s="432"/>
      <c r="Y11" s="432">
        <f>240.5/(120.1+185.3)</f>
        <v>0.78749181401440738</v>
      </c>
      <c r="Z11" s="432"/>
      <c r="AA11" s="433">
        <v>98.5</v>
      </c>
      <c r="AB11" s="433"/>
      <c r="AC11" s="339">
        <f t="shared" ref="AC11:AC21" si="6">_xll.KAB(X11,RADIANS(AA11),RADIANS(AB11),$R11,$V11,$S11)/10^6</f>
        <v>0</v>
      </c>
      <c r="AD11" s="339">
        <f t="shared" si="1"/>
        <v>0</v>
      </c>
      <c r="AE11" s="339">
        <f t="shared" si="2"/>
        <v>0</v>
      </c>
      <c r="AF11" s="344">
        <f t="shared" si="3"/>
        <v>0</v>
      </c>
      <c r="AG11" s="344"/>
      <c r="AH11" s="339"/>
      <c r="AI11" s="389">
        <f t="shared" ref="AI11:AI21" si="7">Kab_mod(X11,RADIANS(AA11),RADIANS(AB11),$R11,$V11,$S11)/10^6</f>
        <v>0</v>
      </c>
      <c r="AJ11" s="389">
        <f>Kac_mod(Y11,RADIANS(AA11),$R11,$V11,$T11)/10^6</f>
        <v>33.164117544243595</v>
      </c>
      <c r="AK11" s="389">
        <f>Kbd_mod(Z11,RADIANS(AB11),$R11,$V11,$U11)/10^6</f>
        <v>0</v>
      </c>
      <c r="AL11" s="389">
        <f t="shared" si="4"/>
        <v>33.164117544243595</v>
      </c>
      <c r="AM11" s="339"/>
      <c r="AN11" s="343">
        <v>100</v>
      </c>
      <c r="AO11" s="343">
        <v>160.19999999999999</v>
      </c>
      <c r="AP11" s="343">
        <v>31.32</v>
      </c>
      <c r="AQ11" s="343"/>
      <c r="AR11" s="344">
        <v>51</v>
      </c>
      <c r="AS11" s="339"/>
      <c r="AT11" s="343" t="s">
        <v>244</v>
      </c>
      <c r="AU11" s="353">
        <f t="shared" ref="AU11:AU29" si="8">IF(AT11="Kinoshita",AF11,IF(AT11="FE",AR11,IF(AT11="Rigid","∞",#N/A)))</f>
        <v>51</v>
      </c>
      <c r="AV11" s="339"/>
      <c r="AW11" s="339"/>
      <c r="AX11" s="339"/>
      <c r="AY11" s="339"/>
      <c r="AZ11" s="339"/>
      <c r="BA11" s="339"/>
      <c r="BB11" s="339"/>
      <c r="BC11" s="339"/>
      <c r="BD11" s="339"/>
      <c r="BE11" s="344"/>
      <c r="BF11" s="344"/>
      <c r="BG11" s="339"/>
      <c r="BH11" s="339"/>
      <c r="BI11" s="339"/>
      <c r="BJ11" s="339"/>
      <c r="BK11" s="339"/>
      <c r="BL11" s="344"/>
      <c r="BM11" s="339"/>
      <c r="BN11" s="343" t="s">
        <v>430</v>
      </c>
      <c r="BO11" s="353">
        <f t="shared" ref="BO11:BO29" si="9">IF(BN11="Kinoshita",BE11,IF(BN11="FE",BL11,IF(BN11="Rigid","∞",IF(BN11="Handed",AU11,#N/A))))</f>
        <v>51</v>
      </c>
      <c r="BP11" s="339"/>
      <c r="BQ11" s="339"/>
    </row>
    <row r="12" spans="2:82" x14ac:dyDescent="0.25">
      <c r="B12" s="430">
        <v>12</v>
      </c>
      <c r="C12" s="65">
        <f t="shared" si="5"/>
        <v>51</v>
      </c>
      <c r="D12" s="65"/>
      <c r="E12" s="65">
        <f t="shared" si="0"/>
        <v>51</v>
      </c>
      <c r="F12" s="594"/>
      <c r="G12" s="65"/>
      <c r="H12" s="65"/>
      <c r="I12" s="275"/>
      <c r="K12" s="637"/>
      <c r="L12" s="46" t="s">
        <v>16</v>
      </c>
      <c r="M12" s="538">
        <f>VLOOKUP($B12,'Core Demand'!$B$8:$E$36,MATCH(M$8,'Core Demand'!$B$8:$E$8,0),FALSE)</f>
        <v>507</v>
      </c>
      <c r="N12" s="189" t="s">
        <v>219</v>
      </c>
      <c r="O12" s="189">
        <v>391.5</v>
      </c>
      <c r="P12" s="146"/>
      <c r="Q12" s="146"/>
      <c r="R12" s="328">
        <v>12</v>
      </c>
      <c r="S12" s="189"/>
      <c r="T12" s="189"/>
      <c r="U12" s="189"/>
      <c r="V12" s="189"/>
      <c r="X12" s="346">
        <f>X11</f>
        <v>0</v>
      </c>
      <c r="Y12" s="346">
        <f t="shared" ref="Y12:Y15" si="10">Y11</f>
        <v>0.78749181401440738</v>
      </c>
      <c r="Z12" s="346">
        <f t="shared" ref="Z12:Z15" si="11">Z11</f>
        <v>0</v>
      </c>
      <c r="AA12" s="347">
        <f t="shared" ref="AA12" si="12">AA11</f>
        <v>98.5</v>
      </c>
      <c r="AB12" s="347">
        <f t="shared" ref="AB12" si="13">AB11</f>
        <v>0</v>
      </c>
      <c r="AC12" s="339">
        <f t="shared" si="6"/>
        <v>0</v>
      </c>
      <c r="AD12" s="339">
        <f t="shared" si="1"/>
        <v>0</v>
      </c>
      <c r="AE12" s="339">
        <f t="shared" si="2"/>
        <v>0</v>
      </c>
      <c r="AF12" s="344">
        <f t="shared" si="3"/>
        <v>0</v>
      </c>
      <c r="AG12" s="344"/>
      <c r="AH12" s="339"/>
      <c r="AI12" s="389">
        <f t="shared" si="7"/>
        <v>0</v>
      </c>
      <c r="AJ12" s="389">
        <f t="shared" ref="AJ12:AJ21" si="14">Kac_mod(Y12,RADIANS(AA12),$R12,$V12,$T12)/10^6</f>
        <v>33.164117544243595</v>
      </c>
      <c r="AK12" s="389">
        <f t="shared" ref="AK12:AK21" si="15">Kbd_mod(Z12,RADIANS(AB12),$R12,$V12,$U12)/10^6</f>
        <v>0</v>
      </c>
      <c r="AL12" s="389">
        <f t="shared" si="4"/>
        <v>33.164117544243595</v>
      </c>
      <c r="AM12" s="339"/>
      <c r="AN12" s="347">
        <f t="shared" ref="AN12:AN15" si="16">AN11</f>
        <v>100</v>
      </c>
      <c r="AO12" s="347">
        <f t="shared" ref="AO12:AO15" si="17">AO11</f>
        <v>160.19999999999999</v>
      </c>
      <c r="AP12" s="347">
        <f t="shared" ref="AP12:AP15" si="18">AP11</f>
        <v>31.32</v>
      </c>
      <c r="AQ12" s="347"/>
      <c r="AR12" s="344">
        <v>51</v>
      </c>
      <c r="AS12" s="339"/>
      <c r="AT12" s="343" t="s">
        <v>244</v>
      </c>
      <c r="AU12" s="353">
        <f t="shared" si="8"/>
        <v>51</v>
      </c>
      <c r="AV12" s="339"/>
      <c r="AW12" s="339"/>
      <c r="AX12" s="339"/>
      <c r="AY12" s="339"/>
      <c r="AZ12" s="339"/>
      <c r="BA12" s="339"/>
      <c r="BB12" s="339"/>
      <c r="BC12" s="339"/>
      <c r="BD12" s="339"/>
      <c r="BE12" s="344"/>
      <c r="BF12" s="344"/>
      <c r="BG12" s="339"/>
      <c r="BH12" s="339"/>
      <c r="BI12" s="339"/>
      <c r="BJ12" s="339"/>
      <c r="BK12" s="339"/>
      <c r="BL12" s="344"/>
      <c r="BM12" s="339"/>
      <c r="BN12" s="343" t="s">
        <v>430</v>
      </c>
      <c r="BO12" s="353">
        <f t="shared" si="9"/>
        <v>51</v>
      </c>
      <c r="BP12" s="339"/>
      <c r="BQ12" s="339"/>
    </row>
    <row r="13" spans="2:82" x14ac:dyDescent="0.25">
      <c r="B13" s="430">
        <v>13</v>
      </c>
      <c r="C13" s="65">
        <f t="shared" si="5"/>
        <v>51</v>
      </c>
      <c r="D13" s="65"/>
      <c r="E13" s="65">
        <f t="shared" si="0"/>
        <v>51</v>
      </c>
      <c r="F13" s="594"/>
      <c r="G13" s="65"/>
      <c r="H13" s="65"/>
      <c r="I13" s="275"/>
      <c r="K13" s="637"/>
      <c r="L13" s="46" t="s">
        <v>17</v>
      </c>
      <c r="M13" s="538">
        <f>VLOOKUP($B13,'Core Demand'!$B$8:$E$36,MATCH(M$8,'Core Demand'!$B$8:$E$8,0),FALSE)</f>
        <v>436.91399999999999</v>
      </c>
      <c r="N13" s="189" t="s">
        <v>219</v>
      </c>
      <c r="O13" s="189">
        <v>365.7</v>
      </c>
      <c r="P13" s="146"/>
      <c r="Q13" s="146"/>
      <c r="R13" s="328">
        <v>12</v>
      </c>
      <c r="S13" s="189"/>
      <c r="T13" s="189"/>
      <c r="U13" s="189"/>
      <c r="V13" s="189"/>
      <c r="X13" s="346">
        <f t="shared" ref="X13:X15" si="19">X12</f>
        <v>0</v>
      </c>
      <c r="Y13" s="346">
        <f t="shared" si="10"/>
        <v>0.78749181401440738</v>
      </c>
      <c r="Z13" s="346">
        <f t="shared" si="11"/>
        <v>0</v>
      </c>
      <c r="AA13" s="347">
        <f t="shared" ref="AA13:AA15" si="20">AA12</f>
        <v>98.5</v>
      </c>
      <c r="AB13" s="347">
        <f t="shared" ref="AB13:AB15" si="21">AB12</f>
        <v>0</v>
      </c>
      <c r="AC13" s="339">
        <f t="shared" si="6"/>
        <v>0</v>
      </c>
      <c r="AD13" s="339">
        <f t="shared" si="1"/>
        <v>0</v>
      </c>
      <c r="AE13" s="339">
        <f t="shared" si="2"/>
        <v>0</v>
      </c>
      <c r="AF13" s="344">
        <f t="shared" si="3"/>
        <v>0</v>
      </c>
      <c r="AG13" s="344"/>
      <c r="AI13" s="389">
        <f t="shared" si="7"/>
        <v>0</v>
      </c>
      <c r="AJ13" s="389">
        <f t="shared" si="14"/>
        <v>33.164117544243595</v>
      </c>
      <c r="AK13" s="389">
        <f t="shared" si="15"/>
        <v>0</v>
      </c>
      <c r="AL13" s="389">
        <f t="shared" si="4"/>
        <v>33.164117544243595</v>
      </c>
      <c r="AN13" s="347">
        <f t="shared" si="16"/>
        <v>100</v>
      </c>
      <c r="AO13" s="347">
        <f t="shared" si="17"/>
        <v>160.19999999999999</v>
      </c>
      <c r="AP13" s="347">
        <f t="shared" si="18"/>
        <v>31.32</v>
      </c>
      <c r="AQ13" s="347"/>
      <c r="AR13" s="344">
        <v>51</v>
      </c>
      <c r="AT13" s="352" t="s">
        <v>244</v>
      </c>
      <c r="AU13" s="353">
        <f t="shared" si="8"/>
        <v>51</v>
      </c>
      <c r="BE13" s="425"/>
      <c r="BF13" s="425"/>
      <c r="BL13" s="425"/>
      <c r="BN13" s="352" t="s">
        <v>430</v>
      </c>
      <c r="BO13" s="353">
        <f t="shared" si="9"/>
        <v>51</v>
      </c>
      <c r="BP13" s="326"/>
      <c r="BQ13" s="326"/>
    </row>
    <row r="14" spans="2:82" x14ac:dyDescent="0.25">
      <c r="B14" s="430">
        <v>14</v>
      </c>
      <c r="C14" s="65">
        <f t="shared" si="5"/>
        <v>51</v>
      </c>
      <c r="D14" s="65"/>
      <c r="E14" s="65">
        <f t="shared" si="0"/>
        <v>51</v>
      </c>
      <c r="F14" s="594"/>
      <c r="G14" s="65"/>
      <c r="H14" s="65"/>
      <c r="I14" s="275"/>
      <c r="K14" s="637"/>
      <c r="L14" s="46" t="s">
        <v>18</v>
      </c>
      <c r="M14" s="538">
        <f>VLOOKUP($B14,'Core Demand'!$B$8:$E$36,MATCH(M$8,'Core Demand'!$B$8:$E$8,0),FALSE)</f>
        <v>432.21600000000001</v>
      </c>
      <c r="N14" s="189" t="s">
        <v>219</v>
      </c>
      <c r="O14" s="189">
        <v>391.5</v>
      </c>
      <c r="P14" s="146"/>
      <c r="Q14" s="146"/>
      <c r="R14" s="328">
        <v>12</v>
      </c>
      <c r="S14" s="189"/>
      <c r="T14" s="189"/>
      <c r="U14" s="189"/>
      <c r="V14" s="189"/>
      <c r="X14" s="346">
        <f t="shared" si="19"/>
        <v>0</v>
      </c>
      <c r="Y14" s="346">
        <f t="shared" si="10"/>
        <v>0.78749181401440738</v>
      </c>
      <c r="Z14" s="346">
        <f t="shared" si="11"/>
        <v>0</v>
      </c>
      <c r="AA14" s="347">
        <f t="shared" si="20"/>
        <v>98.5</v>
      </c>
      <c r="AB14" s="347">
        <f t="shared" si="21"/>
        <v>0</v>
      </c>
      <c r="AC14" s="339">
        <f t="shared" si="6"/>
        <v>0</v>
      </c>
      <c r="AD14" s="339">
        <f t="shared" si="1"/>
        <v>0</v>
      </c>
      <c r="AE14" s="339">
        <f t="shared" si="2"/>
        <v>0</v>
      </c>
      <c r="AF14" s="344">
        <f t="shared" si="3"/>
        <v>0</v>
      </c>
      <c r="AG14" s="344"/>
      <c r="AI14" s="389">
        <f t="shared" si="7"/>
        <v>0</v>
      </c>
      <c r="AJ14" s="389">
        <f t="shared" si="14"/>
        <v>33.164117544243595</v>
      </c>
      <c r="AK14" s="389">
        <f t="shared" si="15"/>
        <v>0</v>
      </c>
      <c r="AL14" s="389">
        <f t="shared" si="4"/>
        <v>33.164117544243595</v>
      </c>
      <c r="AN14" s="347">
        <f t="shared" si="16"/>
        <v>100</v>
      </c>
      <c r="AO14" s="347">
        <f t="shared" si="17"/>
        <v>160.19999999999999</v>
      </c>
      <c r="AP14" s="347">
        <f t="shared" si="18"/>
        <v>31.32</v>
      </c>
      <c r="AQ14" s="347"/>
      <c r="AR14" s="344">
        <v>51</v>
      </c>
      <c r="AT14" s="352" t="s">
        <v>244</v>
      </c>
      <c r="AU14" s="353">
        <f t="shared" si="8"/>
        <v>51</v>
      </c>
      <c r="BE14" s="425"/>
      <c r="BF14" s="425"/>
      <c r="BL14" s="425"/>
      <c r="BN14" s="352" t="s">
        <v>430</v>
      </c>
      <c r="BO14" s="353">
        <f t="shared" si="9"/>
        <v>51</v>
      </c>
      <c r="BP14" s="326"/>
      <c r="BQ14" s="326"/>
    </row>
    <row r="15" spans="2:82" x14ac:dyDescent="0.25">
      <c r="B15" s="429">
        <v>15</v>
      </c>
      <c r="C15" s="17">
        <f t="shared" si="5"/>
        <v>51</v>
      </c>
      <c r="D15" s="17"/>
      <c r="E15" s="17">
        <f t="shared" si="0"/>
        <v>51</v>
      </c>
      <c r="F15" s="595"/>
      <c r="G15" s="17"/>
      <c r="H15" s="17"/>
      <c r="I15" s="282"/>
      <c r="K15" s="638"/>
      <c r="L15" s="6" t="s">
        <v>19</v>
      </c>
      <c r="M15" s="539">
        <f>VLOOKUP($B15,'Core Demand'!$B$8:$E$36,MATCH(M$8,'Core Demand'!$B$8:$E$8,0),FALSE)</f>
        <v>432.21600000000001</v>
      </c>
      <c r="N15" s="190" t="s">
        <v>219</v>
      </c>
      <c r="O15" s="190">
        <v>391.5</v>
      </c>
      <c r="P15" s="123"/>
      <c r="Q15" s="123"/>
      <c r="R15" s="329">
        <v>12</v>
      </c>
      <c r="S15" s="190"/>
      <c r="T15" s="190"/>
      <c r="U15" s="190"/>
      <c r="V15" s="190"/>
      <c r="X15" s="419">
        <f t="shared" si="19"/>
        <v>0</v>
      </c>
      <c r="Y15" s="419">
        <f t="shared" si="10"/>
        <v>0.78749181401440738</v>
      </c>
      <c r="Z15" s="419">
        <f t="shared" si="11"/>
        <v>0</v>
      </c>
      <c r="AA15" s="420">
        <f t="shared" si="20"/>
        <v>98.5</v>
      </c>
      <c r="AB15" s="420">
        <f t="shared" si="21"/>
        <v>0</v>
      </c>
      <c r="AC15" s="421">
        <f t="shared" si="6"/>
        <v>0</v>
      </c>
      <c r="AD15" s="421">
        <f t="shared" si="1"/>
        <v>0</v>
      </c>
      <c r="AE15" s="421">
        <f t="shared" si="2"/>
        <v>0</v>
      </c>
      <c r="AF15" s="422">
        <f t="shared" si="3"/>
        <v>0</v>
      </c>
      <c r="AG15" s="422"/>
      <c r="AH15" s="418"/>
      <c r="AI15" s="599">
        <f t="shared" si="7"/>
        <v>0</v>
      </c>
      <c r="AJ15" s="599">
        <f t="shared" si="14"/>
        <v>33.164117544243595</v>
      </c>
      <c r="AK15" s="599">
        <f t="shared" si="15"/>
        <v>0</v>
      </c>
      <c r="AL15" s="599">
        <f t="shared" si="4"/>
        <v>33.164117544243595</v>
      </c>
      <c r="AM15" s="418"/>
      <c r="AN15" s="420">
        <f t="shared" si="16"/>
        <v>100</v>
      </c>
      <c r="AO15" s="420">
        <f t="shared" si="17"/>
        <v>160.19999999999999</v>
      </c>
      <c r="AP15" s="420">
        <f t="shared" si="18"/>
        <v>31.32</v>
      </c>
      <c r="AQ15" s="420"/>
      <c r="AR15" s="422">
        <v>51</v>
      </c>
      <c r="AS15" s="418"/>
      <c r="AT15" s="452" t="s">
        <v>244</v>
      </c>
      <c r="AU15" s="17">
        <f t="shared" si="8"/>
        <v>51</v>
      </c>
      <c r="AV15" s="418"/>
      <c r="AW15" s="418"/>
      <c r="AX15" s="418"/>
      <c r="AY15" s="418"/>
      <c r="AZ15" s="418"/>
      <c r="BA15" s="418"/>
      <c r="BB15" s="418"/>
      <c r="BC15" s="418"/>
      <c r="BD15" s="418"/>
      <c r="BE15" s="426"/>
      <c r="BF15" s="426"/>
      <c r="BG15" s="418"/>
      <c r="BH15" s="418"/>
      <c r="BI15" s="418"/>
      <c r="BJ15" s="418"/>
      <c r="BK15" s="418"/>
      <c r="BL15" s="426"/>
      <c r="BM15" s="418"/>
      <c r="BN15" s="452" t="s">
        <v>430</v>
      </c>
      <c r="BO15" s="17">
        <f t="shared" si="9"/>
        <v>51</v>
      </c>
      <c r="BP15" s="326"/>
      <c r="BQ15" s="326"/>
    </row>
    <row r="16" spans="2:82" x14ac:dyDescent="0.25">
      <c r="B16" s="430">
        <v>20</v>
      </c>
      <c r="C16" s="65">
        <f t="shared" si="5"/>
        <v>0</v>
      </c>
      <c r="D16" s="65"/>
      <c r="E16" s="65">
        <f t="shared" si="0"/>
        <v>0</v>
      </c>
      <c r="F16" s="594"/>
      <c r="G16" s="65"/>
      <c r="H16" s="65"/>
      <c r="I16" s="275"/>
      <c r="K16" s="636" t="s">
        <v>256</v>
      </c>
      <c r="L16" s="285" t="s">
        <v>78</v>
      </c>
      <c r="M16" s="537">
        <f>VLOOKUP($B16,'Core Demand'!$B$8:$E$36,MATCH(M$8,'Core Demand'!$B$8:$E$8,0),FALSE)</f>
        <v>474.65999999999997</v>
      </c>
      <c r="N16" s="330" t="s">
        <v>341</v>
      </c>
      <c r="O16" s="286">
        <v>245</v>
      </c>
      <c r="P16" s="286"/>
      <c r="Q16" s="286"/>
      <c r="R16" s="331">
        <v>12</v>
      </c>
      <c r="S16" s="330"/>
      <c r="T16" s="330"/>
      <c r="U16" s="330"/>
      <c r="V16" s="330"/>
      <c r="X16" s="345">
        <f>175/(87.4+85.7)</f>
        <v>1.0109763142692083</v>
      </c>
      <c r="Y16" s="345">
        <f>189.2/(98.3+80.8)</f>
        <v>1.0563930764935789</v>
      </c>
      <c r="Z16" s="345">
        <f>194.7/(77+140.7)</f>
        <v>0.8943500229673863</v>
      </c>
      <c r="AA16" s="348">
        <v>27.51</v>
      </c>
      <c r="AB16" s="348">
        <v>26.12</v>
      </c>
      <c r="AC16" s="339">
        <f t="shared" si="6"/>
        <v>0</v>
      </c>
      <c r="AD16" s="339">
        <f t="shared" si="1"/>
        <v>0</v>
      </c>
      <c r="AE16" s="339">
        <f t="shared" si="2"/>
        <v>0</v>
      </c>
      <c r="AF16" s="344">
        <f t="shared" si="3"/>
        <v>0</v>
      </c>
      <c r="AG16" s="344"/>
      <c r="AI16" s="389">
        <f t="shared" si="7"/>
        <v>706.01821953332228</v>
      </c>
      <c r="AJ16" s="389">
        <f t="shared" si="14"/>
        <v>152.04516261163255</v>
      </c>
      <c r="AK16" s="389">
        <f t="shared" si="15"/>
        <v>167.36747904746875</v>
      </c>
      <c r="AL16" s="389">
        <f t="shared" si="4"/>
        <v>1025.4308611924237</v>
      </c>
      <c r="AN16" s="343">
        <v>100</v>
      </c>
      <c r="AO16" s="352">
        <v>175</v>
      </c>
      <c r="AP16" s="352">
        <v>2.8210000000000002</v>
      </c>
      <c r="AQ16" s="352"/>
      <c r="AR16" s="344">
        <f t="shared" ref="AR16:AR29" si="22">AN16*AO16^2/(AP16-AQ16)/10^3</f>
        <v>1085.6079404466502</v>
      </c>
      <c r="AT16" s="352" t="s">
        <v>250</v>
      </c>
      <c r="AU16" s="353">
        <f t="shared" si="8"/>
        <v>0</v>
      </c>
      <c r="AW16" s="345">
        <f>249.4/(98.1+91.5)</f>
        <v>1.3154008438818565</v>
      </c>
      <c r="AX16" s="345">
        <f>254.2/(89.7+154.7)</f>
        <v>1.0400981996726677</v>
      </c>
      <c r="AY16" s="345">
        <f>260.3/(83.8+94)</f>
        <v>1.4640044994375703</v>
      </c>
      <c r="AZ16" s="348">
        <v>21.09</v>
      </c>
      <c r="BA16" s="348">
        <v>22.15</v>
      </c>
      <c r="BB16" s="339">
        <f t="shared" ref="BB16:BB21" si="23">_xll.KAB(AW16,RADIANS(AZ16),RADIANS(BA16),$R16,$V16,$S16)/10^6</f>
        <v>0</v>
      </c>
      <c r="BC16" s="339">
        <f t="shared" ref="BC16:BC21" si="24">_xll.KAC(AX16,RADIANS(AZ16),$R16,$V16,$T16)/10^6</f>
        <v>0</v>
      </c>
      <c r="BD16" s="339">
        <f t="shared" ref="BD16:BD21" si="25">_xll.KBD(AY16,RADIANS(BA16),$R16,$V16,$U16)/10^6</f>
        <v>0</v>
      </c>
      <c r="BE16" s="344">
        <f t="shared" ref="BE16:BE21" si="26">SUM(BB16:BD16)</f>
        <v>0</v>
      </c>
      <c r="BF16" s="344"/>
      <c r="BH16" s="343">
        <v>100</v>
      </c>
      <c r="BI16" s="352">
        <v>248.8</v>
      </c>
      <c r="BJ16" s="352">
        <v>2.6760000000000002</v>
      </c>
      <c r="BK16" s="352"/>
      <c r="BL16" s="344">
        <f t="shared" ref="BL16:BL21" si="27">BH16*BI16^2/(BJ16-BK16)/10^3</f>
        <v>2313.2077727952164</v>
      </c>
      <c r="BM16" s="21"/>
      <c r="BN16" s="352" t="s">
        <v>250</v>
      </c>
      <c r="BO16" s="353">
        <f t="shared" si="9"/>
        <v>0</v>
      </c>
      <c r="BQ16" s="326"/>
      <c r="BR16" s="326"/>
      <c r="BS16" s="326"/>
      <c r="BT16" s="326"/>
      <c r="BU16" s="326"/>
      <c r="BV16" s="326"/>
      <c r="BW16" s="326"/>
      <c r="BX16" s="326"/>
      <c r="BY16" s="326"/>
      <c r="BZ16" s="326"/>
      <c r="CA16" s="326"/>
      <c r="CB16" s="326"/>
      <c r="CC16" s="326"/>
      <c r="CD16" s="326"/>
    </row>
    <row r="17" spans="2:82" x14ac:dyDescent="0.25">
      <c r="B17" s="430">
        <v>21</v>
      </c>
      <c r="C17" s="65">
        <f t="shared" si="5"/>
        <v>0</v>
      </c>
      <c r="D17" s="65"/>
      <c r="E17" s="65">
        <f t="shared" si="0"/>
        <v>0</v>
      </c>
      <c r="F17" s="594"/>
      <c r="G17" s="65"/>
      <c r="H17" s="65"/>
      <c r="I17" s="275"/>
      <c r="K17" s="637"/>
      <c r="L17" s="21" t="s">
        <v>79</v>
      </c>
      <c r="M17" s="538">
        <f>VLOOKUP($B17,'Core Demand'!$B$8:$E$36,MATCH(M$8,'Core Demand'!$B$8:$E$8,0),FALSE)</f>
        <v>474.65999999999997</v>
      </c>
      <c r="N17" s="189" t="s">
        <v>341</v>
      </c>
      <c r="O17" s="146">
        <v>245</v>
      </c>
      <c r="P17" s="146"/>
      <c r="Q17" s="146"/>
      <c r="R17" s="328">
        <v>12</v>
      </c>
      <c r="S17" s="189"/>
      <c r="T17" s="189"/>
      <c r="U17" s="189"/>
      <c r="V17" s="189"/>
      <c r="X17" s="346">
        <f>X16</f>
        <v>1.0109763142692083</v>
      </c>
      <c r="Y17" s="346">
        <f t="shared" ref="Y17:AB17" si="28">Y16</f>
        <v>1.0563930764935789</v>
      </c>
      <c r="Z17" s="346">
        <f t="shared" si="28"/>
        <v>0.8943500229673863</v>
      </c>
      <c r="AA17" s="347">
        <f t="shared" si="28"/>
        <v>27.51</v>
      </c>
      <c r="AB17" s="347">
        <f t="shared" si="28"/>
        <v>26.12</v>
      </c>
      <c r="AC17" s="339">
        <f t="shared" si="6"/>
        <v>0</v>
      </c>
      <c r="AD17" s="339">
        <f t="shared" si="1"/>
        <v>0</v>
      </c>
      <c r="AE17" s="339">
        <f t="shared" si="2"/>
        <v>0</v>
      </c>
      <c r="AF17" s="344">
        <f t="shared" si="3"/>
        <v>0</v>
      </c>
      <c r="AG17" s="344"/>
      <c r="AI17" s="389">
        <f t="shared" si="7"/>
        <v>706.01821953332228</v>
      </c>
      <c r="AJ17" s="389">
        <f t="shared" si="14"/>
        <v>152.04516261163255</v>
      </c>
      <c r="AK17" s="389">
        <f t="shared" si="15"/>
        <v>167.36747904746875</v>
      </c>
      <c r="AL17" s="389">
        <f t="shared" si="4"/>
        <v>1025.4308611924237</v>
      </c>
      <c r="AN17" s="347">
        <f t="shared" ref="AN17:AP17" si="29">AN16</f>
        <v>100</v>
      </c>
      <c r="AO17" s="347">
        <f t="shared" si="29"/>
        <v>175</v>
      </c>
      <c r="AP17" s="347">
        <f t="shared" si="29"/>
        <v>2.8210000000000002</v>
      </c>
      <c r="AQ17" s="347"/>
      <c r="AR17" s="344">
        <f t="shared" si="22"/>
        <v>1085.6079404466502</v>
      </c>
      <c r="AT17" s="352" t="s">
        <v>250</v>
      </c>
      <c r="AU17" s="353">
        <f t="shared" si="8"/>
        <v>0</v>
      </c>
      <c r="AW17" s="349">
        <f>AW16</f>
        <v>1.3154008438818565</v>
      </c>
      <c r="AX17" s="349">
        <f>AX16</f>
        <v>1.0400981996726677</v>
      </c>
      <c r="AY17" s="349">
        <f>AY16</f>
        <v>1.4640044994375703</v>
      </c>
      <c r="AZ17" s="350">
        <f>AZ16</f>
        <v>21.09</v>
      </c>
      <c r="BA17" s="350">
        <f>BA16</f>
        <v>22.15</v>
      </c>
      <c r="BB17" s="339">
        <f t="shared" si="23"/>
        <v>0</v>
      </c>
      <c r="BC17" s="339">
        <f t="shared" si="24"/>
        <v>0</v>
      </c>
      <c r="BD17" s="339">
        <f t="shared" si="25"/>
        <v>0</v>
      </c>
      <c r="BE17" s="344">
        <f t="shared" si="26"/>
        <v>0</v>
      </c>
      <c r="BF17" s="344"/>
      <c r="BH17" s="347">
        <f>BH16</f>
        <v>100</v>
      </c>
      <c r="BI17" s="347">
        <f>BI16</f>
        <v>248.8</v>
      </c>
      <c r="BJ17" s="347">
        <f>BJ16</f>
        <v>2.6760000000000002</v>
      </c>
      <c r="BK17" s="347"/>
      <c r="BL17" s="344">
        <f t="shared" si="27"/>
        <v>2313.2077727952164</v>
      </c>
      <c r="BM17" s="21"/>
      <c r="BN17" s="352" t="s">
        <v>250</v>
      </c>
      <c r="BO17" s="353">
        <f t="shared" si="9"/>
        <v>0</v>
      </c>
      <c r="BQ17" s="326"/>
      <c r="BR17" s="326"/>
      <c r="BS17" s="326"/>
      <c r="BT17" s="326"/>
      <c r="BU17" s="326"/>
      <c r="BV17" s="326"/>
      <c r="BW17" s="326"/>
      <c r="BX17" s="326"/>
      <c r="BY17" s="326"/>
      <c r="BZ17" s="326"/>
      <c r="CA17" s="326"/>
      <c r="CB17" s="326"/>
      <c r="CC17" s="326"/>
      <c r="CD17" s="326"/>
    </row>
    <row r="18" spans="2:82" x14ac:dyDescent="0.25">
      <c r="B18" s="430">
        <v>22</v>
      </c>
      <c r="C18" s="65">
        <f t="shared" si="5"/>
        <v>1000</v>
      </c>
      <c r="D18" s="65"/>
      <c r="E18" s="65">
        <f t="shared" si="0"/>
        <v>0</v>
      </c>
      <c r="F18" s="594"/>
      <c r="G18" s="65"/>
      <c r="H18" s="65"/>
      <c r="I18" s="275"/>
      <c r="K18" s="637"/>
      <c r="L18" s="21" t="s">
        <v>76</v>
      </c>
      <c r="M18" s="538">
        <f>VLOOKUP($B18,'Core Demand'!$B$8:$E$36,MATCH(M$8,'Core Demand'!$B$8:$E$8,0),FALSE)</f>
        <v>527</v>
      </c>
      <c r="N18" s="189" t="s">
        <v>128</v>
      </c>
      <c r="O18" s="146">
        <v>245</v>
      </c>
      <c r="P18" s="146"/>
      <c r="Q18" s="146"/>
      <c r="R18" s="328">
        <v>12</v>
      </c>
      <c r="S18" s="189"/>
      <c r="T18" s="189"/>
      <c r="U18" s="189"/>
      <c r="V18" s="189"/>
      <c r="X18" s="345">
        <f>175/(137.4+193.6)</f>
        <v>0.52870090634441091</v>
      </c>
      <c r="Y18" s="345">
        <f>153/(39.4+157.2)</f>
        <v>0.77822990844354023</v>
      </c>
      <c r="Z18" s="345">
        <f>209.8/(107.7+161.5)</f>
        <v>0.77934621099554247</v>
      </c>
      <c r="AA18" s="348">
        <v>63.91</v>
      </c>
      <c r="AB18" s="348">
        <v>67.36</v>
      </c>
      <c r="AC18" s="339">
        <f t="shared" si="6"/>
        <v>0</v>
      </c>
      <c r="AD18" s="339">
        <f t="shared" si="1"/>
        <v>0</v>
      </c>
      <c r="AE18" s="339">
        <f t="shared" si="2"/>
        <v>0</v>
      </c>
      <c r="AF18" s="344">
        <f t="shared" si="3"/>
        <v>0</v>
      </c>
      <c r="AG18" s="344"/>
      <c r="AI18" s="389">
        <f t="shared" si="7"/>
        <v>24.162651886010121</v>
      </c>
      <c r="AJ18" s="389">
        <f t="shared" si="14"/>
        <v>40.218082894582864</v>
      </c>
      <c r="AK18" s="389">
        <f t="shared" si="15"/>
        <v>38.082585035824849</v>
      </c>
      <c r="AL18" s="389">
        <f t="shared" si="4"/>
        <v>102.46331981641782</v>
      </c>
      <c r="AN18" s="343">
        <v>100</v>
      </c>
      <c r="AO18" s="352">
        <v>175</v>
      </c>
      <c r="AP18" s="352">
        <v>9.1720000000000006</v>
      </c>
      <c r="AQ18" s="352"/>
      <c r="AR18" s="344">
        <v>1000</v>
      </c>
      <c r="AS18" s="326" t="s">
        <v>556</v>
      </c>
      <c r="AT18" s="352" t="s">
        <v>244</v>
      </c>
      <c r="AU18" s="353">
        <f t="shared" si="8"/>
        <v>1000</v>
      </c>
      <c r="AW18" s="345">
        <f>155/(159.7+184.1)</f>
        <v>0.45084351367073888</v>
      </c>
      <c r="AX18" s="345">
        <f>184.9/(146.5+154)</f>
        <v>0.61530782029950082</v>
      </c>
      <c r="AY18" s="345">
        <f>180.6/(130.2+137)</f>
        <v>0.67589820359281438</v>
      </c>
      <c r="AZ18" s="348">
        <v>96.34</v>
      </c>
      <c r="BA18" s="348">
        <v>62.19</v>
      </c>
      <c r="BB18" s="339">
        <f t="shared" si="23"/>
        <v>0</v>
      </c>
      <c r="BC18" s="339">
        <f t="shared" si="24"/>
        <v>0</v>
      </c>
      <c r="BD18" s="339">
        <f t="shared" si="25"/>
        <v>0</v>
      </c>
      <c r="BE18" s="344">
        <f t="shared" si="26"/>
        <v>0</v>
      </c>
      <c r="BF18" s="344"/>
      <c r="BH18" s="343"/>
      <c r="BI18" s="352"/>
      <c r="BJ18" s="352"/>
      <c r="BK18" s="352"/>
      <c r="BL18" s="344"/>
      <c r="BM18" s="21"/>
      <c r="BN18" s="352" t="s">
        <v>250</v>
      </c>
      <c r="BO18" s="353">
        <f t="shared" si="9"/>
        <v>0</v>
      </c>
      <c r="BQ18" s="326"/>
      <c r="BR18" s="326"/>
      <c r="BS18" s="326"/>
      <c r="BT18" s="326"/>
      <c r="BU18" s="326"/>
      <c r="BV18" s="326"/>
      <c r="BW18" s="326"/>
      <c r="BX18" s="326"/>
      <c r="BY18" s="326"/>
      <c r="BZ18" s="326"/>
      <c r="CA18" s="326"/>
      <c r="CB18" s="326"/>
      <c r="CC18" s="326"/>
      <c r="CD18" s="326"/>
    </row>
    <row r="19" spans="2:82" x14ac:dyDescent="0.25">
      <c r="B19" s="430">
        <v>23</v>
      </c>
      <c r="C19" s="65">
        <f t="shared" si="5"/>
        <v>1000</v>
      </c>
      <c r="D19" s="65"/>
      <c r="E19" s="65">
        <f t="shared" si="0"/>
        <v>0</v>
      </c>
      <c r="F19" s="594"/>
      <c r="G19" s="65"/>
      <c r="H19" s="65"/>
      <c r="I19" s="275"/>
      <c r="K19" s="637"/>
      <c r="L19" s="21" t="s">
        <v>80</v>
      </c>
      <c r="M19" s="538">
        <f>VLOOKUP($B19,'Core Demand'!$B$8:$E$36,MATCH(M$8,'Core Demand'!$B$8:$E$8,0),FALSE)</f>
        <v>474.65999999999997</v>
      </c>
      <c r="N19" s="189" t="s">
        <v>128</v>
      </c>
      <c r="O19" s="146">
        <v>245</v>
      </c>
      <c r="P19" s="146"/>
      <c r="Q19" s="146"/>
      <c r="R19" s="328">
        <v>12</v>
      </c>
      <c r="S19" s="189"/>
      <c r="T19" s="189"/>
      <c r="U19" s="189"/>
      <c r="V19" s="189"/>
      <c r="X19" s="349">
        <f t="shared" ref="X19:AB21" si="30">X18</f>
        <v>0.52870090634441091</v>
      </c>
      <c r="Y19" s="349">
        <f t="shared" si="30"/>
        <v>0.77822990844354023</v>
      </c>
      <c r="Z19" s="349">
        <f t="shared" si="30"/>
        <v>0.77934621099554247</v>
      </c>
      <c r="AA19" s="350">
        <f t="shared" si="30"/>
        <v>63.91</v>
      </c>
      <c r="AB19" s="350">
        <f t="shared" si="30"/>
        <v>67.36</v>
      </c>
      <c r="AC19" s="339">
        <f t="shared" si="6"/>
        <v>0</v>
      </c>
      <c r="AD19" s="339">
        <f t="shared" si="1"/>
        <v>0</v>
      </c>
      <c r="AE19" s="339">
        <f t="shared" si="2"/>
        <v>0</v>
      </c>
      <c r="AF19" s="344">
        <f t="shared" si="3"/>
        <v>0</v>
      </c>
      <c r="AG19" s="344"/>
      <c r="AI19" s="389">
        <f t="shared" si="7"/>
        <v>24.162651886010121</v>
      </c>
      <c r="AJ19" s="389">
        <f t="shared" si="14"/>
        <v>40.218082894582864</v>
      </c>
      <c r="AK19" s="389">
        <f t="shared" si="15"/>
        <v>38.082585035824849</v>
      </c>
      <c r="AL19" s="389">
        <f t="shared" si="4"/>
        <v>102.46331981641782</v>
      </c>
      <c r="AN19" s="347">
        <f t="shared" ref="AN19:AP21" si="31">AN18</f>
        <v>100</v>
      </c>
      <c r="AO19" s="347">
        <f t="shared" si="31"/>
        <v>175</v>
      </c>
      <c r="AP19" s="347">
        <f t="shared" si="31"/>
        <v>9.1720000000000006</v>
      </c>
      <c r="AQ19" s="347"/>
      <c r="AR19" s="344">
        <v>1000</v>
      </c>
      <c r="AS19" s="326" t="s">
        <v>556</v>
      </c>
      <c r="AT19" s="352" t="s">
        <v>244</v>
      </c>
      <c r="AU19" s="353">
        <f t="shared" si="8"/>
        <v>1000</v>
      </c>
      <c r="AW19" s="349">
        <f t="shared" ref="AW19:BA21" si="32">AW18</f>
        <v>0.45084351367073888</v>
      </c>
      <c r="AX19" s="349">
        <f t="shared" si="32"/>
        <v>0.61530782029950082</v>
      </c>
      <c r="AY19" s="349">
        <f t="shared" si="32"/>
        <v>0.67589820359281438</v>
      </c>
      <c r="AZ19" s="350">
        <f t="shared" si="32"/>
        <v>96.34</v>
      </c>
      <c r="BA19" s="350">
        <f t="shared" si="32"/>
        <v>62.19</v>
      </c>
      <c r="BB19" s="339">
        <f t="shared" si="23"/>
        <v>0</v>
      </c>
      <c r="BC19" s="339">
        <f t="shared" si="24"/>
        <v>0</v>
      </c>
      <c r="BD19" s="339">
        <f t="shared" si="25"/>
        <v>0</v>
      </c>
      <c r="BE19" s="344">
        <f t="shared" si="26"/>
        <v>0</v>
      </c>
      <c r="BF19" s="344"/>
      <c r="BH19" s="343">
        <v>100</v>
      </c>
      <c r="BI19" s="352">
        <v>707.3</v>
      </c>
      <c r="BJ19" s="352">
        <v>172.4</v>
      </c>
      <c r="BK19" s="352"/>
      <c r="BL19" s="344">
        <f t="shared" si="27"/>
        <v>290.18172273781897</v>
      </c>
      <c r="BM19" s="21"/>
      <c r="BN19" s="352" t="s">
        <v>250</v>
      </c>
      <c r="BO19" s="353">
        <f t="shared" si="9"/>
        <v>0</v>
      </c>
      <c r="BQ19" s="326"/>
      <c r="BR19" s="326"/>
      <c r="BS19" s="326"/>
      <c r="BT19" s="326"/>
      <c r="BU19" s="326"/>
      <c r="BV19" s="326"/>
      <c r="BW19" s="326"/>
      <c r="BX19" s="326"/>
      <c r="BY19" s="326"/>
      <c r="BZ19" s="326"/>
      <c r="CA19" s="326"/>
      <c r="CB19" s="326"/>
      <c r="CC19" s="326"/>
      <c r="CD19" s="326"/>
    </row>
    <row r="20" spans="2:82" x14ac:dyDescent="0.25">
      <c r="B20" s="430">
        <v>24</v>
      </c>
      <c r="C20" s="65">
        <f t="shared" si="5"/>
        <v>1000</v>
      </c>
      <c r="D20" s="65"/>
      <c r="E20" s="65">
        <f t="shared" si="0"/>
        <v>0</v>
      </c>
      <c r="F20" s="594"/>
      <c r="G20" s="65"/>
      <c r="H20" s="65"/>
      <c r="I20" s="275"/>
      <c r="K20" s="637"/>
      <c r="L20" s="21" t="s">
        <v>81</v>
      </c>
      <c r="M20" s="538">
        <f>VLOOKUP($B20,'Core Demand'!$B$8:$E$36,MATCH(M$8,'Core Demand'!$B$8:$E$8,0),FALSE)</f>
        <v>474.65999999999997</v>
      </c>
      <c r="N20" s="189" t="s">
        <v>128</v>
      </c>
      <c r="O20" s="146">
        <v>245</v>
      </c>
      <c r="P20" s="146"/>
      <c r="Q20" s="146"/>
      <c r="R20" s="328">
        <v>12</v>
      </c>
      <c r="S20" s="189"/>
      <c r="T20" s="189"/>
      <c r="U20" s="189"/>
      <c r="V20" s="189"/>
      <c r="X20" s="349">
        <f t="shared" si="30"/>
        <v>0.52870090634441091</v>
      </c>
      <c r="Y20" s="349">
        <f t="shared" si="30"/>
        <v>0.77822990844354023</v>
      </c>
      <c r="Z20" s="349">
        <f t="shared" si="30"/>
        <v>0.77934621099554247</v>
      </c>
      <c r="AA20" s="350">
        <f t="shared" si="30"/>
        <v>63.91</v>
      </c>
      <c r="AB20" s="350">
        <f t="shared" si="30"/>
        <v>67.36</v>
      </c>
      <c r="AC20" s="339">
        <f t="shared" si="6"/>
        <v>0</v>
      </c>
      <c r="AD20" s="339">
        <f t="shared" si="1"/>
        <v>0</v>
      </c>
      <c r="AE20" s="339">
        <f t="shared" si="2"/>
        <v>0</v>
      </c>
      <c r="AF20" s="344">
        <f t="shared" si="3"/>
        <v>0</v>
      </c>
      <c r="AG20" s="344"/>
      <c r="AI20" s="389">
        <f t="shared" si="7"/>
        <v>24.162651886010121</v>
      </c>
      <c r="AJ20" s="389">
        <f t="shared" si="14"/>
        <v>40.218082894582864</v>
      </c>
      <c r="AK20" s="389">
        <f t="shared" si="15"/>
        <v>38.082585035824849</v>
      </c>
      <c r="AL20" s="389">
        <f t="shared" si="4"/>
        <v>102.46331981641782</v>
      </c>
      <c r="AN20" s="347">
        <f t="shared" si="31"/>
        <v>100</v>
      </c>
      <c r="AO20" s="347">
        <f t="shared" si="31"/>
        <v>175</v>
      </c>
      <c r="AP20" s="347">
        <f t="shared" si="31"/>
        <v>9.1720000000000006</v>
      </c>
      <c r="AQ20" s="347"/>
      <c r="AR20" s="344">
        <v>1000</v>
      </c>
      <c r="AS20" s="326" t="s">
        <v>556</v>
      </c>
      <c r="AT20" s="352" t="s">
        <v>244</v>
      </c>
      <c r="AU20" s="353">
        <f t="shared" si="8"/>
        <v>1000</v>
      </c>
      <c r="AW20" s="349">
        <f t="shared" si="32"/>
        <v>0.45084351367073888</v>
      </c>
      <c r="AX20" s="349">
        <f t="shared" si="32"/>
        <v>0.61530782029950082</v>
      </c>
      <c r="AY20" s="349">
        <f t="shared" si="32"/>
        <v>0.67589820359281438</v>
      </c>
      <c r="AZ20" s="350">
        <f t="shared" si="32"/>
        <v>96.34</v>
      </c>
      <c r="BA20" s="350">
        <f t="shared" si="32"/>
        <v>62.19</v>
      </c>
      <c r="BB20" s="339">
        <f t="shared" si="23"/>
        <v>0</v>
      </c>
      <c r="BC20" s="339">
        <f t="shared" si="24"/>
        <v>0</v>
      </c>
      <c r="BD20" s="339">
        <f t="shared" si="25"/>
        <v>0</v>
      </c>
      <c r="BE20" s="344">
        <f t="shared" si="26"/>
        <v>0</v>
      </c>
      <c r="BF20" s="344"/>
      <c r="BH20" s="347">
        <f t="shared" ref="BH20:BJ21" si="33">BH19</f>
        <v>100</v>
      </c>
      <c r="BI20" s="347">
        <f t="shared" si="33"/>
        <v>707.3</v>
      </c>
      <c r="BJ20" s="347">
        <f t="shared" si="33"/>
        <v>172.4</v>
      </c>
      <c r="BK20" s="347"/>
      <c r="BL20" s="344">
        <f t="shared" si="27"/>
        <v>290.18172273781897</v>
      </c>
      <c r="BM20" s="21"/>
      <c r="BN20" s="352" t="s">
        <v>250</v>
      </c>
      <c r="BO20" s="353">
        <f t="shared" si="9"/>
        <v>0</v>
      </c>
      <c r="BQ20" s="326"/>
      <c r="BR20" s="326"/>
      <c r="BS20" s="326"/>
      <c r="BT20" s="326"/>
      <c r="BU20" s="326"/>
      <c r="BV20" s="326"/>
      <c r="BW20" s="326"/>
      <c r="BX20" s="326"/>
      <c r="BY20" s="326"/>
      <c r="BZ20" s="326"/>
      <c r="CA20" s="326"/>
      <c r="CB20" s="326"/>
      <c r="CC20" s="326"/>
      <c r="CD20" s="326"/>
    </row>
    <row r="21" spans="2:82" x14ac:dyDescent="0.25">
      <c r="B21" s="429">
        <v>25</v>
      </c>
      <c r="C21" s="17">
        <f t="shared" si="5"/>
        <v>1000</v>
      </c>
      <c r="D21" s="17"/>
      <c r="E21" s="17">
        <f t="shared" si="0"/>
        <v>0</v>
      </c>
      <c r="F21" s="595"/>
      <c r="G21" s="17"/>
      <c r="H21" s="17"/>
      <c r="I21" s="282"/>
      <c r="K21" s="638"/>
      <c r="L21" s="10" t="s">
        <v>77</v>
      </c>
      <c r="M21" s="539">
        <f>VLOOKUP($B21,'Core Demand'!$B$8:$E$36,MATCH(M$8,'Core Demand'!$B$8:$E$8,0),FALSE)</f>
        <v>474.65999999999997</v>
      </c>
      <c r="N21" s="190" t="s">
        <v>128</v>
      </c>
      <c r="O21" s="123">
        <v>245</v>
      </c>
      <c r="P21" s="123"/>
      <c r="Q21" s="123"/>
      <c r="R21" s="329">
        <v>12</v>
      </c>
      <c r="S21" s="190"/>
      <c r="T21" s="190"/>
      <c r="U21" s="190"/>
      <c r="V21" s="190"/>
      <c r="X21" s="423">
        <f t="shared" si="30"/>
        <v>0.52870090634441091</v>
      </c>
      <c r="Y21" s="423">
        <f t="shared" si="30"/>
        <v>0.77822990844354023</v>
      </c>
      <c r="Z21" s="423">
        <f t="shared" si="30"/>
        <v>0.77934621099554247</v>
      </c>
      <c r="AA21" s="424">
        <f t="shared" si="30"/>
        <v>63.91</v>
      </c>
      <c r="AB21" s="424">
        <f t="shared" si="30"/>
        <v>67.36</v>
      </c>
      <c r="AC21" s="421">
        <f t="shared" si="6"/>
        <v>0</v>
      </c>
      <c r="AD21" s="421">
        <f t="shared" si="1"/>
        <v>0</v>
      </c>
      <c r="AE21" s="421">
        <f t="shared" si="2"/>
        <v>0</v>
      </c>
      <c r="AF21" s="422">
        <f t="shared" si="3"/>
        <v>0</v>
      </c>
      <c r="AG21" s="422"/>
      <c r="AH21" s="418"/>
      <c r="AI21" s="599">
        <f t="shared" si="7"/>
        <v>24.162651886010121</v>
      </c>
      <c r="AJ21" s="599">
        <f t="shared" si="14"/>
        <v>40.218082894582864</v>
      </c>
      <c r="AK21" s="599">
        <f t="shared" si="15"/>
        <v>38.082585035824849</v>
      </c>
      <c r="AL21" s="599">
        <f t="shared" si="4"/>
        <v>102.46331981641782</v>
      </c>
      <c r="AM21" s="418"/>
      <c r="AN21" s="420">
        <f t="shared" si="31"/>
        <v>100</v>
      </c>
      <c r="AO21" s="420">
        <f t="shared" si="31"/>
        <v>175</v>
      </c>
      <c r="AP21" s="420">
        <f t="shared" si="31"/>
        <v>9.1720000000000006</v>
      </c>
      <c r="AQ21" s="420"/>
      <c r="AR21" s="422">
        <v>1000</v>
      </c>
      <c r="AS21" s="418" t="s">
        <v>556</v>
      </c>
      <c r="AT21" s="452" t="s">
        <v>244</v>
      </c>
      <c r="AU21" s="17">
        <f t="shared" si="8"/>
        <v>1000</v>
      </c>
      <c r="AV21" s="418"/>
      <c r="AW21" s="423">
        <f t="shared" si="32"/>
        <v>0.45084351367073888</v>
      </c>
      <c r="AX21" s="423">
        <f t="shared" si="32"/>
        <v>0.61530782029950082</v>
      </c>
      <c r="AY21" s="423">
        <f t="shared" si="32"/>
        <v>0.67589820359281438</v>
      </c>
      <c r="AZ21" s="424">
        <f t="shared" si="32"/>
        <v>96.34</v>
      </c>
      <c r="BA21" s="424">
        <f t="shared" si="32"/>
        <v>62.19</v>
      </c>
      <c r="BB21" s="421">
        <f t="shared" si="23"/>
        <v>0</v>
      </c>
      <c r="BC21" s="421">
        <f t="shared" si="24"/>
        <v>0</v>
      </c>
      <c r="BD21" s="421">
        <f t="shared" si="25"/>
        <v>0</v>
      </c>
      <c r="BE21" s="422">
        <f t="shared" si="26"/>
        <v>0</v>
      </c>
      <c r="BF21" s="422"/>
      <c r="BG21" s="418"/>
      <c r="BH21" s="420">
        <f t="shared" si="33"/>
        <v>100</v>
      </c>
      <c r="BI21" s="420">
        <f t="shared" si="33"/>
        <v>707.3</v>
      </c>
      <c r="BJ21" s="420">
        <f t="shared" si="33"/>
        <v>172.4</v>
      </c>
      <c r="BK21" s="420"/>
      <c r="BL21" s="422">
        <f t="shared" si="27"/>
        <v>290.18172273781897</v>
      </c>
      <c r="BM21" s="10"/>
      <c r="BN21" s="452" t="s">
        <v>250</v>
      </c>
      <c r="BO21" s="17">
        <f t="shared" si="9"/>
        <v>0</v>
      </c>
      <c r="BQ21" s="326"/>
      <c r="BR21" s="326"/>
      <c r="BS21" s="326"/>
      <c r="BT21" s="326"/>
      <c r="BU21" s="326"/>
      <c r="BV21" s="326"/>
      <c r="BW21" s="326"/>
      <c r="BX21" s="326"/>
      <c r="BY21" s="326"/>
      <c r="BZ21" s="326"/>
      <c r="CA21" s="326"/>
      <c r="CB21" s="326"/>
      <c r="CC21" s="326"/>
      <c r="CD21" s="326"/>
    </row>
    <row r="22" spans="2:82" x14ac:dyDescent="0.25">
      <c r="B22" s="430">
        <v>30</v>
      </c>
      <c r="C22" s="65" t="str">
        <f t="shared" si="5"/>
        <v>∞</v>
      </c>
      <c r="D22" s="65"/>
      <c r="E22" s="65" t="str">
        <f t="shared" si="0"/>
        <v>∞</v>
      </c>
      <c r="F22" s="594"/>
      <c r="G22" s="65"/>
      <c r="H22" s="65"/>
      <c r="I22" s="275"/>
      <c r="K22" s="636" t="s">
        <v>257</v>
      </c>
      <c r="L22" s="289" t="s">
        <v>127</v>
      </c>
      <c r="M22" s="537">
        <f>VLOOKUP($B22,'Core Demand'!$B$8:$E$36,MATCH(M$8,'Core Demand'!$B$8:$E$8,0),FALSE)</f>
        <v>411.23280000000005</v>
      </c>
      <c r="N22" s="286" t="s">
        <v>129</v>
      </c>
      <c r="O22" s="286"/>
      <c r="P22" s="286"/>
      <c r="Q22" s="286"/>
      <c r="R22" s="287"/>
      <c r="S22" s="286"/>
      <c r="T22" s="286"/>
      <c r="U22" s="286"/>
      <c r="V22" s="286"/>
      <c r="AC22" s="339"/>
      <c r="AD22" s="339"/>
      <c r="AE22" s="339"/>
      <c r="AF22" s="344"/>
      <c r="AG22" s="344"/>
      <c r="AL22" s="389">
        <f t="shared" si="4"/>
        <v>0</v>
      </c>
      <c r="AR22" s="344"/>
      <c r="AT22" s="352" t="s">
        <v>236</v>
      </c>
      <c r="AU22" s="353" t="str">
        <f t="shared" si="8"/>
        <v>∞</v>
      </c>
      <c r="BD22" s="339"/>
      <c r="BE22" s="344"/>
      <c r="BF22" s="344"/>
      <c r="BL22" s="344"/>
      <c r="BM22" s="21"/>
      <c r="BN22" s="352" t="s">
        <v>430</v>
      </c>
      <c r="BO22" s="353" t="str">
        <f t="shared" si="9"/>
        <v>∞</v>
      </c>
    </row>
    <row r="23" spans="2:82" x14ac:dyDescent="0.25">
      <c r="B23" s="429">
        <v>31</v>
      </c>
      <c r="C23" s="17" t="str">
        <f t="shared" si="5"/>
        <v>∞</v>
      </c>
      <c r="D23" s="17"/>
      <c r="E23" s="17" t="str">
        <f t="shared" si="0"/>
        <v>∞</v>
      </c>
      <c r="F23" s="595"/>
      <c r="G23" s="17"/>
      <c r="H23" s="17"/>
      <c r="I23" s="282"/>
      <c r="K23" s="638"/>
      <c r="L23" s="6" t="s">
        <v>13</v>
      </c>
      <c r="M23" s="539">
        <f>VLOOKUP($B23,'Core Demand'!$B$8:$E$36,MATCH(M$8,'Core Demand'!$B$8:$E$8,0),FALSE)</f>
        <v>411.23280000000005</v>
      </c>
      <c r="N23" s="123" t="s">
        <v>129</v>
      </c>
      <c r="O23" s="123"/>
      <c r="P23" s="123"/>
      <c r="Q23" s="123"/>
      <c r="R23" s="280"/>
      <c r="S23" s="123"/>
      <c r="T23" s="123"/>
      <c r="U23" s="123"/>
      <c r="V23" s="123"/>
      <c r="AC23" s="421"/>
      <c r="AD23" s="421"/>
      <c r="AE23" s="421"/>
      <c r="AF23" s="422"/>
      <c r="AG23" s="422"/>
      <c r="AH23" s="418"/>
      <c r="AI23" s="418"/>
      <c r="AJ23" s="418"/>
      <c r="AK23" s="418"/>
      <c r="AL23" s="599">
        <f t="shared" si="4"/>
        <v>0</v>
      </c>
      <c r="AM23" s="418"/>
      <c r="AN23" s="418"/>
      <c r="AO23" s="418"/>
      <c r="AP23" s="418"/>
      <c r="AQ23" s="418"/>
      <c r="AR23" s="422"/>
      <c r="AS23" s="418"/>
      <c r="AT23" s="452" t="s">
        <v>236</v>
      </c>
      <c r="AU23" s="17" t="str">
        <f t="shared" si="8"/>
        <v>∞</v>
      </c>
      <c r="AV23" s="418"/>
      <c r="AW23" s="418"/>
      <c r="AX23" s="418"/>
      <c r="AY23" s="418"/>
      <c r="AZ23" s="418"/>
      <c r="BA23" s="418"/>
      <c r="BB23" s="418"/>
      <c r="BC23" s="418"/>
      <c r="BD23" s="421"/>
      <c r="BE23" s="422"/>
      <c r="BF23" s="422"/>
      <c r="BG23" s="418"/>
      <c r="BH23" s="418"/>
      <c r="BI23" s="418"/>
      <c r="BJ23" s="418"/>
      <c r="BK23" s="418"/>
      <c r="BL23" s="422"/>
      <c r="BM23" s="10"/>
      <c r="BN23" s="452" t="s">
        <v>430</v>
      </c>
      <c r="BO23" s="17" t="str">
        <f t="shared" si="9"/>
        <v>∞</v>
      </c>
    </row>
    <row r="24" spans="2:82" ht="15" customHeight="1" x14ac:dyDescent="0.25">
      <c r="B24" s="430">
        <v>40</v>
      </c>
      <c r="C24" s="65">
        <f t="shared" si="5"/>
        <v>1288.0168269230769</v>
      </c>
      <c r="D24" s="65"/>
      <c r="E24" s="65">
        <f t="shared" si="0"/>
        <v>1288.0168269230769</v>
      </c>
      <c r="F24" s="594"/>
      <c r="G24" s="65"/>
      <c r="H24" s="65"/>
      <c r="I24" s="275"/>
      <c r="K24" s="636" t="s">
        <v>521</v>
      </c>
      <c r="L24" s="289" t="s">
        <v>21</v>
      </c>
      <c r="M24" s="537">
        <f>VLOOKUP($B24,'Core Demand'!$B$8:$E$36,MATCH(M$8,'Core Demand'!$B$8:$E$8,0),FALSE)</f>
        <v>1502.6180400000001</v>
      </c>
      <c r="N24" s="286" t="s">
        <v>128</v>
      </c>
      <c r="O24" s="286"/>
      <c r="P24" s="286"/>
      <c r="Q24" s="286"/>
      <c r="R24" s="287">
        <v>19</v>
      </c>
      <c r="S24" s="286"/>
      <c r="T24" s="286"/>
      <c r="U24" s="286"/>
      <c r="V24" s="286"/>
      <c r="X24" s="345">
        <f>434.4/(348+346.8)</f>
        <v>0.62521588946459417</v>
      </c>
      <c r="Y24" s="345">
        <f>452.9/(332.7+46.9)</f>
        <v>1.1930979978925185</v>
      </c>
      <c r="Z24" s="345">
        <f>412.6/(95.7+366.4)</f>
        <v>0.89288032893313152</v>
      </c>
      <c r="AA24" s="348">
        <v>49.97</v>
      </c>
      <c r="AB24" s="348">
        <v>57.5</v>
      </c>
      <c r="AC24" s="339">
        <f t="shared" ref="AC24:AC29" si="34">_xll.KAB(X24,RADIANS(AA24),RADIANS(AB24),$R24,$V24,$S24)/10^6</f>
        <v>0</v>
      </c>
      <c r="AD24" s="339">
        <f t="shared" ref="AD24:AD29" si="35">_xll.KAC(Y24,RADIANS(AA24),$R24,$V24,$T24)/10^6</f>
        <v>0</v>
      </c>
      <c r="AE24" s="339">
        <f t="shared" ref="AE24:AE29" si="36">_xll.KBD(Z24,RADIANS(AB24),$R24,$V24,$U24)/10^6</f>
        <v>0</v>
      </c>
      <c r="AF24" s="344">
        <f t="shared" si="3"/>
        <v>0</v>
      </c>
      <c r="AG24" s="344"/>
      <c r="AI24" s="389">
        <f t="shared" ref="AI24:AI29" si="37">Kab_mod(X24,RADIANS(AA24),RADIANS(AB24),$R24,$V24,$S24)/10^6</f>
        <v>286.72647030375799</v>
      </c>
      <c r="AJ24" s="389">
        <f t="shared" ref="AJ24:AJ29" si="38">Kac_mod(Y24,RADIANS(AA24),$R24,$V24,$T24)/10^6</f>
        <v>219.61697803744985</v>
      </c>
      <c r="AK24" s="389">
        <f t="shared" ref="AK24:AK29" si="39">Kbd_mod(Z24,RADIANS(AB24),$R24,$V24,$U24)/10^6</f>
        <v>181.02295162544178</v>
      </c>
      <c r="AL24" s="389">
        <f t="shared" si="4"/>
        <v>687.36639996664962</v>
      </c>
      <c r="AN24" s="343">
        <v>100</v>
      </c>
      <c r="AO24" s="352">
        <v>1134</v>
      </c>
      <c r="AP24" s="352">
        <v>107</v>
      </c>
      <c r="AQ24" s="352">
        <v>7.16</v>
      </c>
      <c r="AR24" s="344">
        <f t="shared" si="22"/>
        <v>1288.0168269230769</v>
      </c>
      <c r="AT24" s="352" t="s">
        <v>244</v>
      </c>
      <c r="AU24" s="353">
        <f t="shared" si="8"/>
        <v>1288.0168269230769</v>
      </c>
      <c r="BE24" s="425"/>
      <c r="BF24" s="425"/>
      <c r="BL24" s="425"/>
      <c r="BN24" s="352" t="s">
        <v>430</v>
      </c>
      <c r="BO24" s="353">
        <f t="shared" si="9"/>
        <v>1288.0168269230769</v>
      </c>
    </row>
    <row r="25" spans="2:82" x14ac:dyDescent="0.25">
      <c r="B25" s="430">
        <v>41</v>
      </c>
      <c r="C25" s="65">
        <f t="shared" si="5"/>
        <v>1246.6874046022758</v>
      </c>
      <c r="D25" s="65"/>
      <c r="E25" s="65">
        <f t="shared" si="0"/>
        <v>1246.6874046022758</v>
      </c>
      <c r="F25" s="594"/>
      <c r="G25" s="65"/>
      <c r="H25" s="65"/>
      <c r="I25" s="275"/>
      <c r="K25" s="637"/>
      <c r="L25" s="46" t="s">
        <v>22</v>
      </c>
      <c r="M25" s="538">
        <f>VLOOKUP($B25,'Core Demand'!$B$8:$E$36,MATCH(M$8,'Core Demand'!$B$8:$E$8,0),FALSE)</f>
        <v>1572</v>
      </c>
      <c r="N25" s="146" t="s">
        <v>128</v>
      </c>
      <c r="O25" s="146"/>
      <c r="P25" s="146"/>
      <c r="Q25" s="146"/>
      <c r="R25" s="279">
        <v>19</v>
      </c>
      <c r="S25" s="146"/>
      <c r="T25" s="146"/>
      <c r="U25" s="146"/>
      <c r="V25" s="146"/>
      <c r="X25" s="345">
        <f>435.5/(290.2+289.3)</f>
        <v>0.75150992234685077</v>
      </c>
      <c r="Y25" s="345">
        <f>372/(338.8+48.5)</f>
        <v>0.96049573973663827</v>
      </c>
      <c r="Z25" s="345">
        <f>333.3/(379.2+96.6)</f>
        <v>0.70050441361916782</v>
      </c>
      <c r="AA25" s="348">
        <v>51.06</v>
      </c>
      <c r="AB25" s="348">
        <v>60.54</v>
      </c>
      <c r="AC25" s="339">
        <f t="shared" si="34"/>
        <v>0</v>
      </c>
      <c r="AD25" s="339">
        <f t="shared" si="35"/>
        <v>0</v>
      </c>
      <c r="AE25" s="339">
        <f t="shared" si="36"/>
        <v>0</v>
      </c>
      <c r="AF25" s="344">
        <f t="shared" si="3"/>
        <v>0</v>
      </c>
      <c r="AG25" s="344"/>
      <c r="AI25" s="389">
        <f t="shared" si="37"/>
        <v>280.40815359504313</v>
      </c>
      <c r="AJ25" s="389">
        <f t="shared" si="38"/>
        <v>212.83892557627922</v>
      </c>
      <c r="AK25" s="389">
        <f t="shared" si="39"/>
        <v>169.84613733218447</v>
      </c>
      <c r="AL25" s="389">
        <f t="shared" si="4"/>
        <v>663.09321650350682</v>
      </c>
      <c r="AN25" s="343">
        <v>100</v>
      </c>
      <c r="AO25" s="352">
        <v>1136</v>
      </c>
      <c r="AP25" s="352">
        <v>110.7</v>
      </c>
      <c r="AQ25" s="352">
        <v>7.1859999999999999</v>
      </c>
      <c r="AR25" s="344">
        <f t="shared" si="22"/>
        <v>1246.6874046022758</v>
      </c>
      <c r="AT25" s="352" t="s">
        <v>244</v>
      </c>
      <c r="AU25" s="353">
        <f t="shared" si="8"/>
        <v>1246.6874046022758</v>
      </c>
      <c r="BE25" s="425"/>
      <c r="BF25" s="425"/>
      <c r="BL25" s="425"/>
      <c r="BN25" s="352" t="s">
        <v>430</v>
      </c>
      <c r="BO25" s="353">
        <f t="shared" si="9"/>
        <v>1246.6874046022758</v>
      </c>
    </row>
    <row r="26" spans="2:82" x14ac:dyDescent="0.25">
      <c r="B26" s="430">
        <v>42</v>
      </c>
      <c r="C26" s="65">
        <f t="shared" si="5"/>
        <v>1246.6874046022758</v>
      </c>
      <c r="D26" s="65"/>
      <c r="E26" s="65">
        <f t="shared" si="0"/>
        <v>1246.6874046022758</v>
      </c>
      <c r="F26" s="594"/>
      <c r="G26" s="65"/>
      <c r="H26" s="65"/>
      <c r="I26" s="275"/>
      <c r="K26" s="637"/>
      <c r="L26" s="46" t="s">
        <v>23</v>
      </c>
      <c r="M26" s="538">
        <f>VLOOKUP($B26,'Core Demand'!$B$8:$E$36,MATCH(M$8,'Core Demand'!$B$8:$E$8,0),FALSE)</f>
        <v>1541</v>
      </c>
      <c r="N26" s="146" t="s">
        <v>128</v>
      </c>
      <c r="O26" s="146"/>
      <c r="P26" s="146"/>
      <c r="Q26" s="146"/>
      <c r="R26" s="279">
        <v>19</v>
      </c>
      <c r="S26" s="146"/>
      <c r="T26" s="146"/>
      <c r="U26" s="146"/>
      <c r="V26" s="146"/>
      <c r="X26" s="349">
        <f t="shared" ref="X26:X29" si="40">X25</f>
        <v>0.75150992234685077</v>
      </c>
      <c r="Y26" s="349">
        <f t="shared" ref="Y26:Y29" si="41">Y25</f>
        <v>0.96049573973663827</v>
      </c>
      <c r="Z26" s="349">
        <f t="shared" ref="Z26:Z29" si="42">Z25</f>
        <v>0.70050441361916782</v>
      </c>
      <c r="AA26" s="350">
        <f t="shared" ref="AA26:AA29" si="43">AA25</f>
        <v>51.06</v>
      </c>
      <c r="AB26" s="350">
        <f t="shared" ref="AB26:AB29" si="44">AB25</f>
        <v>60.54</v>
      </c>
      <c r="AC26" s="339">
        <f t="shared" si="34"/>
        <v>0</v>
      </c>
      <c r="AD26" s="339">
        <f t="shared" si="35"/>
        <v>0</v>
      </c>
      <c r="AE26" s="339">
        <f t="shared" si="36"/>
        <v>0</v>
      </c>
      <c r="AF26" s="344">
        <f t="shared" si="3"/>
        <v>0</v>
      </c>
      <c r="AG26" s="344"/>
      <c r="AI26" s="389">
        <f t="shared" si="37"/>
        <v>280.40815359504313</v>
      </c>
      <c r="AJ26" s="389">
        <f t="shared" si="38"/>
        <v>212.83892557627922</v>
      </c>
      <c r="AK26" s="389">
        <f t="shared" si="39"/>
        <v>169.84613733218447</v>
      </c>
      <c r="AL26" s="389">
        <f t="shared" si="4"/>
        <v>663.09321650350682</v>
      </c>
      <c r="AN26" s="347">
        <f t="shared" ref="AN26:AN29" si="45">AN25</f>
        <v>100</v>
      </c>
      <c r="AO26" s="347">
        <f t="shared" ref="AO26:AO29" si="46">AO25</f>
        <v>1136</v>
      </c>
      <c r="AP26" s="347">
        <f t="shared" ref="AP26:AP29" si="47">AP25</f>
        <v>110.7</v>
      </c>
      <c r="AQ26" s="347">
        <f t="shared" ref="AQ26:AQ29" si="48">AQ25</f>
        <v>7.1859999999999999</v>
      </c>
      <c r="AR26" s="344">
        <f t="shared" si="22"/>
        <v>1246.6874046022758</v>
      </c>
      <c r="AT26" s="352" t="s">
        <v>244</v>
      </c>
      <c r="AU26" s="353">
        <f t="shared" si="8"/>
        <v>1246.6874046022758</v>
      </c>
      <c r="BE26" s="425"/>
      <c r="BF26" s="425"/>
      <c r="BL26" s="425"/>
      <c r="BN26" s="352" t="s">
        <v>430</v>
      </c>
      <c r="BO26" s="353">
        <f t="shared" si="9"/>
        <v>1246.6874046022758</v>
      </c>
    </row>
    <row r="27" spans="2:82" x14ac:dyDescent="0.25">
      <c r="B27" s="430">
        <v>43</v>
      </c>
      <c r="C27" s="65">
        <f t="shared" si="5"/>
        <v>1246.6874046022758</v>
      </c>
      <c r="D27" s="65"/>
      <c r="E27" s="65">
        <f t="shared" si="0"/>
        <v>1246.6874046022758</v>
      </c>
      <c r="F27" s="594"/>
      <c r="G27" s="65"/>
      <c r="H27" s="65"/>
      <c r="I27" s="275"/>
      <c r="K27" s="637"/>
      <c r="L27" s="46" t="s">
        <v>24</v>
      </c>
      <c r="M27" s="538">
        <f>VLOOKUP($B27,'Core Demand'!$B$8:$E$36,MATCH(M$8,'Core Demand'!$B$8:$E$8,0),FALSE)</f>
        <v>1502.6180400000001</v>
      </c>
      <c r="N27" s="146" t="s">
        <v>128</v>
      </c>
      <c r="O27" s="146"/>
      <c r="P27" s="146"/>
      <c r="Q27" s="146"/>
      <c r="R27" s="279">
        <v>19</v>
      </c>
      <c r="S27" s="146"/>
      <c r="T27" s="146"/>
      <c r="U27" s="146"/>
      <c r="V27" s="146"/>
      <c r="X27" s="349">
        <f t="shared" si="40"/>
        <v>0.75150992234685077</v>
      </c>
      <c r="Y27" s="349">
        <f t="shared" si="41"/>
        <v>0.96049573973663827</v>
      </c>
      <c r="Z27" s="349">
        <f t="shared" si="42"/>
        <v>0.70050441361916782</v>
      </c>
      <c r="AA27" s="350">
        <f t="shared" si="43"/>
        <v>51.06</v>
      </c>
      <c r="AB27" s="350">
        <f t="shared" si="44"/>
        <v>60.54</v>
      </c>
      <c r="AC27" s="339">
        <f t="shared" si="34"/>
        <v>0</v>
      </c>
      <c r="AD27" s="339">
        <f t="shared" si="35"/>
        <v>0</v>
      </c>
      <c r="AE27" s="339">
        <f t="shared" si="36"/>
        <v>0</v>
      </c>
      <c r="AF27" s="344">
        <f t="shared" si="3"/>
        <v>0</v>
      </c>
      <c r="AG27" s="344"/>
      <c r="AI27" s="389">
        <f t="shared" si="37"/>
        <v>280.40815359504313</v>
      </c>
      <c r="AJ27" s="389">
        <f t="shared" si="38"/>
        <v>212.83892557627922</v>
      </c>
      <c r="AK27" s="389">
        <f t="shared" si="39"/>
        <v>169.84613733218447</v>
      </c>
      <c r="AL27" s="389">
        <f t="shared" si="4"/>
        <v>663.09321650350682</v>
      </c>
      <c r="AN27" s="347">
        <f t="shared" si="45"/>
        <v>100</v>
      </c>
      <c r="AO27" s="347">
        <f t="shared" si="46"/>
        <v>1136</v>
      </c>
      <c r="AP27" s="347">
        <f t="shared" si="47"/>
        <v>110.7</v>
      </c>
      <c r="AQ27" s="347">
        <f t="shared" si="48"/>
        <v>7.1859999999999999</v>
      </c>
      <c r="AR27" s="344">
        <f t="shared" si="22"/>
        <v>1246.6874046022758</v>
      </c>
      <c r="AT27" s="352" t="s">
        <v>244</v>
      </c>
      <c r="AU27" s="353">
        <f t="shared" si="8"/>
        <v>1246.6874046022758</v>
      </c>
      <c r="BE27" s="425"/>
      <c r="BF27" s="425"/>
      <c r="BL27" s="425"/>
      <c r="BN27" s="352" t="s">
        <v>430</v>
      </c>
      <c r="BO27" s="353">
        <f t="shared" si="9"/>
        <v>1246.6874046022758</v>
      </c>
    </row>
    <row r="28" spans="2:82" x14ac:dyDescent="0.25">
      <c r="B28" s="430">
        <v>44</v>
      </c>
      <c r="C28" s="65">
        <f t="shared" si="5"/>
        <v>1246.6874046022758</v>
      </c>
      <c r="D28" s="65"/>
      <c r="E28" s="65">
        <f t="shared" si="0"/>
        <v>1246.6874046022758</v>
      </c>
      <c r="F28" s="594"/>
      <c r="G28" s="65"/>
      <c r="H28" s="65"/>
      <c r="I28" s="275"/>
      <c r="K28" s="637"/>
      <c r="L28" s="46" t="s">
        <v>172</v>
      </c>
      <c r="M28" s="538">
        <f>VLOOKUP($B28,'Core Demand'!$B$8:$E$36,MATCH(M$8,'Core Demand'!$B$8:$E$8,0),FALSE)</f>
        <v>1585</v>
      </c>
      <c r="N28" s="146" t="s">
        <v>128</v>
      </c>
      <c r="O28" s="146"/>
      <c r="P28" s="146"/>
      <c r="Q28" s="146"/>
      <c r="R28" s="279">
        <v>19</v>
      </c>
      <c r="S28" s="146"/>
      <c r="T28" s="146"/>
      <c r="U28" s="146"/>
      <c r="V28" s="146"/>
      <c r="X28" s="349">
        <f t="shared" si="40"/>
        <v>0.75150992234685077</v>
      </c>
      <c r="Y28" s="349">
        <f t="shared" si="41"/>
        <v>0.96049573973663827</v>
      </c>
      <c r="Z28" s="349">
        <f t="shared" si="42"/>
        <v>0.70050441361916782</v>
      </c>
      <c r="AA28" s="350">
        <f t="shared" si="43"/>
        <v>51.06</v>
      </c>
      <c r="AB28" s="350">
        <f t="shared" si="44"/>
        <v>60.54</v>
      </c>
      <c r="AC28" s="339">
        <f t="shared" si="34"/>
        <v>0</v>
      </c>
      <c r="AD28" s="339">
        <f t="shared" si="35"/>
        <v>0</v>
      </c>
      <c r="AE28" s="339">
        <f t="shared" si="36"/>
        <v>0</v>
      </c>
      <c r="AF28" s="344">
        <f t="shared" si="3"/>
        <v>0</v>
      </c>
      <c r="AG28" s="344"/>
      <c r="AI28" s="389">
        <f t="shared" si="37"/>
        <v>280.40815359504313</v>
      </c>
      <c r="AJ28" s="389">
        <f t="shared" si="38"/>
        <v>212.83892557627922</v>
      </c>
      <c r="AK28" s="389">
        <f t="shared" si="39"/>
        <v>169.84613733218447</v>
      </c>
      <c r="AL28" s="389">
        <f t="shared" si="4"/>
        <v>663.09321650350682</v>
      </c>
      <c r="AN28" s="347">
        <f t="shared" si="45"/>
        <v>100</v>
      </c>
      <c r="AO28" s="347">
        <f t="shared" si="46"/>
        <v>1136</v>
      </c>
      <c r="AP28" s="347">
        <f t="shared" si="47"/>
        <v>110.7</v>
      </c>
      <c r="AQ28" s="347">
        <f t="shared" si="48"/>
        <v>7.1859999999999999</v>
      </c>
      <c r="AR28" s="344">
        <f t="shared" si="22"/>
        <v>1246.6874046022758</v>
      </c>
      <c r="AT28" s="352" t="s">
        <v>244</v>
      </c>
      <c r="AU28" s="353">
        <f t="shared" si="8"/>
        <v>1246.6874046022758</v>
      </c>
      <c r="BE28" s="425"/>
      <c r="BF28" s="425"/>
      <c r="BL28" s="425"/>
      <c r="BN28" s="352" t="s">
        <v>430</v>
      </c>
      <c r="BO28" s="353">
        <f t="shared" si="9"/>
        <v>1246.6874046022758</v>
      </c>
    </row>
    <row r="29" spans="2:82" ht="15.75" thickBot="1" x14ac:dyDescent="0.3">
      <c r="B29" s="429">
        <v>45</v>
      </c>
      <c r="C29" s="17">
        <f t="shared" ref="C29" si="49">AU29</f>
        <v>1246.6874046022758</v>
      </c>
      <c r="D29" s="17"/>
      <c r="E29" s="17">
        <f t="shared" si="0"/>
        <v>1246.6874046022758</v>
      </c>
      <c r="F29" s="595"/>
      <c r="G29" s="17"/>
      <c r="H29" s="17"/>
      <c r="I29" s="282"/>
      <c r="K29" s="638"/>
      <c r="L29" s="44" t="s">
        <v>86</v>
      </c>
      <c r="M29" s="540" t="e">
        <f>VLOOKUP($B36,'Core Demand'!$B$8:$E$36,MATCH(M$8,'Core Demand'!$B$8:$E$8,0),FALSE)</f>
        <v>#N/A</v>
      </c>
      <c r="N29" s="302" t="s">
        <v>128</v>
      </c>
      <c r="O29" s="302"/>
      <c r="P29" s="302"/>
      <c r="Q29" s="302"/>
      <c r="R29" s="303">
        <v>19</v>
      </c>
      <c r="S29" s="302"/>
      <c r="T29" s="302"/>
      <c r="U29" s="302"/>
      <c r="V29" s="302"/>
      <c r="X29" s="423">
        <f t="shared" si="40"/>
        <v>0.75150992234685077</v>
      </c>
      <c r="Y29" s="423">
        <f t="shared" si="41"/>
        <v>0.96049573973663827</v>
      </c>
      <c r="Z29" s="423">
        <f t="shared" si="42"/>
        <v>0.70050441361916782</v>
      </c>
      <c r="AA29" s="424">
        <f t="shared" si="43"/>
        <v>51.06</v>
      </c>
      <c r="AB29" s="424">
        <f t="shared" si="44"/>
        <v>60.54</v>
      </c>
      <c r="AC29" s="421">
        <f t="shared" si="34"/>
        <v>0</v>
      </c>
      <c r="AD29" s="421">
        <f t="shared" si="35"/>
        <v>0</v>
      </c>
      <c r="AE29" s="421">
        <f t="shared" si="36"/>
        <v>0</v>
      </c>
      <c r="AF29" s="422">
        <f t="shared" si="3"/>
        <v>0</v>
      </c>
      <c r="AG29" s="422"/>
      <c r="AH29" s="418"/>
      <c r="AI29" s="599">
        <f t="shared" si="37"/>
        <v>280.40815359504313</v>
      </c>
      <c r="AJ29" s="599">
        <f t="shared" si="38"/>
        <v>212.83892557627922</v>
      </c>
      <c r="AK29" s="599">
        <f t="shared" si="39"/>
        <v>169.84613733218447</v>
      </c>
      <c r="AL29" s="599">
        <f t="shared" si="4"/>
        <v>663.09321650350682</v>
      </c>
      <c r="AM29" s="418"/>
      <c r="AN29" s="420">
        <f t="shared" si="45"/>
        <v>100</v>
      </c>
      <c r="AO29" s="420">
        <f t="shared" si="46"/>
        <v>1136</v>
      </c>
      <c r="AP29" s="420">
        <f t="shared" si="47"/>
        <v>110.7</v>
      </c>
      <c r="AQ29" s="420">
        <f t="shared" si="48"/>
        <v>7.1859999999999999</v>
      </c>
      <c r="AR29" s="422">
        <f t="shared" si="22"/>
        <v>1246.6874046022758</v>
      </c>
      <c r="AS29" s="418"/>
      <c r="AT29" s="452" t="s">
        <v>244</v>
      </c>
      <c r="AU29" s="17">
        <f t="shared" si="8"/>
        <v>1246.6874046022758</v>
      </c>
      <c r="AV29" s="418"/>
      <c r="AW29" s="418"/>
      <c r="AX29" s="418"/>
      <c r="AY29" s="418"/>
      <c r="AZ29" s="418"/>
      <c r="BA29" s="418"/>
      <c r="BB29" s="418"/>
      <c r="BC29" s="418"/>
      <c r="BD29" s="418"/>
      <c r="BE29" s="426"/>
      <c r="BF29" s="426"/>
      <c r="BG29" s="418"/>
      <c r="BH29" s="418"/>
      <c r="BI29" s="418"/>
      <c r="BJ29" s="418"/>
      <c r="BK29" s="418"/>
      <c r="BL29" s="426"/>
      <c r="BM29" s="418"/>
      <c r="BN29" s="452" t="s">
        <v>430</v>
      </c>
      <c r="BO29" s="17">
        <f t="shared" si="9"/>
        <v>1246.6874046022758</v>
      </c>
    </row>
    <row r="30" spans="2:82" ht="15" customHeight="1" x14ac:dyDescent="0.25">
      <c r="B30" s="430">
        <v>46</v>
      </c>
      <c r="C30" s="65">
        <f>C24</f>
        <v>1288.0168269230769</v>
      </c>
      <c r="D30" s="65">
        <f t="shared" ref="D30:I30" si="50">D24</f>
        <v>0</v>
      </c>
      <c r="E30" s="65">
        <f t="shared" si="50"/>
        <v>1288.0168269230769</v>
      </c>
      <c r="F30" s="594"/>
      <c r="G30" s="65"/>
      <c r="H30" s="65"/>
      <c r="I30" s="275">
        <f t="shared" si="50"/>
        <v>0</v>
      </c>
      <c r="K30" s="636" t="s">
        <v>520</v>
      </c>
    </row>
    <row r="31" spans="2:82" x14ac:dyDescent="0.25">
      <c r="B31" s="430">
        <v>47</v>
      </c>
      <c r="C31" s="65">
        <f t="shared" ref="C31:I31" si="51">C25</f>
        <v>1246.6874046022758</v>
      </c>
      <c r="D31" s="65">
        <f t="shared" si="51"/>
        <v>0</v>
      </c>
      <c r="E31" s="65">
        <f t="shared" si="51"/>
        <v>1246.6874046022758</v>
      </c>
      <c r="F31" s="594"/>
      <c r="G31" s="65"/>
      <c r="H31" s="65"/>
      <c r="I31" s="275">
        <f t="shared" si="51"/>
        <v>0</v>
      </c>
      <c r="K31" s="637"/>
    </row>
    <row r="32" spans="2:82" x14ac:dyDescent="0.25">
      <c r="B32" s="430">
        <v>48</v>
      </c>
      <c r="C32" s="65">
        <f t="shared" ref="C32:I32" si="52">C26</f>
        <v>1246.6874046022758</v>
      </c>
      <c r="D32" s="65">
        <f t="shared" si="52"/>
        <v>0</v>
      </c>
      <c r="E32" s="65">
        <f t="shared" si="52"/>
        <v>1246.6874046022758</v>
      </c>
      <c r="F32" s="594"/>
      <c r="G32" s="65"/>
      <c r="H32" s="65"/>
      <c r="I32" s="275">
        <f t="shared" si="52"/>
        <v>0</v>
      </c>
      <c r="K32" s="637"/>
    </row>
    <row r="33" spans="2:11" x14ac:dyDescent="0.25">
      <c r="B33" s="430">
        <v>49</v>
      </c>
      <c r="C33" s="65">
        <f t="shared" ref="C33:I33" si="53">C27</f>
        <v>1246.6874046022758</v>
      </c>
      <c r="D33" s="65">
        <f t="shared" si="53"/>
        <v>0</v>
      </c>
      <c r="E33" s="65">
        <f t="shared" si="53"/>
        <v>1246.6874046022758</v>
      </c>
      <c r="F33" s="594"/>
      <c r="G33" s="65"/>
      <c r="H33" s="65"/>
      <c r="I33" s="275">
        <f t="shared" si="53"/>
        <v>0</v>
      </c>
      <c r="K33" s="637"/>
    </row>
    <row r="34" spans="2:11" x14ac:dyDescent="0.25">
      <c r="B34" s="430">
        <v>50</v>
      </c>
      <c r="C34" s="65">
        <f t="shared" ref="C34:I34" si="54">C28</f>
        <v>1246.6874046022758</v>
      </c>
      <c r="D34" s="65">
        <f t="shared" si="54"/>
        <v>0</v>
      </c>
      <c r="E34" s="65">
        <f t="shared" si="54"/>
        <v>1246.6874046022758</v>
      </c>
      <c r="F34" s="594"/>
      <c r="G34" s="65"/>
      <c r="H34" s="65"/>
      <c r="I34" s="275">
        <f t="shared" si="54"/>
        <v>0</v>
      </c>
      <c r="K34" s="637"/>
    </row>
    <row r="35" spans="2:11" x14ac:dyDescent="0.25">
      <c r="B35" s="429">
        <v>51</v>
      </c>
      <c r="C35" s="17">
        <f t="shared" ref="C35:I35" si="55">C29</f>
        <v>1246.6874046022758</v>
      </c>
      <c r="D35" s="17">
        <f t="shared" si="55"/>
        <v>0</v>
      </c>
      <c r="E35" s="17">
        <f t="shared" si="55"/>
        <v>1246.6874046022758</v>
      </c>
      <c r="F35" s="595"/>
      <c r="G35" s="17"/>
      <c r="H35" s="17"/>
      <c r="I35" s="282">
        <f t="shared" si="55"/>
        <v>0</v>
      </c>
      <c r="K35" s="638"/>
    </row>
    <row r="36" spans="2:11" ht="15.75" thickBot="1" x14ac:dyDescent="0.3">
      <c r="B36" s="484"/>
      <c r="C36" s="588"/>
      <c r="D36" s="588"/>
      <c r="E36" s="588"/>
      <c r="F36" s="596"/>
      <c r="G36" s="588"/>
      <c r="H36" s="588"/>
      <c r="I36" s="597"/>
    </row>
  </sheetData>
  <mergeCells count="8">
    <mergeCell ref="C7:D7"/>
    <mergeCell ref="K30:K35"/>
    <mergeCell ref="K10:K15"/>
    <mergeCell ref="K16:K21"/>
    <mergeCell ref="K22:K23"/>
    <mergeCell ref="K24:K29"/>
    <mergeCell ref="E7:F7"/>
    <mergeCell ref="G7:I7"/>
  </mergeCells>
  <dataValidations count="1">
    <dataValidation type="list" allowBlank="1" showInputMessage="1" showErrorMessage="1" sqref="BN10:BN29 AT10:AT29">
      <formula1>$AP$3:$AP$6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48"/>
  <sheetViews>
    <sheetView workbookViewId="0">
      <selection activeCell="H26" sqref="H26"/>
    </sheetView>
  </sheetViews>
  <sheetFormatPr defaultRowHeight="15" x14ac:dyDescent="0.25"/>
  <cols>
    <col min="3" max="3" width="9.140625" style="326"/>
    <col min="6" max="6" width="9.140625" style="326"/>
    <col min="11" max="11" width="9.140625" style="326"/>
    <col min="14" max="14" width="9.28515625" style="326"/>
    <col min="15" max="15" width="9.140625" style="326"/>
    <col min="17" max="18" width="9.140625" style="326"/>
    <col min="20" max="21" width="9.140625" style="326"/>
    <col min="23" max="26" width="9.140625" style="326"/>
    <col min="29" max="29" width="9.140625" style="326"/>
    <col min="36" max="36" width="9.140625" style="326"/>
    <col min="43" max="46" width="9.140625" style="326"/>
  </cols>
  <sheetData>
    <row r="1" spans="1:49" x14ac:dyDescent="0.25">
      <c r="A1" s="326"/>
      <c r="B1" s="23" t="s">
        <v>283</v>
      </c>
      <c r="C1" s="23"/>
      <c r="D1" s="326"/>
      <c r="E1" s="326"/>
      <c r="H1" s="326"/>
      <c r="I1" s="326"/>
      <c r="J1" s="326"/>
      <c r="L1" s="326"/>
      <c r="M1" s="326"/>
      <c r="P1" s="326"/>
      <c r="S1" s="326"/>
      <c r="V1" s="326"/>
      <c r="AA1" s="326"/>
      <c r="AB1" s="326"/>
      <c r="AE1" s="326"/>
    </row>
    <row r="2" spans="1:49" ht="15.75" thickBot="1" x14ac:dyDescent="0.3">
      <c r="A2" s="326"/>
      <c r="B2" s="325" t="s">
        <v>225</v>
      </c>
      <c r="C2" s="326" t="s">
        <v>448</v>
      </c>
      <c r="D2" s="326"/>
      <c r="E2" s="326"/>
      <c r="H2" s="326"/>
      <c r="I2" s="326"/>
      <c r="J2" s="326"/>
      <c r="L2" s="326"/>
      <c r="M2" s="326"/>
      <c r="P2" s="326"/>
      <c r="S2" s="326"/>
      <c r="V2" s="326"/>
      <c r="AA2" s="326"/>
      <c r="AB2" s="326"/>
      <c r="AE2" s="326"/>
    </row>
    <row r="3" spans="1:49" x14ac:dyDescent="0.25">
      <c r="A3" s="326"/>
      <c r="B3" s="325" t="s">
        <v>226</v>
      </c>
      <c r="C3" s="326" t="s">
        <v>447</v>
      </c>
      <c r="D3" s="326"/>
      <c r="E3" s="326"/>
      <c r="H3" s="326"/>
      <c r="I3" s="326"/>
      <c r="J3" s="326"/>
      <c r="L3" s="326"/>
      <c r="M3" s="326"/>
      <c r="P3" s="326"/>
      <c r="R3" s="437" t="s">
        <v>359</v>
      </c>
      <c r="S3" s="438" t="s">
        <v>409</v>
      </c>
      <c r="V3" s="326"/>
      <c r="AA3" s="326"/>
      <c r="AB3" s="326"/>
      <c r="AE3" s="326"/>
    </row>
    <row r="4" spans="1:49" x14ac:dyDescent="0.25">
      <c r="A4" s="326"/>
      <c r="B4" s="325" t="s">
        <v>35</v>
      </c>
      <c r="C4" s="463" t="s">
        <v>450</v>
      </c>
      <c r="D4" s="326"/>
      <c r="E4" s="326"/>
      <c r="G4" s="326"/>
      <c r="H4" s="326"/>
      <c r="I4" s="326"/>
      <c r="J4" s="326"/>
      <c r="L4" s="326"/>
      <c r="M4" s="326"/>
      <c r="P4" s="326"/>
      <c r="R4" s="439" t="s">
        <v>66</v>
      </c>
      <c r="S4" s="440" t="s">
        <v>408</v>
      </c>
      <c r="V4" s="326"/>
      <c r="AA4" s="326"/>
      <c r="AB4" s="326"/>
      <c r="AE4" s="326"/>
    </row>
    <row r="5" spans="1:49" ht="15.75" thickBot="1" x14ac:dyDescent="0.3">
      <c r="A5" s="326"/>
      <c r="B5" s="325" t="s">
        <v>359</v>
      </c>
      <c r="C5" s="326" t="s">
        <v>449</v>
      </c>
      <c r="D5" s="326"/>
      <c r="E5" s="326"/>
      <c r="G5" s="326"/>
      <c r="H5" s="326"/>
      <c r="I5" s="326"/>
      <c r="J5" s="326"/>
      <c r="L5" s="326"/>
      <c r="M5" s="326"/>
      <c r="P5" s="326"/>
      <c r="R5" s="441" t="s">
        <v>360</v>
      </c>
      <c r="S5" s="442" t="s">
        <v>407</v>
      </c>
      <c r="V5" s="326"/>
      <c r="AA5" s="326"/>
      <c r="AB5" s="326"/>
      <c r="AE5" s="326"/>
    </row>
    <row r="6" spans="1:49" x14ac:dyDescent="0.25">
      <c r="A6" s="326"/>
      <c r="B6" s="326"/>
      <c r="D6" s="326"/>
      <c r="E6" s="326"/>
      <c r="G6" s="326"/>
      <c r="H6" s="326"/>
      <c r="I6" s="326"/>
      <c r="J6" s="326"/>
      <c r="L6" s="326"/>
      <c r="M6" s="326"/>
      <c r="P6" s="320"/>
      <c r="S6" s="326"/>
      <c r="V6" s="326"/>
      <c r="AA6" s="326"/>
      <c r="AB6" s="326"/>
      <c r="AE6" s="326"/>
    </row>
    <row r="7" spans="1:49" ht="15.75" thickBot="1" x14ac:dyDescent="0.3">
      <c r="A7" s="326"/>
      <c r="B7" s="427"/>
      <c r="C7" s="468"/>
      <c r="D7" s="648" t="s">
        <v>454</v>
      </c>
      <c r="E7" s="649"/>
      <c r="F7" s="648" t="s">
        <v>455</v>
      </c>
      <c r="G7" s="649"/>
      <c r="H7" s="326"/>
      <c r="I7" s="23" t="s">
        <v>277</v>
      </c>
      <c r="J7" s="326"/>
      <c r="L7" s="320" t="s">
        <v>406</v>
      </c>
      <c r="M7" s="320"/>
      <c r="N7" s="320"/>
      <c r="P7" s="320"/>
      <c r="Q7" s="320"/>
      <c r="R7" s="320"/>
      <c r="S7" s="320"/>
      <c r="T7" s="320" t="s">
        <v>358</v>
      </c>
      <c r="U7" s="320"/>
      <c r="V7" s="320"/>
      <c r="W7" s="320"/>
      <c r="X7" s="320"/>
      <c r="Y7" s="320"/>
      <c r="Z7" s="320"/>
      <c r="AA7" s="320"/>
      <c r="AB7" s="326"/>
      <c r="AC7" s="320" t="s">
        <v>357</v>
      </c>
      <c r="AF7" s="320"/>
      <c r="AG7" s="320"/>
      <c r="AH7" s="320"/>
      <c r="AI7" s="320"/>
      <c r="AJ7" s="320" t="s">
        <v>358</v>
      </c>
      <c r="AR7" s="326" t="s">
        <v>452</v>
      </c>
      <c r="AU7" s="320" t="s">
        <v>453</v>
      </c>
    </row>
    <row r="8" spans="1:49" ht="18" x14ac:dyDescent="0.35">
      <c r="A8" s="326"/>
      <c r="B8" s="428" t="s">
        <v>284</v>
      </c>
      <c r="C8" s="41" t="s">
        <v>29</v>
      </c>
      <c r="D8" s="41" t="s">
        <v>433</v>
      </c>
      <c r="E8" s="41" t="s">
        <v>350</v>
      </c>
      <c r="F8" s="41" t="s">
        <v>432</v>
      </c>
      <c r="G8" s="42" t="s">
        <v>352</v>
      </c>
      <c r="H8" s="326"/>
      <c r="I8" s="40" t="s">
        <v>1</v>
      </c>
      <c r="J8" s="322" t="s">
        <v>2</v>
      </c>
      <c r="K8" s="477" t="s">
        <v>451</v>
      </c>
      <c r="L8" s="457" t="s">
        <v>350</v>
      </c>
      <c r="M8" s="457" t="s">
        <v>397</v>
      </c>
      <c r="N8" s="41" t="s">
        <v>471</v>
      </c>
      <c r="O8" s="41" t="s">
        <v>469</v>
      </c>
      <c r="P8" s="41" t="s">
        <v>468</v>
      </c>
      <c r="Q8" s="41" t="s">
        <v>470</v>
      </c>
      <c r="R8" s="41" t="s">
        <v>359</v>
      </c>
      <c r="S8" s="322" t="s">
        <v>35</v>
      </c>
      <c r="T8" s="457" t="s">
        <v>352</v>
      </c>
      <c r="U8" s="457" t="s">
        <v>398</v>
      </c>
      <c r="V8" s="41" t="s">
        <v>471</v>
      </c>
      <c r="W8" s="41" t="s">
        <v>469</v>
      </c>
      <c r="X8" s="41" t="s">
        <v>468</v>
      </c>
      <c r="Y8" s="41" t="s">
        <v>470</v>
      </c>
      <c r="Z8" s="41" t="s">
        <v>359</v>
      </c>
      <c r="AA8" s="322" t="s">
        <v>35</v>
      </c>
      <c r="AB8" s="326"/>
      <c r="AC8" s="21" t="s">
        <v>226</v>
      </c>
      <c r="AD8" s="21" t="s">
        <v>472</v>
      </c>
      <c r="AE8" s="21" t="s">
        <v>225</v>
      </c>
      <c r="AF8" s="21" t="s">
        <v>361</v>
      </c>
      <c r="AG8" s="21" t="s">
        <v>362</v>
      </c>
      <c r="AH8" s="21" t="s">
        <v>363</v>
      </c>
      <c r="AJ8" s="21" t="s">
        <v>226</v>
      </c>
      <c r="AK8" s="21" t="s">
        <v>472</v>
      </c>
      <c r="AL8" s="21" t="s">
        <v>225</v>
      </c>
      <c r="AM8" s="21" t="s">
        <v>361</v>
      </c>
      <c r="AN8" s="21" t="s">
        <v>362</v>
      </c>
      <c r="AO8" s="21" t="s">
        <v>363</v>
      </c>
      <c r="AQ8" s="21" t="s">
        <v>473</v>
      </c>
      <c r="AR8" s="21" t="s">
        <v>474</v>
      </c>
      <c r="AS8" s="21" t="s">
        <v>29</v>
      </c>
      <c r="AU8" s="21" t="s">
        <v>29</v>
      </c>
      <c r="AV8" s="21" t="s">
        <v>355</v>
      </c>
      <c r="AW8" s="21" t="s">
        <v>356</v>
      </c>
    </row>
    <row r="9" spans="1:49" x14ac:dyDescent="0.25">
      <c r="A9" s="326"/>
      <c r="B9" s="430"/>
      <c r="C9" s="46" t="s">
        <v>109</v>
      </c>
      <c r="D9" s="46" t="s">
        <v>109</v>
      </c>
      <c r="E9" s="46" t="s">
        <v>49</v>
      </c>
      <c r="F9" s="46" t="s">
        <v>109</v>
      </c>
      <c r="G9" s="192" t="s">
        <v>49</v>
      </c>
      <c r="H9" s="326"/>
      <c r="I9" s="195"/>
      <c r="J9" s="323"/>
      <c r="K9" s="478" t="s">
        <v>38</v>
      </c>
      <c r="L9" s="458" t="s">
        <v>49</v>
      </c>
      <c r="M9" s="458" t="s">
        <v>49</v>
      </c>
      <c r="N9" s="6" t="s">
        <v>109</v>
      </c>
      <c r="O9" s="6" t="s">
        <v>38</v>
      </c>
      <c r="P9" s="6" t="s">
        <v>38</v>
      </c>
      <c r="Q9" s="6" t="s">
        <v>38</v>
      </c>
      <c r="R9" s="6"/>
      <c r="S9" s="323" t="s">
        <v>38</v>
      </c>
      <c r="T9" s="458" t="s">
        <v>49</v>
      </c>
      <c r="U9" s="458" t="s">
        <v>49</v>
      </c>
      <c r="V9" s="6" t="s">
        <v>38</v>
      </c>
      <c r="W9" s="6" t="s">
        <v>38</v>
      </c>
      <c r="X9" s="6" t="s">
        <v>38</v>
      </c>
      <c r="Y9" s="6" t="s">
        <v>38</v>
      </c>
      <c r="Z9" s="6"/>
      <c r="AA9" s="323" t="s">
        <v>38</v>
      </c>
      <c r="AB9" s="326"/>
      <c r="AC9" s="21" t="s">
        <v>38</v>
      </c>
      <c r="AD9" s="466" t="s">
        <v>38</v>
      </c>
      <c r="AE9" s="466" t="s">
        <v>38</v>
      </c>
      <c r="AF9" s="466" t="s">
        <v>38</v>
      </c>
      <c r="AG9" s="466" t="s">
        <v>49</v>
      </c>
      <c r="AJ9" s="1" t="s">
        <v>38</v>
      </c>
      <c r="AK9" s="466" t="s">
        <v>38</v>
      </c>
      <c r="AL9" s="466" t="s">
        <v>38</v>
      </c>
      <c r="AM9" s="466" t="s">
        <v>38</v>
      </c>
      <c r="AN9" s="466" t="s">
        <v>49</v>
      </c>
      <c r="AO9" s="326"/>
      <c r="AQ9" s="326" t="s">
        <v>38</v>
      </c>
      <c r="AR9" s="326" t="s">
        <v>38</v>
      </c>
      <c r="AS9" s="326" t="s">
        <v>38</v>
      </c>
      <c r="AU9" s="1" t="s">
        <v>109</v>
      </c>
      <c r="AV9" s="1" t="s">
        <v>109</v>
      </c>
      <c r="AW9" s="1" t="s">
        <v>109</v>
      </c>
    </row>
    <row r="10" spans="1:49" x14ac:dyDescent="0.25">
      <c r="A10" s="326"/>
      <c r="B10" s="430">
        <v>10</v>
      </c>
      <c r="C10" s="65" t="e">
        <f ca="1">AU10</f>
        <v>#NAME?</v>
      </c>
      <c r="D10" s="65" t="e">
        <f ca="1">AV10</f>
        <v>#NAME?</v>
      </c>
      <c r="E10" s="65" t="e">
        <f ca="1">AG10</f>
        <v>#NAME?</v>
      </c>
      <c r="F10" s="65" t="e">
        <f ca="1">AW10</f>
        <v>#NAME?</v>
      </c>
      <c r="G10" s="275" t="e">
        <f ca="1">AN10</f>
        <v>#NAME?</v>
      </c>
      <c r="H10" s="326"/>
      <c r="I10" s="637" t="s">
        <v>255</v>
      </c>
      <c r="J10" s="340" t="s">
        <v>82</v>
      </c>
      <c r="K10" s="479">
        <f>2392-2*416</f>
        <v>1560</v>
      </c>
      <c r="L10" s="459">
        <f>VLOOKUP($B10,Gusset!$B$10:$I$36,MATCH('Equiv Connection'!L$8,Gusset!$B$8:$I$8,0),FALSE)</f>
        <v>0</v>
      </c>
      <c r="M10" s="459" t="e">
        <f ca="1">VLOOKUP($B10,Framing!$B$20:$D$46,MATCH('Equiv Connection'!M$8,Framing!$B$18:$D$18,0),FALSE)</f>
        <v>#NAME?</v>
      </c>
      <c r="N10" s="149">
        <v>0</v>
      </c>
      <c r="O10" s="146">
        <v>40</v>
      </c>
      <c r="P10" s="146">
        <v>270</v>
      </c>
      <c r="Q10" s="146">
        <v>240</v>
      </c>
      <c r="R10" s="146" t="s">
        <v>360</v>
      </c>
      <c r="S10" s="279">
        <v>90</v>
      </c>
      <c r="T10" s="459">
        <f>VLOOKUP($B10,Gusset!$B$10:$I$36,MATCH('Equiv Connection'!T$8,Gusset!$B$8:$I$8,0),FALSE)</f>
        <v>0</v>
      </c>
      <c r="U10" s="459" t="str">
        <f>VLOOKUP($B10,Framing!$B$20:$D$46,MATCH('Equiv Connection'!U$8,Framing!$B$18:$D$18,0),FALSE)</f>
        <v>∞</v>
      </c>
      <c r="V10" s="443">
        <f>N10</f>
        <v>0</v>
      </c>
      <c r="W10" s="146">
        <f t="shared" ref="W10:W15" si="0">O10</f>
        <v>40</v>
      </c>
      <c r="X10" s="146">
        <f t="shared" ref="X10:X15" si="1">P10</f>
        <v>270</v>
      </c>
      <c r="Y10" s="146">
        <f t="shared" ref="Y10:Y15" si="2">Q10</f>
        <v>240</v>
      </c>
      <c r="Z10" s="146" t="str">
        <f t="shared" ref="Z10:Z15" si="3">R10</f>
        <v>Insert</v>
      </c>
      <c r="AA10" s="279">
        <f t="shared" ref="AA10:AA15" si="4">S10</f>
        <v>90</v>
      </c>
      <c r="AB10" s="326"/>
      <c r="AC10" s="152">
        <f>P10+Q10</f>
        <v>510</v>
      </c>
      <c r="AD10" s="355">
        <f>AC10+IF(R10="Insert",S10,IF(R10="Restrainer",0,#N/A))</f>
        <v>600</v>
      </c>
      <c r="AE10" s="356">
        <f t="shared" ref="AE10:AE35" si="5">N10+O10+AD10</f>
        <v>640</v>
      </c>
      <c r="AF10" s="357" t="e">
        <f t="shared" ref="AF10:AF35" ca="1" si="6">equivlength(AD10,AE10,L10,M10)</f>
        <v>#NAME?</v>
      </c>
      <c r="AG10" s="357" t="e">
        <f t="shared" ref="AG10:AG35" ca="1" si="7">equivstiffness(AF10,AD10,AE10,L10,M10)</f>
        <v>#NAME?</v>
      </c>
      <c r="AH10" s="358" t="e">
        <f t="shared" ref="AH10:AH29" ca="1" si="8">IF(AE10=AD10,"-",(AF10-AD10)/(AE10-AD10))</f>
        <v>#NAME?</v>
      </c>
      <c r="AJ10" s="355">
        <f>X10+Y10</f>
        <v>510</v>
      </c>
      <c r="AK10" s="355">
        <f>AJ10+IF(Z10="Insert",AA10,IF(Z10="Restrainer",0,#N/A))</f>
        <v>600</v>
      </c>
      <c r="AL10" s="356">
        <f t="shared" ref="AL10:AL35" si="9">V10+W10+AK10</f>
        <v>640</v>
      </c>
      <c r="AM10" s="357" t="e">
        <f t="shared" ref="AM10:AM35" ca="1" si="10">equivlength(AK10,AL10,T10,U10)</f>
        <v>#NAME?</v>
      </c>
      <c r="AN10" s="357" t="e">
        <f t="shared" ref="AN10:AN35" ca="1" si="11">equivstiffness(AM10,AK10,AL10,T10,U10)</f>
        <v>#NAME?</v>
      </c>
      <c r="AO10" s="358" t="e">
        <f t="shared" ref="AO10:AO35" ca="1" si="12">IF(AL10=AK10,"-",(AM10-AK10)/(AL10-AK10))</f>
        <v>#NAME?</v>
      </c>
      <c r="AQ10" s="355">
        <f>IF(R10="Insert",S10,IF(R10="Restrainer",0,#N/A))+IF(Z10="Insert",AA10,IF(Z10="Restrainer",0,#N/A))</f>
        <v>180</v>
      </c>
      <c r="AR10" s="464">
        <f>K10-AQ10</f>
        <v>1380</v>
      </c>
      <c r="AS10" s="465" t="e">
        <f ca="1">AR10+AF10+AM10</f>
        <v>#NAME?</v>
      </c>
      <c r="AU10" s="467" t="e">
        <f t="shared" ref="AU10:AU35" ca="1" si="13">AS10/10^3</f>
        <v>#NAME?</v>
      </c>
      <c r="AV10" s="467" t="e">
        <f ca="1">AF10/10^3</f>
        <v>#NAME?</v>
      </c>
      <c r="AW10" s="467" t="e">
        <f ca="1">AM10/10^3</f>
        <v>#NAME?</v>
      </c>
    </row>
    <row r="11" spans="1:49" x14ac:dyDescent="0.25">
      <c r="A11" s="326"/>
      <c r="B11" s="430">
        <v>11</v>
      </c>
      <c r="C11" s="65" t="e">
        <f t="shared" ref="C11:C28" ca="1" si="14">AU11</f>
        <v>#NAME?</v>
      </c>
      <c r="D11" s="65" t="e">
        <f t="shared" ref="D11:D28" ca="1" si="15">AV11</f>
        <v>#NAME?</v>
      </c>
      <c r="E11" s="65" t="e">
        <f t="shared" ref="E11:E28" ca="1" si="16">AG11</f>
        <v>#NAME?</v>
      </c>
      <c r="F11" s="65" t="e">
        <f t="shared" ref="F11:F28" ca="1" si="17">AW11</f>
        <v>#NAME?</v>
      </c>
      <c r="G11" s="275" t="e">
        <f t="shared" ref="G11:G28" ca="1" si="18">AN11</f>
        <v>#NAME?</v>
      </c>
      <c r="H11" s="326"/>
      <c r="I11" s="637"/>
      <c r="J11" s="340" t="s">
        <v>15</v>
      </c>
      <c r="K11" s="479">
        <f t="shared" ref="K11:K15" si="19">2392-2*416</f>
        <v>1560</v>
      </c>
      <c r="L11" s="459">
        <f>VLOOKUP($B11,Gusset!$B$10:$I$36,MATCH('Equiv Connection'!L$8,Gusset!$B$8:$I$8,0),FALSE)</f>
        <v>51</v>
      </c>
      <c r="M11" s="459" t="e">
        <f ca="1">VLOOKUP($B11,Framing!$B$20:$D$46,MATCH('Equiv Connection'!M$8,Framing!$B$18:$D$18,0),FALSE)</f>
        <v>#NAME?</v>
      </c>
      <c r="N11" s="149">
        <v>0</v>
      </c>
      <c r="O11" s="146">
        <v>123</v>
      </c>
      <c r="P11" s="146">
        <v>187</v>
      </c>
      <c r="Q11" s="146">
        <v>240</v>
      </c>
      <c r="R11" s="146" t="s">
        <v>66</v>
      </c>
      <c r="S11" s="279">
        <v>180</v>
      </c>
      <c r="T11" s="459">
        <f>VLOOKUP($B11,Gusset!$B$10:$I$36,MATCH('Equiv Connection'!T$8,Gusset!$B$8:$I$8,0),FALSE)</f>
        <v>51</v>
      </c>
      <c r="U11" s="459" t="str">
        <f>VLOOKUP($B11,Framing!$B$20:$D$46,MATCH('Equiv Connection'!U$8,Framing!$B$18:$D$18,0),FALSE)</f>
        <v>∞</v>
      </c>
      <c r="V11" s="149">
        <f t="shared" ref="V11:V15" si="20">N11</f>
        <v>0</v>
      </c>
      <c r="W11" s="146">
        <f t="shared" si="0"/>
        <v>123</v>
      </c>
      <c r="X11" s="146">
        <f t="shared" si="1"/>
        <v>187</v>
      </c>
      <c r="Y11" s="146">
        <f t="shared" si="2"/>
        <v>240</v>
      </c>
      <c r="Z11" s="146" t="str">
        <f t="shared" si="3"/>
        <v>Restrainer</v>
      </c>
      <c r="AA11" s="279">
        <f t="shared" si="4"/>
        <v>180</v>
      </c>
      <c r="AB11" s="326"/>
      <c r="AC11" s="152">
        <f t="shared" ref="AC11:AC29" si="21">P11+Q11</f>
        <v>427</v>
      </c>
      <c r="AD11" s="355">
        <f t="shared" ref="AD11:AD29" si="22">AC11+IF(R11="Insert",S11,IF(R11="Restrainer",0,#N/A))</f>
        <v>427</v>
      </c>
      <c r="AE11" s="356">
        <f t="shared" si="5"/>
        <v>550</v>
      </c>
      <c r="AF11" s="357" t="e">
        <f t="shared" ca="1" si="6"/>
        <v>#NAME?</v>
      </c>
      <c r="AG11" s="357" t="e">
        <f t="shared" ca="1" si="7"/>
        <v>#NAME?</v>
      </c>
      <c r="AH11" s="358" t="e">
        <f t="shared" ca="1" si="8"/>
        <v>#NAME?</v>
      </c>
      <c r="AJ11" s="355">
        <f t="shared" ref="AJ11:AJ29" si="23">X11+Y11</f>
        <v>427</v>
      </c>
      <c r="AK11" s="355">
        <f t="shared" ref="AK11:AK29" si="24">AJ11+IF(Z11="Insert",AA11,IF(Z11="Restrainer",0,#N/A))</f>
        <v>427</v>
      </c>
      <c r="AL11" s="356">
        <f t="shared" si="9"/>
        <v>550</v>
      </c>
      <c r="AM11" s="357" t="e">
        <f t="shared" ca="1" si="10"/>
        <v>#NAME?</v>
      </c>
      <c r="AN11" s="357" t="e">
        <f t="shared" ca="1" si="11"/>
        <v>#NAME?</v>
      </c>
      <c r="AO11" s="358" t="e">
        <f t="shared" ca="1" si="12"/>
        <v>#NAME?</v>
      </c>
      <c r="AQ11" s="355">
        <f t="shared" ref="AQ11:AQ29" si="25">IF(R11="Insert",S11,IF(R11="Restrainer",0,#N/A))+IF(Z11="Insert",AA11,IF(Z11="Restrainer",0,#N/A))</f>
        <v>0</v>
      </c>
      <c r="AR11" s="464">
        <f t="shared" ref="AR11:AR29" si="26">K11-AQ11</f>
        <v>1560</v>
      </c>
      <c r="AS11" s="465" t="e">
        <f t="shared" ref="AS11:AS29" ca="1" si="27">AR11+AF11+AM11</f>
        <v>#NAME?</v>
      </c>
      <c r="AU11" s="467" t="e">
        <f t="shared" ca="1" si="13"/>
        <v>#NAME?</v>
      </c>
      <c r="AV11" s="467" t="e">
        <f t="shared" ref="AV11:AV29" ca="1" si="28">AF11/10^3</f>
        <v>#NAME?</v>
      </c>
      <c r="AW11" s="467" t="e">
        <f t="shared" ref="AW11:AW29" ca="1" si="29">AM11/10^3</f>
        <v>#NAME?</v>
      </c>
    </row>
    <row r="12" spans="1:49" x14ac:dyDescent="0.25">
      <c r="A12" s="326"/>
      <c r="B12" s="430">
        <v>12</v>
      </c>
      <c r="C12" s="65" t="e">
        <f t="shared" ca="1" si="14"/>
        <v>#NAME?</v>
      </c>
      <c r="D12" s="65" t="e">
        <f t="shared" ca="1" si="15"/>
        <v>#NAME?</v>
      </c>
      <c r="E12" s="65" t="e">
        <f t="shared" ca="1" si="16"/>
        <v>#NAME?</v>
      </c>
      <c r="F12" s="65" t="e">
        <f t="shared" ca="1" si="17"/>
        <v>#NAME?</v>
      </c>
      <c r="G12" s="275" t="e">
        <f t="shared" ca="1" si="18"/>
        <v>#NAME?</v>
      </c>
      <c r="H12" s="326"/>
      <c r="I12" s="637"/>
      <c r="J12" s="340" t="s">
        <v>16</v>
      </c>
      <c r="K12" s="479">
        <f t="shared" si="19"/>
        <v>1560</v>
      </c>
      <c r="L12" s="459">
        <f>VLOOKUP($B12,Gusset!$B$10:$I$36,MATCH('Equiv Connection'!L$8,Gusset!$B$8:$I$8,0),FALSE)</f>
        <v>51</v>
      </c>
      <c r="M12" s="459" t="e">
        <f ca="1">VLOOKUP($B12,Framing!$B$20:$D$46,MATCH('Equiv Connection'!M$8,Framing!$B$18:$D$18,0),FALSE)</f>
        <v>#NAME?</v>
      </c>
      <c r="N12" s="149">
        <v>0</v>
      </c>
      <c r="O12" s="146">
        <v>123</v>
      </c>
      <c r="P12" s="146">
        <v>187</v>
      </c>
      <c r="Q12" s="146">
        <v>240</v>
      </c>
      <c r="R12" s="146" t="s">
        <v>66</v>
      </c>
      <c r="S12" s="279">
        <v>180</v>
      </c>
      <c r="T12" s="459">
        <f>VLOOKUP($B12,Gusset!$B$10:$I$36,MATCH('Equiv Connection'!T$8,Gusset!$B$8:$I$8,0),FALSE)</f>
        <v>51</v>
      </c>
      <c r="U12" s="459" t="str">
        <f>VLOOKUP($B12,Framing!$B$20:$D$46,MATCH('Equiv Connection'!U$8,Framing!$B$18:$D$18,0),FALSE)</f>
        <v>∞</v>
      </c>
      <c r="V12" s="149">
        <f t="shared" si="20"/>
        <v>0</v>
      </c>
      <c r="W12" s="146">
        <f t="shared" si="0"/>
        <v>123</v>
      </c>
      <c r="X12" s="146">
        <f t="shared" si="1"/>
        <v>187</v>
      </c>
      <c r="Y12" s="146">
        <f t="shared" si="2"/>
        <v>240</v>
      </c>
      <c r="Z12" s="146" t="str">
        <f t="shared" si="3"/>
        <v>Restrainer</v>
      </c>
      <c r="AA12" s="279">
        <f t="shared" si="4"/>
        <v>180</v>
      </c>
      <c r="AB12" s="326"/>
      <c r="AC12" s="152">
        <f t="shared" si="21"/>
        <v>427</v>
      </c>
      <c r="AD12" s="355">
        <f t="shared" si="22"/>
        <v>427</v>
      </c>
      <c r="AE12" s="356">
        <f t="shared" si="5"/>
        <v>550</v>
      </c>
      <c r="AF12" s="357" t="e">
        <f t="shared" ca="1" si="6"/>
        <v>#NAME?</v>
      </c>
      <c r="AG12" s="357" t="e">
        <f t="shared" ca="1" si="7"/>
        <v>#NAME?</v>
      </c>
      <c r="AH12" s="358" t="e">
        <f t="shared" ca="1" si="8"/>
        <v>#NAME?</v>
      </c>
      <c r="AJ12" s="355">
        <f t="shared" si="23"/>
        <v>427</v>
      </c>
      <c r="AK12" s="355">
        <f t="shared" si="24"/>
        <v>427</v>
      </c>
      <c r="AL12" s="356">
        <f t="shared" si="9"/>
        <v>550</v>
      </c>
      <c r="AM12" s="357" t="e">
        <f t="shared" ca="1" si="10"/>
        <v>#NAME?</v>
      </c>
      <c r="AN12" s="357" t="e">
        <f t="shared" ca="1" si="11"/>
        <v>#NAME?</v>
      </c>
      <c r="AO12" s="358" t="e">
        <f t="shared" ca="1" si="12"/>
        <v>#NAME?</v>
      </c>
      <c r="AQ12" s="355">
        <f t="shared" si="25"/>
        <v>0</v>
      </c>
      <c r="AR12" s="464">
        <f t="shared" si="26"/>
        <v>1560</v>
      </c>
      <c r="AS12" s="465" t="e">
        <f t="shared" ca="1" si="27"/>
        <v>#NAME?</v>
      </c>
      <c r="AU12" s="467" t="e">
        <f t="shared" ca="1" si="13"/>
        <v>#NAME?</v>
      </c>
      <c r="AV12" s="467" t="e">
        <f t="shared" ca="1" si="28"/>
        <v>#NAME?</v>
      </c>
      <c r="AW12" s="467" t="e">
        <f t="shared" ca="1" si="29"/>
        <v>#NAME?</v>
      </c>
    </row>
    <row r="13" spans="1:49" x14ac:dyDescent="0.25">
      <c r="A13" s="326"/>
      <c r="B13" s="430">
        <v>13</v>
      </c>
      <c r="C13" s="65" t="e">
        <f t="shared" ca="1" si="14"/>
        <v>#NAME?</v>
      </c>
      <c r="D13" s="65" t="e">
        <f t="shared" ca="1" si="15"/>
        <v>#NAME?</v>
      </c>
      <c r="E13" s="65" t="e">
        <f t="shared" ca="1" si="16"/>
        <v>#NAME?</v>
      </c>
      <c r="F13" s="65" t="e">
        <f t="shared" ca="1" si="17"/>
        <v>#NAME?</v>
      </c>
      <c r="G13" s="275" t="e">
        <f t="shared" ca="1" si="18"/>
        <v>#NAME?</v>
      </c>
      <c r="H13" s="326"/>
      <c r="I13" s="637"/>
      <c r="J13" s="340" t="s">
        <v>17</v>
      </c>
      <c r="K13" s="479">
        <f t="shared" si="19"/>
        <v>1560</v>
      </c>
      <c r="L13" s="459">
        <f>VLOOKUP($B13,Gusset!$B$10:$I$36,MATCH('Equiv Connection'!L$8,Gusset!$B$8:$I$8,0),FALSE)</f>
        <v>51</v>
      </c>
      <c r="M13" s="459" t="e">
        <f ca="1">VLOOKUP($B13,Framing!$B$20:$D$46,MATCH('Equiv Connection'!M$8,Framing!$B$18:$D$18,0),FALSE)</f>
        <v>#NAME?</v>
      </c>
      <c r="N13" s="149">
        <v>0</v>
      </c>
      <c r="O13" s="146">
        <v>123</v>
      </c>
      <c r="P13" s="146">
        <v>187</v>
      </c>
      <c r="Q13" s="146">
        <v>240</v>
      </c>
      <c r="R13" s="146" t="s">
        <v>66</v>
      </c>
      <c r="S13" s="279">
        <v>180</v>
      </c>
      <c r="T13" s="459">
        <f>VLOOKUP($B13,Gusset!$B$10:$I$36,MATCH('Equiv Connection'!T$8,Gusset!$B$8:$I$8,0),FALSE)</f>
        <v>51</v>
      </c>
      <c r="U13" s="459" t="str">
        <f>VLOOKUP($B13,Framing!$B$20:$D$46,MATCH('Equiv Connection'!U$8,Framing!$B$18:$D$18,0),FALSE)</f>
        <v>∞</v>
      </c>
      <c r="V13" s="149">
        <f t="shared" si="20"/>
        <v>0</v>
      </c>
      <c r="W13" s="146">
        <f t="shared" si="0"/>
        <v>123</v>
      </c>
      <c r="X13" s="146">
        <f t="shared" si="1"/>
        <v>187</v>
      </c>
      <c r="Y13" s="146">
        <f t="shared" si="2"/>
        <v>240</v>
      </c>
      <c r="Z13" s="146" t="str">
        <f t="shared" si="3"/>
        <v>Restrainer</v>
      </c>
      <c r="AA13" s="279">
        <f t="shared" si="4"/>
        <v>180</v>
      </c>
      <c r="AB13" s="326"/>
      <c r="AC13" s="152">
        <f t="shared" si="21"/>
        <v>427</v>
      </c>
      <c r="AD13" s="355">
        <f t="shared" si="22"/>
        <v>427</v>
      </c>
      <c r="AE13" s="356">
        <f t="shared" si="5"/>
        <v>550</v>
      </c>
      <c r="AF13" s="357" t="e">
        <f t="shared" ca="1" si="6"/>
        <v>#NAME?</v>
      </c>
      <c r="AG13" s="357" t="e">
        <f t="shared" ca="1" si="7"/>
        <v>#NAME?</v>
      </c>
      <c r="AH13" s="358" t="e">
        <f t="shared" ca="1" si="8"/>
        <v>#NAME?</v>
      </c>
      <c r="AJ13" s="355">
        <f t="shared" si="23"/>
        <v>427</v>
      </c>
      <c r="AK13" s="355">
        <f t="shared" si="24"/>
        <v>427</v>
      </c>
      <c r="AL13" s="356">
        <f t="shared" si="9"/>
        <v>550</v>
      </c>
      <c r="AM13" s="357" t="e">
        <f t="shared" ca="1" si="10"/>
        <v>#NAME?</v>
      </c>
      <c r="AN13" s="357" t="e">
        <f t="shared" ca="1" si="11"/>
        <v>#NAME?</v>
      </c>
      <c r="AO13" s="358" t="e">
        <f t="shared" ca="1" si="12"/>
        <v>#NAME?</v>
      </c>
      <c r="AQ13" s="355">
        <f t="shared" si="25"/>
        <v>0</v>
      </c>
      <c r="AR13" s="464">
        <f t="shared" si="26"/>
        <v>1560</v>
      </c>
      <c r="AS13" s="465" t="e">
        <f t="shared" ca="1" si="27"/>
        <v>#NAME?</v>
      </c>
      <c r="AU13" s="467" t="e">
        <f t="shared" ca="1" si="13"/>
        <v>#NAME?</v>
      </c>
      <c r="AV13" s="467" t="e">
        <f t="shared" ca="1" si="28"/>
        <v>#NAME?</v>
      </c>
      <c r="AW13" s="467" t="e">
        <f t="shared" ca="1" si="29"/>
        <v>#NAME?</v>
      </c>
    </row>
    <row r="14" spans="1:49" x14ac:dyDescent="0.25">
      <c r="A14" s="326"/>
      <c r="B14" s="430">
        <v>14</v>
      </c>
      <c r="C14" s="65" t="e">
        <f t="shared" ca="1" si="14"/>
        <v>#NAME?</v>
      </c>
      <c r="D14" s="65" t="e">
        <f t="shared" ca="1" si="15"/>
        <v>#NAME?</v>
      </c>
      <c r="E14" s="65" t="e">
        <f t="shared" ca="1" si="16"/>
        <v>#NAME?</v>
      </c>
      <c r="F14" s="65" t="e">
        <f t="shared" ca="1" si="17"/>
        <v>#NAME?</v>
      </c>
      <c r="G14" s="275" t="e">
        <f t="shared" ca="1" si="18"/>
        <v>#NAME?</v>
      </c>
      <c r="H14" s="326"/>
      <c r="I14" s="637"/>
      <c r="J14" s="340" t="s">
        <v>18</v>
      </c>
      <c r="K14" s="479">
        <f t="shared" si="19"/>
        <v>1560</v>
      </c>
      <c r="L14" s="459">
        <f>VLOOKUP($B14,Gusset!$B$10:$I$36,MATCH('Equiv Connection'!L$8,Gusset!$B$8:$I$8,0),FALSE)</f>
        <v>51</v>
      </c>
      <c r="M14" s="459" t="e">
        <f ca="1">VLOOKUP($B14,Framing!$B$20:$D$46,MATCH('Equiv Connection'!M$8,Framing!$B$18:$D$18,0),FALSE)</f>
        <v>#NAME?</v>
      </c>
      <c r="N14" s="149">
        <v>0</v>
      </c>
      <c r="O14" s="146">
        <v>123</v>
      </c>
      <c r="P14" s="146">
        <v>187</v>
      </c>
      <c r="Q14" s="146">
        <v>240</v>
      </c>
      <c r="R14" s="146" t="s">
        <v>360</v>
      </c>
      <c r="S14" s="279">
        <v>90</v>
      </c>
      <c r="T14" s="459">
        <f>VLOOKUP($B14,Gusset!$B$10:$I$36,MATCH('Equiv Connection'!T$8,Gusset!$B$8:$I$8,0),FALSE)</f>
        <v>51</v>
      </c>
      <c r="U14" s="459" t="str">
        <f>VLOOKUP($B14,Framing!$B$20:$D$46,MATCH('Equiv Connection'!U$8,Framing!$B$18:$D$18,0),FALSE)</f>
        <v>∞</v>
      </c>
      <c r="V14" s="149">
        <f t="shared" si="20"/>
        <v>0</v>
      </c>
      <c r="W14" s="146">
        <f t="shared" si="0"/>
        <v>123</v>
      </c>
      <c r="X14" s="146">
        <f t="shared" si="1"/>
        <v>187</v>
      </c>
      <c r="Y14" s="146">
        <f t="shared" si="2"/>
        <v>240</v>
      </c>
      <c r="Z14" s="146" t="str">
        <f t="shared" si="3"/>
        <v>Insert</v>
      </c>
      <c r="AA14" s="279">
        <f t="shared" si="4"/>
        <v>90</v>
      </c>
      <c r="AB14" s="326"/>
      <c r="AC14" s="152">
        <f t="shared" si="21"/>
        <v>427</v>
      </c>
      <c r="AD14" s="355">
        <f t="shared" si="22"/>
        <v>517</v>
      </c>
      <c r="AE14" s="356">
        <f t="shared" si="5"/>
        <v>640</v>
      </c>
      <c r="AF14" s="357" t="e">
        <f t="shared" ca="1" si="6"/>
        <v>#NAME?</v>
      </c>
      <c r="AG14" s="357" t="e">
        <f t="shared" ca="1" si="7"/>
        <v>#NAME?</v>
      </c>
      <c r="AH14" s="358" t="e">
        <f t="shared" ca="1" si="8"/>
        <v>#NAME?</v>
      </c>
      <c r="AJ14" s="355">
        <f t="shared" si="23"/>
        <v>427</v>
      </c>
      <c r="AK14" s="355">
        <f t="shared" si="24"/>
        <v>517</v>
      </c>
      <c r="AL14" s="356">
        <f t="shared" si="9"/>
        <v>640</v>
      </c>
      <c r="AM14" s="357" t="e">
        <f t="shared" ca="1" si="10"/>
        <v>#NAME?</v>
      </c>
      <c r="AN14" s="357" t="e">
        <f t="shared" ca="1" si="11"/>
        <v>#NAME?</v>
      </c>
      <c r="AO14" s="358" t="e">
        <f t="shared" ca="1" si="12"/>
        <v>#NAME?</v>
      </c>
      <c r="AQ14" s="355">
        <f t="shared" si="25"/>
        <v>180</v>
      </c>
      <c r="AR14" s="464">
        <f t="shared" si="26"/>
        <v>1380</v>
      </c>
      <c r="AS14" s="465" t="e">
        <f t="shared" ca="1" si="27"/>
        <v>#NAME?</v>
      </c>
      <c r="AU14" s="467" t="e">
        <f t="shared" ca="1" si="13"/>
        <v>#NAME?</v>
      </c>
      <c r="AV14" s="467" t="e">
        <f t="shared" ca="1" si="28"/>
        <v>#NAME?</v>
      </c>
      <c r="AW14" s="467" t="e">
        <f t="shared" ca="1" si="29"/>
        <v>#NAME?</v>
      </c>
    </row>
    <row r="15" spans="1:49" x14ac:dyDescent="0.25">
      <c r="A15" s="326"/>
      <c r="B15" s="429">
        <v>15</v>
      </c>
      <c r="C15" s="17" t="e">
        <f t="shared" ca="1" si="14"/>
        <v>#NAME?</v>
      </c>
      <c r="D15" s="17" t="e">
        <f t="shared" ca="1" si="15"/>
        <v>#NAME?</v>
      </c>
      <c r="E15" s="17" t="e">
        <f t="shared" ca="1" si="16"/>
        <v>#NAME?</v>
      </c>
      <c r="F15" s="17" t="e">
        <f t="shared" ca="1" si="17"/>
        <v>#NAME?</v>
      </c>
      <c r="G15" s="282" t="e">
        <f t="shared" ca="1" si="18"/>
        <v>#NAME?</v>
      </c>
      <c r="H15" s="326"/>
      <c r="I15" s="638"/>
      <c r="J15" s="323" t="s">
        <v>19</v>
      </c>
      <c r="K15" s="480">
        <f t="shared" si="19"/>
        <v>1560</v>
      </c>
      <c r="L15" s="460">
        <f>VLOOKUP($B15,Gusset!$B$10:$I$36,MATCH('Equiv Connection'!L$8,Gusset!$B$8:$I$8,0),FALSE)</f>
        <v>51</v>
      </c>
      <c r="M15" s="460" t="e">
        <f ca="1">VLOOKUP($B15,Framing!$B$20:$D$46,MATCH('Equiv Connection'!M$8,Framing!$B$18:$D$18,0),FALSE)</f>
        <v>#NAME?</v>
      </c>
      <c r="N15" s="126">
        <v>0</v>
      </c>
      <c r="O15" s="123">
        <v>123</v>
      </c>
      <c r="P15" s="123">
        <v>187</v>
      </c>
      <c r="Q15" s="123">
        <v>240</v>
      </c>
      <c r="R15" s="123" t="s">
        <v>360</v>
      </c>
      <c r="S15" s="280">
        <v>90</v>
      </c>
      <c r="T15" s="460">
        <f>VLOOKUP($B15,Gusset!$B$10:$I$36,MATCH('Equiv Connection'!T$8,Gusset!$B$8:$I$8,0),FALSE)</f>
        <v>51</v>
      </c>
      <c r="U15" s="460" t="str">
        <f>VLOOKUP($B15,Framing!$B$20:$D$46,MATCH('Equiv Connection'!U$8,Framing!$B$18:$D$18,0),FALSE)</f>
        <v>∞</v>
      </c>
      <c r="V15" s="126">
        <f t="shared" si="20"/>
        <v>0</v>
      </c>
      <c r="W15" s="123">
        <f t="shared" si="0"/>
        <v>123</v>
      </c>
      <c r="X15" s="123">
        <f t="shared" si="1"/>
        <v>187</v>
      </c>
      <c r="Y15" s="123">
        <f t="shared" si="2"/>
        <v>240</v>
      </c>
      <c r="Z15" s="123" t="str">
        <f t="shared" si="3"/>
        <v>Insert</v>
      </c>
      <c r="AA15" s="280">
        <f t="shared" si="4"/>
        <v>90</v>
      </c>
      <c r="AB15" s="326"/>
      <c r="AC15" s="152">
        <f t="shared" si="21"/>
        <v>427</v>
      </c>
      <c r="AD15" s="355">
        <f t="shared" si="22"/>
        <v>517</v>
      </c>
      <c r="AE15" s="356">
        <f t="shared" si="5"/>
        <v>640</v>
      </c>
      <c r="AF15" s="357" t="e">
        <f t="shared" ca="1" si="6"/>
        <v>#NAME?</v>
      </c>
      <c r="AG15" s="357" t="e">
        <f t="shared" ca="1" si="7"/>
        <v>#NAME?</v>
      </c>
      <c r="AH15" s="358" t="e">
        <f t="shared" ca="1" si="8"/>
        <v>#NAME?</v>
      </c>
      <c r="AJ15" s="355">
        <f t="shared" si="23"/>
        <v>427</v>
      </c>
      <c r="AK15" s="355">
        <f t="shared" si="24"/>
        <v>517</v>
      </c>
      <c r="AL15" s="356">
        <f t="shared" si="9"/>
        <v>640</v>
      </c>
      <c r="AM15" s="357" t="e">
        <f t="shared" ca="1" si="10"/>
        <v>#NAME?</v>
      </c>
      <c r="AN15" s="357" t="e">
        <f t="shared" ca="1" si="11"/>
        <v>#NAME?</v>
      </c>
      <c r="AO15" s="358" t="e">
        <f t="shared" ca="1" si="12"/>
        <v>#NAME?</v>
      </c>
      <c r="AQ15" s="355">
        <f t="shared" si="25"/>
        <v>180</v>
      </c>
      <c r="AR15" s="464">
        <f t="shared" si="26"/>
        <v>1380</v>
      </c>
      <c r="AS15" s="465" t="e">
        <f t="shared" ca="1" si="27"/>
        <v>#NAME?</v>
      </c>
      <c r="AU15" s="467" t="e">
        <f t="shared" ca="1" si="13"/>
        <v>#NAME?</v>
      </c>
      <c r="AV15" s="467" t="e">
        <f t="shared" ca="1" si="28"/>
        <v>#NAME?</v>
      </c>
      <c r="AW15" s="467" t="e">
        <f t="shared" ca="1" si="29"/>
        <v>#NAME?</v>
      </c>
    </row>
    <row r="16" spans="1:49" x14ac:dyDescent="0.25">
      <c r="A16" s="326"/>
      <c r="B16" s="430">
        <v>20</v>
      </c>
      <c r="C16" s="65" t="e">
        <f t="shared" ca="1" si="14"/>
        <v>#NAME?</v>
      </c>
      <c r="D16" s="65" t="e">
        <f t="shared" ca="1" si="15"/>
        <v>#NAME?</v>
      </c>
      <c r="E16" s="65" t="e">
        <f t="shared" ca="1" si="16"/>
        <v>#NAME?</v>
      </c>
      <c r="F16" s="65" t="e">
        <f t="shared" ca="1" si="17"/>
        <v>#NAME?</v>
      </c>
      <c r="G16" s="275" t="e">
        <f t="shared" ca="1" si="18"/>
        <v>#NAME?</v>
      </c>
      <c r="H16" s="326"/>
      <c r="I16" s="636" t="s">
        <v>256</v>
      </c>
      <c r="J16" s="359" t="s">
        <v>78</v>
      </c>
      <c r="K16" s="481">
        <v>1404</v>
      </c>
      <c r="L16" s="461">
        <f>VLOOKUP($B16,Gusset!$B$10:$I$36,MATCH('Equiv Connection'!L$8,Gusset!$B$8:$I$8,0),FALSE)</f>
        <v>0</v>
      </c>
      <c r="M16" s="461" t="e">
        <f ca="1">VLOOKUP($B16,Framing!$B$20:$D$46,MATCH('Equiv Connection'!M$8,Framing!$B$18:$D$18,0),FALSE)</f>
        <v>#NAME?</v>
      </c>
      <c r="N16" s="483">
        <f>150/SIN(RADIANS(55.4))</f>
        <v>182.22982938667673</v>
      </c>
      <c r="O16" s="286">
        <v>40</v>
      </c>
      <c r="P16" s="286">
        <v>175</v>
      </c>
      <c r="Q16" s="286">
        <v>205</v>
      </c>
      <c r="R16" s="286" t="s">
        <v>66</v>
      </c>
      <c r="S16" s="287">
        <v>180</v>
      </c>
      <c r="T16" s="461">
        <f>VLOOKUP($B16,Gusset!$B$10:$I$36,MATCH('Equiv Connection'!T$8,Gusset!$B$8:$I$8,0),FALSE)</f>
        <v>0</v>
      </c>
      <c r="U16" s="461" t="str">
        <f>VLOOKUP($B16,Framing!$B$20:$D$46,MATCH('Equiv Connection'!U$8,Framing!$B$18:$D$18,0),FALSE)</f>
        <v>∞</v>
      </c>
      <c r="V16" s="443">
        <v>0</v>
      </c>
      <c r="W16" s="286">
        <v>30</v>
      </c>
      <c r="X16" s="286">
        <v>250</v>
      </c>
      <c r="Y16" s="286">
        <v>205</v>
      </c>
      <c r="Z16" s="286" t="s">
        <v>66</v>
      </c>
      <c r="AA16" s="287">
        <v>180</v>
      </c>
      <c r="AB16" s="326"/>
      <c r="AC16" s="152">
        <f t="shared" si="21"/>
        <v>380</v>
      </c>
      <c r="AD16" s="355">
        <f t="shared" si="22"/>
        <v>380</v>
      </c>
      <c r="AE16" s="356">
        <f t="shared" si="5"/>
        <v>602.22982938667678</v>
      </c>
      <c r="AF16" s="357" t="e">
        <f t="shared" ca="1" si="6"/>
        <v>#NAME?</v>
      </c>
      <c r="AG16" s="357" t="e">
        <f t="shared" ca="1" si="7"/>
        <v>#NAME?</v>
      </c>
      <c r="AH16" s="358" t="e">
        <f t="shared" ca="1" si="8"/>
        <v>#NAME?</v>
      </c>
      <c r="AJ16" s="355">
        <f t="shared" si="23"/>
        <v>455</v>
      </c>
      <c r="AK16" s="355">
        <f t="shared" si="24"/>
        <v>455</v>
      </c>
      <c r="AL16" s="356">
        <f t="shared" si="9"/>
        <v>485</v>
      </c>
      <c r="AM16" s="357" t="e">
        <f t="shared" ca="1" si="10"/>
        <v>#NAME?</v>
      </c>
      <c r="AN16" s="357" t="e">
        <f t="shared" ca="1" si="11"/>
        <v>#NAME?</v>
      </c>
      <c r="AO16" s="358" t="e">
        <f t="shared" ca="1" si="12"/>
        <v>#NAME?</v>
      </c>
      <c r="AQ16" s="355">
        <f t="shared" si="25"/>
        <v>0</v>
      </c>
      <c r="AR16" s="464">
        <f t="shared" si="26"/>
        <v>1404</v>
      </c>
      <c r="AS16" s="465" t="e">
        <f t="shared" ca="1" si="27"/>
        <v>#NAME?</v>
      </c>
      <c r="AU16" s="467" t="e">
        <f t="shared" ca="1" si="13"/>
        <v>#NAME?</v>
      </c>
      <c r="AV16" s="467" t="e">
        <f t="shared" ca="1" si="28"/>
        <v>#NAME?</v>
      </c>
      <c r="AW16" s="467" t="e">
        <f t="shared" ca="1" si="29"/>
        <v>#NAME?</v>
      </c>
    </row>
    <row r="17" spans="1:49" x14ac:dyDescent="0.25">
      <c r="A17" s="326"/>
      <c r="B17" s="430">
        <v>21</v>
      </c>
      <c r="C17" s="65" t="e">
        <f t="shared" ca="1" si="14"/>
        <v>#NAME?</v>
      </c>
      <c r="D17" s="65" t="e">
        <f t="shared" ca="1" si="15"/>
        <v>#NAME?</v>
      </c>
      <c r="E17" s="65" t="e">
        <f t="shared" ca="1" si="16"/>
        <v>#NAME?</v>
      </c>
      <c r="F17" s="65" t="e">
        <f t="shared" ca="1" si="17"/>
        <v>#NAME?</v>
      </c>
      <c r="G17" s="275" t="e">
        <f t="shared" ca="1" si="18"/>
        <v>#NAME?</v>
      </c>
      <c r="H17" s="326"/>
      <c r="I17" s="637"/>
      <c r="J17" s="360" t="s">
        <v>79</v>
      </c>
      <c r="K17" s="479">
        <v>1404</v>
      </c>
      <c r="L17" s="459">
        <f>VLOOKUP($B17,Gusset!$B$10:$I$36,MATCH('Equiv Connection'!L$8,Gusset!$B$8:$I$8,0),FALSE)</f>
        <v>0</v>
      </c>
      <c r="M17" s="459" t="e">
        <f ca="1">VLOOKUP($B17,Framing!$B$20:$D$46,MATCH('Equiv Connection'!M$8,Framing!$B$18:$D$18,0),FALSE)</f>
        <v>#NAME?</v>
      </c>
      <c r="N17" s="483">
        <f>225/SIN(RADIANS(55.4))</f>
        <v>273.34474408001512</v>
      </c>
      <c r="O17" s="146">
        <v>40</v>
      </c>
      <c r="P17" s="146">
        <v>175</v>
      </c>
      <c r="Q17" s="146">
        <v>205</v>
      </c>
      <c r="R17" s="146" t="s">
        <v>66</v>
      </c>
      <c r="S17" s="279">
        <v>180</v>
      </c>
      <c r="T17" s="459">
        <f>VLOOKUP($B17,Gusset!$B$10:$I$36,MATCH('Equiv Connection'!T$8,Gusset!$B$8:$I$8,0),FALSE)</f>
        <v>0</v>
      </c>
      <c r="U17" s="459" t="str">
        <f>VLOOKUP($B17,Framing!$B$20:$D$46,MATCH('Equiv Connection'!U$8,Framing!$B$18:$D$18,0),FALSE)</f>
        <v>∞</v>
      </c>
      <c r="V17" s="149">
        <v>0</v>
      </c>
      <c r="W17" s="146">
        <v>30</v>
      </c>
      <c r="X17" s="146">
        <v>250</v>
      </c>
      <c r="Y17" s="146">
        <v>205</v>
      </c>
      <c r="Z17" s="146" t="s">
        <v>66</v>
      </c>
      <c r="AA17" s="279">
        <v>180</v>
      </c>
      <c r="AB17" s="326"/>
      <c r="AC17" s="152">
        <f t="shared" si="21"/>
        <v>380</v>
      </c>
      <c r="AD17" s="355">
        <f t="shared" si="22"/>
        <v>380</v>
      </c>
      <c r="AE17" s="356">
        <f t="shared" si="5"/>
        <v>693.34474408001506</v>
      </c>
      <c r="AF17" s="357" t="e">
        <f t="shared" ca="1" si="6"/>
        <v>#NAME?</v>
      </c>
      <c r="AG17" s="357" t="e">
        <f t="shared" ca="1" si="7"/>
        <v>#NAME?</v>
      </c>
      <c r="AH17" s="358" t="e">
        <f t="shared" ca="1" si="8"/>
        <v>#NAME?</v>
      </c>
      <c r="AJ17" s="355">
        <f t="shared" si="23"/>
        <v>455</v>
      </c>
      <c r="AK17" s="355">
        <f t="shared" si="24"/>
        <v>455</v>
      </c>
      <c r="AL17" s="356">
        <f t="shared" si="9"/>
        <v>485</v>
      </c>
      <c r="AM17" s="357" t="e">
        <f t="shared" ca="1" si="10"/>
        <v>#NAME?</v>
      </c>
      <c r="AN17" s="357" t="e">
        <f t="shared" ca="1" si="11"/>
        <v>#NAME?</v>
      </c>
      <c r="AO17" s="358" t="e">
        <f t="shared" ca="1" si="12"/>
        <v>#NAME?</v>
      </c>
      <c r="AQ17" s="355">
        <f t="shared" si="25"/>
        <v>0</v>
      </c>
      <c r="AR17" s="464">
        <f t="shared" si="26"/>
        <v>1404</v>
      </c>
      <c r="AS17" s="465" t="e">
        <f t="shared" ca="1" si="27"/>
        <v>#NAME?</v>
      </c>
      <c r="AU17" s="467" t="e">
        <f t="shared" ca="1" si="13"/>
        <v>#NAME?</v>
      </c>
      <c r="AV17" s="467" t="e">
        <f t="shared" ca="1" si="28"/>
        <v>#NAME?</v>
      </c>
      <c r="AW17" s="467" t="e">
        <f t="shared" ca="1" si="29"/>
        <v>#NAME?</v>
      </c>
    </row>
    <row r="18" spans="1:49" x14ac:dyDescent="0.25">
      <c r="A18" s="326"/>
      <c r="B18" s="430">
        <v>22</v>
      </c>
      <c r="C18" s="65" t="e">
        <f t="shared" ca="1" si="14"/>
        <v>#NAME?</v>
      </c>
      <c r="D18" s="65" t="e">
        <f t="shared" ca="1" si="15"/>
        <v>#NAME?</v>
      </c>
      <c r="E18" s="65" t="e">
        <f t="shared" ca="1" si="16"/>
        <v>#NAME?</v>
      </c>
      <c r="F18" s="65" t="e">
        <f t="shared" ca="1" si="17"/>
        <v>#NAME?</v>
      </c>
      <c r="G18" s="275" t="e">
        <f t="shared" ca="1" si="18"/>
        <v>#NAME?</v>
      </c>
      <c r="H18" s="326"/>
      <c r="I18" s="637"/>
      <c r="J18" s="360" t="s">
        <v>76</v>
      </c>
      <c r="K18" s="479">
        <v>1404</v>
      </c>
      <c r="L18" s="459">
        <f>VLOOKUP($B18,Gusset!$B$10:$I$36,MATCH('Equiv Connection'!L$8,Gusset!$B$8:$I$8,0),FALSE)</f>
        <v>1000</v>
      </c>
      <c r="M18" s="459" t="e">
        <f ca="1">VLOOKUP($B18,Framing!$B$20:$D$46,MATCH('Equiv Connection'!M$8,Framing!$B$18:$D$18,0),FALSE)</f>
        <v>#NAME?</v>
      </c>
      <c r="N18" s="483">
        <f>190/SIN(RADIANS(55.4))</f>
        <v>230.82445055645721</v>
      </c>
      <c r="O18" s="146">
        <v>40</v>
      </c>
      <c r="P18" s="146">
        <v>175</v>
      </c>
      <c r="Q18" s="146">
        <v>205</v>
      </c>
      <c r="R18" s="146" t="s">
        <v>66</v>
      </c>
      <c r="S18" s="279">
        <v>180</v>
      </c>
      <c r="T18" s="459">
        <f>VLOOKUP($B18,Gusset!$B$10:$I$36,MATCH('Equiv Connection'!T$8,Gusset!$B$8:$I$8,0),FALSE)</f>
        <v>0</v>
      </c>
      <c r="U18" s="459" t="str">
        <f>VLOOKUP($B18,Framing!$B$20:$D$46,MATCH('Equiv Connection'!U$8,Framing!$B$18:$D$18,0),FALSE)</f>
        <v>∞</v>
      </c>
      <c r="V18" s="149">
        <v>0</v>
      </c>
      <c r="W18" s="146">
        <v>30</v>
      </c>
      <c r="X18" s="146">
        <v>250</v>
      </c>
      <c r="Y18" s="146">
        <v>205</v>
      </c>
      <c r="Z18" s="146" t="s">
        <v>66</v>
      </c>
      <c r="AA18" s="279">
        <v>180</v>
      </c>
      <c r="AB18" s="326"/>
      <c r="AC18" s="152">
        <f t="shared" si="21"/>
        <v>380</v>
      </c>
      <c r="AD18" s="355">
        <f t="shared" si="22"/>
        <v>380</v>
      </c>
      <c r="AE18" s="356">
        <f t="shared" si="5"/>
        <v>650.82445055645724</v>
      </c>
      <c r="AF18" s="357" t="e">
        <f t="shared" ca="1" si="6"/>
        <v>#NAME?</v>
      </c>
      <c r="AG18" s="357" t="e">
        <f t="shared" ca="1" si="7"/>
        <v>#NAME?</v>
      </c>
      <c r="AH18" s="358" t="e">
        <f t="shared" ca="1" si="8"/>
        <v>#NAME?</v>
      </c>
      <c r="AJ18" s="355">
        <f t="shared" si="23"/>
        <v>455</v>
      </c>
      <c r="AK18" s="355">
        <f t="shared" si="24"/>
        <v>455</v>
      </c>
      <c r="AL18" s="356">
        <f t="shared" si="9"/>
        <v>485</v>
      </c>
      <c r="AM18" s="357" t="e">
        <f t="shared" ca="1" si="10"/>
        <v>#NAME?</v>
      </c>
      <c r="AN18" s="357" t="e">
        <f t="shared" ca="1" si="11"/>
        <v>#NAME?</v>
      </c>
      <c r="AO18" s="358" t="e">
        <f t="shared" ca="1" si="12"/>
        <v>#NAME?</v>
      </c>
      <c r="AQ18" s="355">
        <f t="shared" si="25"/>
        <v>0</v>
      </c>
      <c r="AR18" s="464">
        <f t="shared" si="26"/>
        <v>1404</v>
      </c>
      <c r="AS18" s="465" t="e">
        <f t="shared" ca="1" si="27"/>
        <v>#NAME?</v>
      </c>
      <c r="AU18" s="467" t="e">
        <f t="shared" ca="1" si="13"/>
        <v>#NAME?</v>
      </c>
      <c r="AV18" s="467" t="e">
        <f t="shared" ca="1" si="28"/>
        <v>#NAME?</v>
      </c>
      <c r="AW18" s="467" t="e">
        <f t="shared" ca="1" si="29"/>
        <v>#NAME?</v>
      </c>
    </row>
    <row r="19" spans="1:49" x14ac:dyDescent="0.25">
      <c r="A19" s="326"/>
      <c r="B19" s="430">
        <v>23</v>
      </c>
      <c r="C19" s="65" t="e">
        <f t="shared" ca="1" si="14"/>
        <v>#NAME?</v>
      </c>
      <c r="D19" s="65" t="e">
        <f t="shared" ca="1" si="15"/>
        <v>#NAME?</v>
      </c>
      <c r="E19" s="65" t="e">
        <f t="shared" ca="1" si="16"/>
        <v>#NAME?</v>
      </c>
      <c r="F19" s="65" t="e">
        <f t="shared" ca="1" si="17"/>
        <v>#NAME?</v>
      </c>
      <c r="G19" s="275" t="e">
        <f t="shared" ca="1" si="18"/>
        <v>#NAME?</v>
      </c>
      <c r="H19" s="326"/>
      <c r="I19" s="637"/>
      <c r="J19" s="360" t="s">
        <v>80</v>
      </c>
      <c r="K19" s="479">
        <v>1404</v>
      </c>
      <c r="L19" s="459">
        <f>VLOOKUP($B19,Gusset!$B$10:$I$36,MATCH('Equiv Connection'!L$8,Gusset!$B$8:$I$8,0),FALSE)</f>
        <v>1000</v>
      </c>
      <c r="M19" s="459" t="e">
        <f ca="1">VLOOKUP($B19,Framing!$B$20:$D$46,MATCH('Equiv Connection'!M$8,Framing!$B$18:$D$18,0),FALSE)</f>
        <v>#NAME?</v>
      </c>
      <c r="N19" s="149">
        <f t="shared" ref="N19:N21" si="30">190/SIN(RADIANS(55.4))</f>
        <v>230.82445055645721</v>
      </c>
      <c r="O19" s="146">
        <v>40</v>
      </c>
      <c r="P19" s="146">
        <v>175</v>
      </c>
      <c r="Q19" s="146">
        <v>205</v>
      </c>
      <c r="R19" s="146" t="s">
        <v>66</v>
      </c>
      <c r="S19" s="279">
        <v>180</v>
      </c>
      <c r="T19" s="459">
        <f>VLOOKUP($B19,Gusset!$B$10:$I$36,MATCH('Equiv Connection'!T$8,Gusset!$B$8:$I$8,0),FALSE)</f>
        <v>0</v>
      </c>
      <c r="U19" s="459" t="str">
        <f>VLOOKUP($B19,Framing!$B$20:$D$46,MATCH('Equiv Connection'!U$8,Framing!$B$18:$D$18,0),FALSE)</f>
        <v>∞</v>
      </c>
      <c r="V19" s="149">
        <v>0</v>
      </c>
      <c r="W19" s="146">
        <v>30</v>
      </c>
      <c r="X19" s="146">
        <v>250</v>
      </c>
      <c r="Y19" s="146">
        <v>205</v>
      </c>
      <c r="Z19" s="146" t="s">
        <v>66</v>
      </c>
      <c r="AA19" s="279">
        <v>180</v>
      </c>
      <c r="AB19" s="326"/>
      <c r="AC19" s="152">
        <f t="shared" si="21"/>
        <v>380</v>
      </c>
      <c r="AD19" s="355">
        <f t="shared" si="22"/>
        <v>380</v>
      </c>
      <c r="AE19" s="356">
        <f t="shared" si="5"/>
        <v>650.82445055645724</v>
      </c>
      <c r="AF19" s="357" t="e">
        <f t="shared" ca="1" si="6"/>
        <v>#NAME?</v>
      </c>
      <c r="AG19" s="357" t="e">
        <f t="shared" ca="1" si="7"/>
        <v>#NAME?</v>
      </c>
      <c r="AH19" s="358" t="e">
        <f t="shared" ca="1" si="8"/>
        <v>#NAME?</v>
      </c>
      <c r="AJ19" s="355">
        <f t="shared" si="23"/>
        <v>455</v>
      </c>
      <c r="AK19" s="355">
        <f t="shared" si="24"/>
        <v>455</v>
      </c>
      <c r="AL19" s="356">
        <f t="shared" si="9"/>
        <v>485</v>
      </c>
      <c r="AM19" s="357" t="e">
        <f t="shared" ca="1" si="10"/>
        <v>#NAME?</v>
      </c>
      <c r="AN19" s="357" t="e">
        <f t="shared" ca="1" si="11"/>
        <v>#NAME?</v>
      </c>
      <c r="AO19" s="358" t="e">
        <f t="shared" ca="1" si="12"/>
        <v>#NAME?</v>
      </c>
      <c r="AQ19" s="355">
        <f t="shared" si="25"/>
        <v>0</v>
      </c>
      <c r="AR19" s="464">
        <f t="shared" si="26"/>
        <v>1404</v>
      </c>
      <c r="AS19" s="465" t="e">
        <f t="shared" ca="1" si="27"/>
        <v>#NAME?</v>
      </c>
      <c r="AU19" s="467" t="e">
        <f t="shared" ca="1" si="13"/>
        <v>#NAME?</v>
      </c>
      <c r="AV19" s="467" t="e">
        <f t="shared" ca="1" si="28"/>
        <v>#NAME?</v>
      </c>
      <c r="AW19" s="467" t="e">
        <f t="shared" ca="1" si="29"/>
        <v>#NAME?</v>
      </c>
    </row>
    <row r="20" spans="1:49" x14ac:dyDescent="0.25">
      <c r="A20" s="326"/>
      <c r="B20" s="430">
        <v>24</v>
      </c>
      <c r="C20" s="65" t="e">
        <f t="shared" ca="1" si="14"/>
        <v>#NAME?</v>
      </c>
      <c r="D20" s="65" t="e">
        <f t="shared" ca="1" si="15"/>
        <v>#NAME?</v>
      </c>
      <c r="E20" s="65" t="e">
        <f t="shared" ca="1" si="16"/>
        <v>#NAME?</v>
      </c>
      <c r="F20" s="65" t="e">
        <f t="shared" ca="1" si="17"/>
        <v>#NAME?</v>
      </c>
      <c r="G20" s="275" t="e">
        <f t="shared" ca="1" si="18"/>
        <v>#NAME?</v>
      </c>
      <c r="H20" s="326"/>
      <c r="I20" s="637"/>
      <c r="J20" s="360" t="s">
        <v>81</v>
      </c>
      <c r="K20" s="479">
        <v>1404</v>
      </c>
      <c r="L20" s="459">
        <f>VLOOKUP($B20,Gusset!$B$10:$I$36,MATCH('Equiv Connection'!L$8,Gusset!$B$8:$I$8,0),FALSE)</f>
        <v>1000</v>
      </c>
      <c r="M20" s="459" t="e">
        <f ca="1">VLOOKUP($B20,Framing!$B$20:$D$46,MATCH('Equiv Connection'!M$8,Framing!$B$18:$D$18,0),FALSE)</f>
        <v>#NAME?</v>
      </c>
      <c r="N20" s="149">
        <f t="shared" si="30"/>
        <v>230.82445055645721</v>
      </c>
      <c r="O20" s="146">
        <v>40</v>
      </c>
      <c r="P20" s="146">
        <v>175</v>
      </c>
      <c r="Q20" s="146">
        <v>205</v>
      </c>
      <c r="R20" s="146" t="s">
        <v>66</v>
      </c>
      <c r="S20" s="279">
        <v>180</v>
      </c>
      <c r="T20" s="459">
        <f>VLOOKUP($B20,Gusset!$B$10:$I$36,MATCH('Equiv Connection'!T$8,Gusset!$B$8:$I$8,0),FALSE)</f>
        <v>0</v>
      </c>
      <c r="U20" s="459" t="str">
        <f>VLOOKUP($B20,Framing!$B$20:$D$46,MATCH('Equiv Connection'!U$8,Framing!$B$18:$D$18,0),FALSE)</f>
        <v>∞</v>
      </c>
      <c r="V20" s="149">
        <v>0</v>
      </c>
      <c r="W20" s="146">
        <v>30</v>
      </c>
      <c r="X20" s="146">
        <v>250</v>
      </c>
      <c r="Y20" s="146">
        <v>205</v>
      </c>
      <c r="Z20" s="146" t="s">
        <v>66</v>
      </c>
      <c r="AA20" s="279">
        <v>180</v>
      </c>
      <c r="AB20" s="326"/>
      <c r="AC20" s="152">
        <f t="shared" si="21"/>
        <v>380</v>
      </c>
      <c r="AD20" s="355">
        <f t="shared" si="22"/>
        <v>380</v>
      </c>
      <c r="AE20" s="356">
        <f t="shared" si="5"/>
        <v>650.82445055645724</v>
      </c>
      <c r="AF20" s="357" t="e">
        <f t="shared" ca="1" si="6"/>
        <v>#NAME?</v>
      </c>
      <c r="AG20" s="357" t="e">
        <f t="shared" ca="1" si="7"/>
        <v>#NAME?</v>
      </c>
      <c r="AH20" s="358" t="e">
        <f t="shared" ca="1" si="8"/>
        <v>#NAME?</v>
      </c>
      <c r="AJ20" s="355">
        <f t="shared" si="23"/>
        <v>455</v>
      </c>
      <c r="AK20" s="355">
        <f t="shared" si="24"/>
        <v>455</v>
      </c>
      <c r="AL20" s="356">
        <f t="shared" si="9"/>
        <v>485</v>
      </c>
      <c r="AM20" s="357" t="e">
        <f t="shared" ca="1" si="10"/>
        <v>#NAME?</v>
      </c>
      <c r="AN20" s="357" t="e">
        <f t="shared" ca="1" si="11"/>
        <v>#NAME?</v>
      </c>
      <c r="AO20" s="358" t="e">
        <f t="shared" ca="1" si="12"/>
        <v>#NAME?</v>
      </c>
      <c r="AQ20" s="355">
        <f t="shared" si="25"/>
        <v>0</v>
      </c>
      <c r="AR20" s="464">
        <f t="shared" si="26"/>
        <v>1404</v>
      </c>
      <c r="AS20" s="465" t="e">
        <f t="shared" ca="1" si="27"/>
        <v>#NAME?</v>
      </c>
      <c r="AU20" s="467" t="e">
        <f t="shared" ca="1" si="13"/>
        <v>#NAME?</v>
      </c>
      <c r="AV20" s="467" t="e">
        <f t="shared" ca="1" si="28"/>
        <v>#NAME?</v>
      </c>
      <c r="AW20" s="467" t="e">
        <f t="shared" ca="1" si="29"/>
        <v>#NAME?</v>
      </c>
    </row>
    <row r="21" spans="1:49" x14ac:dyDescent="0.25">
      <c r="A21" s="326"/>
      <c r="B21" s="429">
        <v>25</v>
      </c>
      <c r="C21" s="17" t="e">
        <f t="shared" ca="1" si="14"/>
        <v>#NAME?</v>
      </c>
      <c r="D21" s="17" t="e">
        <f t="shared" ca="1" si="15"/>
        <v>#NAME?</v>
      </c>
      <c r="E21" s="17" t="e">
        <f t="shared" ca="1" si="16"/>
        <v>#NAME?</v>
      </c>
      <c r="F21" s="17" t="e">
        <f t="shared" ca="1" si="17"/>
        <v>#NAME?</v>
      </c>
      <c r="G21" s="282" t="e">
        <f t="shared" ca="1" si="18"/>
        <v>#NAME?</v>
      </c>
      <c r="H21" s="326"/>
      <c r="I21" s="638"/>
      <c r="J21" s="361" t="s">
        <v>77</v>
      </c>
      <c r="K21" s="480">
        <v>1404</v>
      </c>
      <c r="L21" s="460">
        <f>VLOOKUP($B21,Gusset!$B$10:$I$36,MATCH('Equiv Connection'!L$8,Gusset!$B$8:$I$8,0),FALSE)</f>
        <v>1000</v>
      </c>
      <c r="M21" s="460" t="e">
        <f ca="1">VLOOKUP($B21,Framing!$B$20:$D$46,MATCH('Equiv Connection'!M$8,Framing!$B$18:$D$18,0),FALSE)</f>
        <v>#NAME?</v>
      </c>
      <c r="N21" s="126">
        <f t="shared" si="30"/>
        <v>230.82445055645721</v>
      </c>
      <c r="O21" s="123">
        <v>40</v>
      </c>
      <c r="P21" s="123">
        <v>175</v>
      </c>
      <c r="Q21" s="123">
        <v>205</v>
      </c>
      <c r="R21" s="123" t="s">
        <v>360</v>
      </c>
      <c r="S21" s="280">
        <v>0</v>
      </c>
      <c r="T21" s="460">
        <f>VLOOKUP($B21,Gusset!$B$10:$I$36,MATCH('Equiv Connection'!T$8,Gusset!$B$8:$I$8,0),FALSE)</f>
        <v>0</v>
      </c>
      <c r="U21" s="460" t="str">
        <f>VLOOKUP($B21,Framing!$B$20:$D$46,MATCH('Equiv Connection'!U$8,Framing!$B$18:$D$18,0),FALSE)</f>
        <v>∞</v>
      </c>
      <c r="V21" s="126">
        <v>0</v>
      </c>
      <c r="W21" s="123">
        <v>30</v>
      </c>
      <c r="X21" s="123">
        <v>250</v>
      </c>
      <c r="Y21" s="123">
        <v>205</v>
      </c>
      <c r="Z21" s="123" t="s">
        <v>360</v>
      </c>
      <c r="AA21" s="280">
        <v>0</v>
      </c>
      <c r="AB21" s="326"/>
      <c r="AC21" s="152">
        <f t="shared" si="21"/>
        <v>380</v>
      </c>
      <c r="AD21" s="355">
        <f t="shared" si="22"/>
        <v>380</v>
      </c>
      <c r="AE21" s="356">
        <f t="shared" si="5"/>
        <v>650.82445055645724</v>
      </c>
      <c r="AF21" s="357" t="e">
        <f t="shared" ca="1" si="6"/>
        <v>#NAME?</v>
      </c>
      <c r="AG21" s="357" t="e">
        <f t="shared" ca="1" si="7"/>
        <v>#NAME?</v>
      </c>
      <c r="AH21" s="358" t="e">
        <f t="shared" ca="1" si="8"/>
        <v>#NAME?</v>
      </c>
      <c r="AJ21" s="355">
        <f t="shared" si="23"/>
        <v>455</v>
      </c>
      <c r="AK21" s="355">
        <f t="shared" si="24"/>
        <v>455</v>
      </c>
      <c r="AL21" s="356">
        <f t="shared" si="9"/>
        <v>485</v>
      </c>
      <c r="AM21" s="357" t="e">
        <f t="shared" ca="1" si="10"/>
        <v>#NAME?</v>
      </c>
      <c r="AN21" s="357" t="e">
        <f t="shared" ca="1" si="11"/>
        <v>#NAME?</v>
      </c>
      <c r="AO21" s="358" t="e">
        <f t="shared" ca="1" si="12"/>
        <v>#NAME?</v>
      </c>
      <c r="AQ21" s="355">
        <f t="shared" si="25"/>
        <v>0</v>
      </c>
      <c r="AR21" s="464">
        <f t="shared" si="26"/>
        <v>1404</v>
      </c>
      <c r="AS21" s="465" t="e">
        <f t="shared" ca="1" si="27"/>
        <v>#NAME?</v>
      </c>
      <c r="AU21" s="467" t="e">
        <f t="shared" ca="1" si="13"/>
        <v>#NAME?</v>
      </c>
      <c r="AV21" s="467" t="e">
        <f t="shared" ca="1" si="28"/>
        <v>#NAME?</v>
      </c>
      <c r="AW21" s="467" t="e">
        <f t="shared" ca="1" si="29"/>
        <v>#NAME?</v>
      </c>
    </row>
    <row r="22" spans="1:49" x14ac:dyDescent="0.25">
      <c r="A22" s="326"/>
      <c r="B22" s="430">
        <v>30</v>
      </c>
      <c r="C22" s="65" t="e">
        <f t="shared" ca="1" si="14"/>
        <v>#NAME?</v>
      </c>
      <c r="D22" s="65" t="e">
        <f t="shared" ca="1" si="15"/>
        <v>#NAME?</v>
      </c>
      <c r="E22" s="65" t="e">
        <f t="shared" ca="1" si="16"/>
        <v>#NAME?</v>
      </c>
      <c r="F22" s="65" t="e">
        <f t="shared" ca="1" si="17"/>
        <v>#NAME?</v>
      </c>
      <c r="G22" s="275" t="e">
        <f t="shared" ca="1" si="18"/>
        <v>#NAME?</v>
      </c>
      <c r="H22" s="326"/>
      <c r="I22" s="636" t="s">
        <v>257</v>
      </c>
      <c r="J22" s="341" t="s">
        <v>127</v>
      </c>
      <c r="K22" s="481">
        <f>1230+2*110</f>
        <v>1450</v>
      </c>
      <c r="L22" s="461" t="str">
        <f>VLOOKUP($B22,Gusset!$B$10:$I$36,MATCH('Equiv Connection'!L$8,Gusset!$B$8:$I$8,0),FALSE)</f>
        <v>∞</v>
      </c>
      <c r="M22" s="461" t="e">
        <f ca="1">VLOOKUP($B22,Framing!$B$20:$D$46,MATCH('Equiv Connection'!M$8,Framing!$B$18:$D$18,0),FALSE)</f>
        <v>#NAME?</v>
      </c>
      <c r="N22" s="443">
        <v>205</v>
      </c>
      <c r="O22" s="443">
        <v>0</v>
      </c>
      <c r="P22" s="443">
        <v>300</v>
      </c>
      <c r="Q22" s="443">
        <v>273</v>
      </c>
      <c r="R22" s="286" t="s">
        <v>360</v>
      </c>
      <c r="S22" s="287">
        <v>110</v>
      </c>
      <c r="T22" s="461" t="str">
        <f>VLOOKUP($B22,Gusset!$B$10:$I$36,MATCH('Equiv Connection'!T$8,Gusset!$B$8:$I$8,0),FALSE)</f>
        <v>∞</v>
      </c>
      <c r="U22" s="461" t="str">
        <f>VLOOKUP($B22,Framing!$B$20:$D$46,MATCH('Equiv Connection'!U$8,Framing!$B$18:$D$18,0),FALSE)</f>
        <v>∞</v>
      </c>
      <c r="V22" s="443">
        <v>0</v>
      </c>
      <c r="W22" s="286">
        <v>0</v>
      </c>
      <c r="X22" s="286">
        <v>300</v>
      </c>
      <c r="Y22" s="286">
        <v>273</v>
      </c>
      <c r="Z22" s="286" t="s">
        <v>360</v>
      </c>
      <c r="AA22" s="287">
        <v>110</v>
      </c>
      <c r="AB22" s="326"/>
      <c r="AC22" s="152">
        <f t="shared" si="21"/>
        <v>573</v>
      </c>
      <c r="AD22" s="355">
        <f t="shared" si="22"/>
        <v>683</v>
      </c>
      <c r="AE22" s="356">
        <f t="shared" si="5"/>
        <v>888</v>
      </c>
      <c r="AF22" s="357" t="e">
        <f t="shared" ca="1" si="6"/>
        <v>#NAME?</v>
      </c>
      <c r="AG22" s="357" t="e">
        <f t="shared" ca="1" si="7"/>
        <v>#NAME?</v>
      </c>
      <c r="AH22" s="358" t="e">
        <f t="shared" ca="1" si="8"/>
        <v>#NAME?</v>
      </c>
      <c r="AJ22" s="355">
        <f t="shared" si="23"/>
        <v>573</v>
      </c>
      <c r="AK22" s="355">
        <f t="shared" si="24"/>
        <v>683</v>
      </c>
      <c r="AL22" s="356">
        <f t="shared" si="9"/>
        <v>683</v>
      </c>
      <c r="AM22" s="357" t="e">
        <f t="shared" ca="1" si="10"/>
        <v>#NAME?</v>
      </c>
      <c r="AN22" s="357" t="e">
        <f t="shared" ca="1" si="11"/>
        <v>#NAME?</v>
      </c>
      <c r="AO22" s="358" t="str">
        <f t="shared" si="12"/>
        <v>-</v>
      </c>
      <c r="AQ22" s="355">
        <f t="shared" si="25"/>
        <v>220</v>
      </c>
      <c r="AR22" s="464">
        <f t="shared" si="26"/>
        <v>1230</v>
      </c>
      <c r="AS22" s="465" t="e">
        <f t="shared" ca="1" si="27"/>
        <v>#NAME?</v>
      </c>
      <c r="AU22" s="467" t="e">
        <f t="shared" ca="1" si="13"/>
        <v>#NAME?</v>
      </c>
      <c r="AV22" s="467" t="e">
        <f t="shared" ca="1" si="28"/>
        <v>#NAME?</v>
      </c>
      <c r="AW22" s="467" t="e">
        <f t="shared" ca="1" si="29"/>
        <v>#NAME?</v>
      </c>
    </row>
    <row r="23" spans="1:49" x14ac:dyDescent="0.25">
      <c r="A23" s="326"/>
      <c r="B23" s="429">
        <v>31</v>
      </c>
      <c r="C23" s="17" t="e">
        <f t="shared" ca="1" si="14"/>
        <v>#NAME?</v>
      </c>
      <c r="D23" s="17" t="e">
        <f t="shared" ca="1" si="15"/>
        <v>#NAME?</v>
      </c>
      <c r="E23" s="17" t="e">
        <f t="shared" ca="1" si="16"/>
        <v>#NAME?</v>
      </c>
      <c r="F23" s="17" t="e">
        <f t="shared" ca="1" si="17"/>
        <v>#NAME?</v>
      </c>
      <c r="G23" s="282" t="e">
        <f t="shared" ca="1" si="18"/>
        <v>#NAME?</v>
      </c>
      <c r="H23" s="326"/>
      <c r="I23" s="638"/>
      <c r="J23" s="323" t="s">
        <v>13</v>
      </c>
      <c r="K23" s="480">
        <f>1230+2*110</f>
        <v>1450</v>
      </c>
      <c r="L23" s="460" t="str">
        <f>VLOOKUP($B23,Gusset!$B$10:$I$36,MATCH('Equiv Connection'!L$8,Gusset!$B$8:$I$8,0),FALSE)</f>
        <v>∞</v>
      </c>
      <c r="M23" s="460" t="e">
        <f ca="1">VLOOKUP($B23,Framing!$B$20:$D$46,MATCH('Equiv Connection'!M$8,Framing!$B$18:$D$18,0),FALSE)</f>
        <v>#NAME?</v>
      </c>
      <c r="N23" s="126">
        <v>205</v>
      </c>
      <c r="O23" s="126">
        <v>0</v>
      </c>
      <c r="P23" s="126">
        <v>300</v>
      </c>
      <c r="Q23" s="126">
        <v>273</v>
      </c>
      <c r="R23" s="123" t="s">
        <v>360</v>
      </c>
      <c r="S23" s="280">
        <v>30</v>
      </c>
      <c r="T23" s="460" t="str">
        <f>VLOOKUP($B23,Gusset!$B$10:$I$36,MATCH('Equiv Connection'!T$8,Gusset!$B$8:$I$8,0),FALSE)</f>
        <v>∞</v>
      </c>
      <c r="U23" s="460" t="str">
        <f>VLOOKUP($B23,Framing!$B$20:$D$46,MATCH('Equiv Connection'!U$8,Framing!$B$18:$D$18,0),FALSE)</f>
        <v>∞</v>
      </c>
      <c r="V23" s="126">
        <v>0</v>
      </c>
      <c r="W23" s="123">
        <v>0</v>
      </c>
      <c r="X23" s="123">
        <v>300</v>
      </c>
      <c r="Y23" s="123">
        <v>273</v>
      </c>
      <c r="Z23" s="123" t="s">
        <v>360</v>
      </c>
      <c r="AA23" s="280">
        <v>30</v>
      </c>
      <c r="AB23" s="326"/>
      <c r="AC23" s="152">
        <f t="shared" si="21"/>
        <v>573</v>
      </c>
      <c r="AD23" s="355">
        <f t="shared" si="22"/>
        <v>603</v>
      </c>
      <c r="AE23" s="356">
        <f t="shared" si="5"/>
        <v>808</v>
      </c>
      <c r="AF23" s="357" t="e">
        <f t="shared" ca="1" si="6"/>
        <v>#NAME?</v>
      </c>
      <c r="AG23" s="357" t="e">
        <f t="shared" ca="1" si="7"/>
        <v>#NAME?</v>
      </c>
      <c r="AH23" s="358" t="e">
        <f t="shared" ca="1" si="8"/>
        <v>#NAME?</v>
      </c>
      <c r="AJ23" s="355">
        <f t="shared" si="23"/>
        <v>573</v>
      </c>
      <c r="AK23" s="355">
        <f t="shared" si="24"/>
        <v>603</v>
      </c>
      <c r="AL23" s="356">
        <f t="shared" si="9"/>
        <v>603</v>
      </c>
      <c r="AM23" s="357" t="e">
        <f t="shared" ca="1" si="10"/>
        <v>#NAME?</v>
      </c>
      <c r="AN23" s="357" t="e">
        <f t="shared" ca="1" si="11"/>
        <v>#NAME?</v>
      </c>
      <c r="AO23" s="358" t="str">
        <f t="shared" si="12"/>
        <v>-</v>
      </c>
      <c r="AQ23" s="355">
        <f t="shared" si="25"/>
        <v>60</v>
      </c>
      <c r="AR23" s="464">
        <f t="shared" si="26"/>
        <v>1390</v>
      </c>
      <c r="AS23" s="465" t="e">
        <f t="shared" ca="1" si="27"/>
        <v>#NAME?</v>
      </c>
      <c r="AU23" s="467" t="e">
        <f t="shared" ca="1" si="13"/>
        <v>#NAME?</v>
      </c>
      <c r="AV23" s="467" t="e">
        <f t="shared" ca="1" si="28"/>
        <v>#NAME?</v>
      </c>
      <c r="AW23" s="467" t="e">
        <f t="shared" ca="1" si="29"/>
        <v>#NAME?</v>
      </c>
    </row>
    <row r="24" spans="1:49" ht="15" customHeight="1" x14ac:dyDescent="0.25">
      <c r="A24" s="326"/>
      <c r="B24" s="430">
        <v>40</v>
      </c>
      <c r="C24" s="65" t="e">
        <f t="shared" ca="1" si="14"/>
        <v>#NAME?</v>
      </c>
      <c r="D24" s="65" t="e">
        <f t="shared" ca="1" si="15"/>
        <v>#NAME?</v>
      </c>
      <c r="E24" s="65" t="e">
        <f t="shared" ca="1" si="16"/>
        <v>#NAME?</v>
      </c>
      <c r="F24" s="65" t="e">
        <f t="shared" ca="1" si="17"/>
        <v>#NAME?</v>
      </c>
      <c r="G24" s="275" t="e">
        <f t="shared" ca="1" si="18"/>
        <v>#NAME?</v>
      </c>
      <c r="H24" s="326"/>
      <c r="I24" s="636" t="s">
        <v>521</v>
      </c>
      <c r="J24" s="341" t="s">
        <v>21</v>
      </c>
      <c r="K24" s="481">
        <v>2726</v>
      </c>
      <c r="L24" s="461">
        <f>VLOOKUP($B24,Gusset!$B$10:$I$36,MATCH('Equiv Connection'!L$8,Gusset!$B$8:$I$8,0),FALSE)</f>
        <v>1288.0168269230769</v>
      </c>
      <c r="M24" s="461" t="e">
        <f ca="1">VLOOKUP($B24,Framing!$B$20:$D$46,MATCH('Equiv Connection'!M$8,Framing!$B$18:$D$18,0),FALSE)</f>
        <v>#NAME?</v>
      </c>
      <c r="N24" s="443">
        <v>289.20667350529794</v>
      </c>
      <c r="O24" s="286">
        <v>55</v>
      </c>
      <c r="P24" s="286">
        <v>435</v>
      </c>
      <c r="Q24" s="286">
        <v>454</v>
      </c>
      <c r="R24" s="286" t="s">
        <v>66</v>
      </c>
      <c r="S24" s="287">
        <v>190</v>
      </c>
      <c r="T24" s="461">
        <f>VLOOKUP($B24,Gusset!$B$10:$I$36,MATCH('Equiv Connection'!T$8,Gusset!$B$8:$I$8,0),FALSE)</f>
        <v>1288.0168269230769</v>
      </c>
      <c r="U24" s="461">
        <f>VLOOKUP($B24,Framing!$B$20:$D$46,MATCH('Equiv Connection'!U$8,Framing!$B$18:$D$18,0),FALSE)</f>
        <v>79.152562160890199</v>
      </c>
      <c r="V24" s="443">
        <f>N24</f>
        <v>289.20667350529794</v>
      </c>
      <c r="W24" s="286">
        <f t="shared" ref="W24:W29" si="31">O24</f>
        <v>55</v>
      </c>
      <c r="X24" s="286">
        <f t="shared" ref="X24:X29" si="32">P24</f>
        <v>435</v>
      </c>
      <c r="Y24" s="286">
        <f t="shared" ref="Y24:Y29" si="33">Q24</f>
        <v>454</v>
      </c>
      <c r="Z24" s="286" t="str">
        <f t="shared" ref="Z24:Z29" si="34">R24</f>
        <v>Restrainer</v>
      </c>
      <c r="AA24" s="287">
        <f t="shared" ref="AA24:AA29" si="35">S24</f>
        <v>190</v>
      </c>
      <c r="AB24" s="326"/>
      <c r="AC24" s="152">
        <f t="shared" si="21"/>
        <v>889</v>
      </c>
      <c r="AD24" s="355">
        <f t="shared" si="22"/>
        <v>889</v>
      </c>
      <c r="AE24" s="356">
        <f t="shared" si="5"/>
        <v>1233.2066735052979</v>
      </c>
      <c r="AF24" s="357" t="e">
        <f t="shared" ca="1" si="6"/>
        <v>#NAME?</v>
      </c>
      <c r="AG24" s="357" t="e">
        <f t="shared" ca="1" si="7"/>
        <v>#NAME?</v>
      </c>
      <c r="AH24" s="358" t="e">
        <f t="shared" ca="1" si="8"/>
        <v>#NAME?</v>
      </c>
      <c r="AJ24" s="355">
        <f t="shared" si="23"/>
        <v>889</v>
      </c>
      <c r="AK24" s="355">
        <f t="shared" si="24"/>
        <v>889</v>
      </c>
      <c r="AL24" s="356">
        <f t="shared" si="9"/>
        <v>1233.2066735052979</v>
      </c>
      <c r="AM24" s="357" t="e">
        <f t="shared" ca="1" si="10"/>
        <v>#NAME?</v>
      </c>
      <c r="AN24" s="357" t="e">
        <f t="shared" ca="1" si="11"/>
        <v>#NAME?</v>
      </c>
      <c r="AO24" s="358" t="e">
        <f t="shared" ca="1" si="12"/>
        <v>#NAME?</v>
      </c>
      <c r="AQ24" s="355">
        <f t="shared" si="25"/>
        <v>0</v>
      </c>
      <c r="AR24" s="464">
        <f t="shared" si="26"/>
        <v>2726</v>
      </c>
      <c r="AS24" s="465" t="e">
        <f t="shared" ca="1" si="27"/>
        <v>#NAME?</v>
      </c>
      <c r="AU24" s="467" t="e">
        <f t="shared" ca="1" si="13"/>
        <v>#NAME?</v>
      </c>
      <c r="AV24" s="467" t="e">
        <f t="shared" ca="1" si="28"/>
        <v>#NAME?</v>
      </c>
      <c r="AW24" s="467" t="e">
        <f t="shared" ca="1" si="29"/>
        <v>#NAME?</v>
      </c>
    </row>
    <row r="25" spans="1:49" x14ac:dyDescent="0.25">
      <c r="A25" s="326"/>
      <c r="B25" s="430">
        <v>41</v>
      </c>
      <c r="C25" s="65" t="e">
        <f t="shared" ca="1" si="14"/>
        <v>#NAME?</v>
      </c>
      <c r="D25" s="65" t="e">
        <f t="shared" ca="1" si="15"/>
        <v>#NAME?</v>
      </c>
      <c r="E25" s="65" t="e">
        <f t="shared" ca="1" si="16"/>
        <v>#NAME?</v>
      </c>
      <c r="F25" s="65" t="e">
        <f t="shared" ca="1" si="17"/>
        <v>#NAME?</v>
      </c>
      <c r="G25" s="275" t="e">
        <f t="shared" ca="1" si="18"/>
        <v>#NAME?</v>
      </c>
      <c r="H25" s="326"/>
      <c r="I25" s="637"/>
      <c r="J25" s="340" t="s">
        <v>22</v>
      </c>
      <c r="K25" s="479">
        <v>2726</v>
      </c>
      <c r="L25" s="459">
        <f>VLOOKUP($B25,Gusset!$B$10:$I$36,MATCH('Equiv Connection'!L$8,Gusset!$B$8:$I$8,0),FALSE)</f>
        <v>1246.6874046022758</v>
      </c>
      <c r="M25" s="459" t="e">
        <f ca="1">VLOOKUP($B25,Framing!$B$20:$D$46,MATCH('Equiv Connection'!M$8,Framing!$B$18:$D$18,0),FALSE)</f>
        <v>#NAME?</v>
      </c>
      <c r="N25" s="149">
        <v>289.20667350529794</v>
      </c>
      <c r="O25" s="146">
        <v>55</v>
      </c>
      <c r="P25" s="146">
        <v>435</v>
      </c>
      <c r="Q25" s="146">
        <v>454</v>
      </c>
      <c r="R25" s="146" t="s">
        <v>66</v>
      </c>
      <c r="S25" s="279">
        <v>190</v>
      </c>
      <c r="T25" s="459">
        <f>VLOOKUP($B25,Gusset!$B$10:$I$36,MATCH('Equiv Connection'!T$8,Gusset!$B$8:$I$8,0),FALSE)</f>
        <v>1246.6874046022758</v>
      </c>
      <c r="U25" s="459">
        <f>VLOOKUP($B25,Framing!$B$20:$D$46,MATCH('Equiv Connection'!U$8,Framing!$B$18:$D$18,0),FALSE)</f>
        <v>79.152562160890199</v>
      </c>
      <c r="V25" s="149">
        <f t="shared" ref="V25:V29" si="36">N25</f>
        <v>289.20667350529794</v>
      </c>
      <c r="W25" s="146">
        <f t="shared" si="31"/>
        <v>55</v>
      </c>
      <c r="X25" s="146">
        <f t="shared" si="32"/>
        <v>435</v>
      </c>
      <c r="Y25" s="146">
        <f t="shared" si="33"/>
        <v>454</v>
      </c>
      <c r="Z25" s="146" t="str">
        <f t="shared" si="34"/>
        <v>Restrainer</v>
      </c>
      <c r="AA25" s="279">
        <f t="shared" si="35"/>
        <v>190</v>
      </c>
      <c r="AB25" s="326"/>
      <c r="AC25" s="152">
        <f t="shared" si="21"/>
        <v>889</v>
      </c>
      <c r="AD25" s="355">
        <f t="shared" si="22"/>
        <v>889</v>
      </c>
      <c r="AE25" s="356">
        <f t="shared" si="5"/>
        <v>1233.2066735052979</v>
      </c>
      <c r="AF25" s="357" t="e">
        <f t="shared" ca="1" si="6"/>
        <v>#NAME?</v>
      </c>
      <c r="AG25" s="357" t="e">
        <f t="shared" ca="1" si="7"/>
        <v>#NAME?</v>
      </c>
      <c r="AH25" s="358" t="e">
        <f t="shared" ca="1" si="8"/>
        <v>#NAME?</v>
      </c>
      <c r="AJ25" s="355">
        <f t="shared" si="23"/>
        <v>889</v>
      </c>
      <c r="AK25" s="355">
        <f t="shared" si="24"/>
        <v>889</v>
      </c>
      <c r="AL25" s="356">
        <f t="shared" si="9"/>
        <v>1233.2066735052979</v>
      </c>
      <c r="AM25" s="357" t="e">
        <f t="shared" ca="1" si="10"/>
        <v>#NAME?</v>
      </c>
      <c r="AN25" s="357" t="e">
        <f t="shared" ca="1" si="11"/>
        <v>#NAME?</v>
      </c>
      <c r="AO25" s="358" t="e">
        <f t="shared" ca="1" si="12"/>
        <v>#NAME?</v>
      </c>
      <c r="AQ25" s="355">
        <f t="shared" si="25"/>
        <v>0</v>
      </c>
      <c r="AR25" s="464">
        <f t="shared" si="26"/>
        <v>2726</v>
      </c>
      <c r="AS25" s="465" t="e">
        <f t="shared" ca="1" si="27"/>
        <v>#NAME?</v>
      </c>
      <c r="AU25" s="467" t="e">
        <f t="shared" ca="1" si="13"/>
        <v>#NAME?</v>
      </c>
      <c r="AV25" s="467" t="e">
        <f t="shared" ca="1" si="28"/>
        <v>#NAME?</v>
      </c>
      <c r="AW25" s="467" t="e">
        <f t="shared" ca="1" si="29"/>
        <v>#NAME?</v>
      </c>
    </row>
    <row r="26" spans="1:49" x14ac:dyDescent="0.25">
      <c r="A26" s="326"/>
      <c r="B26" s="430">
        <v>42</v>
      </c>
      <c r="C26" s="65" t="e">
        <f t="shared" ca="1" si="14"/>
        <v>#NAME?</v>
      </c>
      <c r="D26" s="65" t="e">
        <f t="shared" ca="1" si="15"/>
        <v>#NAME?</v>
      </c>
      <c r="E26" s="65" t="e">
        <f t="shared" ca="1" si="16"/>
        <v>#NAME?</v>
      </c>
      <c r="F26" s="65" t="e">
        <f t="shared" ca="1" si="17"/>
        <v>#NAME?</v>
      </c>
      <c r="G26" s="275" t="e">
        <f t="shared" ca="1" si="18"/>
        <v>#NAME?</v>
      </c>
      <c r="H26" s="326"/>
      <c r="I26" s="637"/>
      <c r="J26" s="340" t="s">
        <v>23</v>
      </c>
      <c r="K26" s="479">
        <v>2726</v>
      </c>
      <c r="L26" s="459">
        <f>VLOOKUP($B26,Gusset!$B$10:$I$36,MATCH('Equiv Connection'!L$8,Gusset!$B$8:$I$8,0),FALSE)</f>
        <v>1246.6874046022758</v>
      </c>
      <c r="M26" s="459" t="e">
        <f ca="1">VLOOKUP($B26,Framing!$B$20:$D$46,MATCH('Equiv Connection'!M$8,Framing!$B$18:$D$18,0),FALSE)</f>
        <v>#NAME?</v>
      </c>
      <c r="N26" s="149">
        <v>289.20667350529794</v>
      </c>
      <c r="O26" s="146">
        <v>55</v>
      </c>
      <c r="P26" s="146">
        <v>435</v>
      </c>
      <c r="Q26" s="146">
        <v>454</v>
      </c>
      <c r="R26" s="146" t="s">
        <v>66</v>
      </c>
      <c r="S26" s="279">
        <v>190</v>
      </c>
      <c r="T26" s="459">
        <f>VLOOKUP($B26,Gusset!$B$10:$I$36,MATCH('Equiv Connection'!T$8,Gusset!$B$8:$I$8,0),FALSE)</f>
        <v>1246.6874046022758</v>
      </c>
      <c r="U26" s="459">
        <f>VLOOKUP($B26,Framing!$B$20:$D$46,MATCH('Equiv Connection'!U$8,Framing!$B$18:$D$18,0),FALSE)</f>
        <v>79.152562160890199</v>
      </c>
      <c r="V26" s="149">
        <f t="shared" si="36"/>
        <v>289.20667350529794</v>
      </c>
      <c r="W26" s="146">
        <f t="shared" si="31"/>
        <v>55</v>
      </c>
      <c r="X26" s="146">
        <f t="shared" si="32"/>
        <v>435</v>
      </c>
      <c r="Y26" s="146">
        <f t="shared" si="33"/>
        <v>454</v>
      </c>
      <c r="Z26" s="146" t="str">
        <f t="shared" si="34"/>
        <v>Restrainer</v>
      </c>
      <c r="AA26" s="279">
        <f t="shared" si="35"/>
        <v>190</v>
      </c>
      <c r="AB26" s="326"/>
      <c r="AC26" s="152">
        <f t="shared" si="21"/>
        <v>889</v>
      </c>
      <c r="AD26" s="355">
        <f t="shared" si="22"/>
        <v>889</v>
      </c>
      <c r="AE26" s="356">
        <f t="shared" si="5"/>
        <v>1233.2066735052979</v>
      </c>
      <c r="AF26" s="357" t="e">
        <f t="shared" ca="1" si="6"/>
        <v>#NAME?</v>
      </c>
      <c r="AG26" s="357" t="e">
        <f t="shared" ca="1" si="7"/>
        <v>#NAME?</v>
      </c>
      <c r="AH26" s="358" t="e">
        <f t="shared" ca="1" si="8"/>
        <v>#NAME?</v>
      </c>
      <c r="AJ26" s="355">
        <f t="shared" si="23"/>
        <v>889</v>
      </c>
      <c r="AK26" s="355">
        <f t="shared" si="24"/>
        <v>889</v>
      </c>
      <c r="AL26" s="356">
        <f t="shared" si="9"/>
        <v>1233.2066735052979</v>
      </c>
      <c r="AM26" s="357" t="e">
        <f t="shared" ca="1" si="10"/>
        <v>#NAME?</v>
      </c>
      <c r="AN26" s="357" t="e">
        <f t="shared" ca="1" si="11"/>
        <v>#NAME?</v>
      </c>
      <c r="AO26" s="358" t="e">
        <f t="shared" ca="1" si="12"/>
        <v>#NAME?</v>
      </c>
      <c r="AQ26" s="355">
        <f t="shared" si="25"/>
        <v>0</v>
      </c>
      <c r="AR26" s="464">
        <f t="shared" si="26"/>
        <v>2726</v>
      </c>
      <c r="AS26" s="465" t="e">
        <f t="shared" ca="1" si="27"/>
        <v>#NAME?</v>
      </c>
      <c r="AU26" s="467" t="e">
        <f t="shared" ca="1" si="13"/>
        <v>#NAME?</v>
      </c>
      <c r="AV26" s="467" t="e">
        <f t="shared" ca="1" si="28"/>
        <v>#NAME?</v>
      </c>
      <c r="AW26" s="467" t="e">
        <f t="shared" ca="1" si="29"/>
        <v>#NAME?</v>
      </c>
    </row>
    <row r="27" spans="1:49" x14ac:dyDescent="0.25">
      <c r="A27" s="326"/>
      <c r="B27" s="430">
        <v>43</v>
      </c>
      <c r="C27" s="65" t="e">
        <f t="shared" ca="1" si="14"/>
        <v>#NAME?</v>
      </c>
      <c r="D27" s="65" t="e">
        <f t="shared" ca="1" si="15"/>
        <v>#NAME?</v>
      </c>
      <c r="E27" s="65" t="e">
        <f t="shared" ca="1" si="16"/>
        <v>#NAME?</v>
      </c>
      <c r="F27" s="65" t="e">
        <f t="shared" ca="1" si="17"/>
        <v>#NAME?</v>
      </c>
      <c r="G27" s="275" t="e">
        <f t="shared" ca="1" si="18"/>
        <v>#NAME?</v>
      </c>
      <c r="H27" s="326"/>
      <c r="I27" s="637"/>
      <c r="J27" s="340" t="s">
        <v>24</v>
      </c>
      <c r="K27" s="479">
        <v>2726</v>
      </c>
      <c r="L27" s="459">
        <f>VLOOKUP($B27,Gusset!$B$10:$I$36,MATCH('Equiv Connection'!L$8,Gusset!$B$8:$I$8,0),FALSE)</f>
        <v>1246.6874046022758</v>
      </c>
      <c r="M27" s="459" t="e">
        <f ca="1">VLOOKUP($B27,Framing!$B$20:$D$46,MATCH('Equiv Connection'!M$8,Framing!$B$18:$D$18,0),FALSE)</f>
        <v>#NAME?</v>
      </c>
      <c r="N27" s="149">
        <v>289.20667350529794</v>
      </c>
      <c r="O27" s="146">
        <v>55</v>
      </c>
      <c r="P27" s="146">
        <v>435</v>
      </c>
      <c r="Q27" s="146">
        <v>454</v>
      </c>
      <c r="R27" s="146" t="s">
        <v>66</v>
      </c>
      <c r="S27" s="279">
        <v>190</v>
      </c>
      <c r="T27" s="459">
        <f>VLOOKUP($B27,Gusset!$B$10:$I$36,MATCH('Equiv Connection'!T$8,Gusset!$B$8:$I$8,0),FALSE)</f>
        <v>1246.6874046022758</v>
      </c>
      <c r="U27" s="459">
        <f>VLOOKUP($B27,Framing!$B$20:$D$46,MATCH('Equiv Connection'!U$8,Framing!$B$18:$D$18,0),FALSE)</f>
        <v>79.152562160890199</v>
      </c>
      <c r="V27" s="149">
        <f t="shared" si="36"/>
        <v>289.20667350529794</v>
      </c>
      <c r="W27" s="146">
        <f t="shared" si="31"/>
        <v>55</v>
      </c>
      <c r="X27" s="146">
        <f t="shared" si="32"/>
        <v>435</v>
      </c>
      <c r="Y27" s="146">
        <f t="shared" si="33"/>
        <v>454</v>
      </c>
      <c r="Z27" s="146" t="str">
        <f t="shared" si="34"/>
        <v>Restrainer</v>
      </c>
      <c r="AA27" s="279">
        <f t="shared" si="35"/>
        <v>190</v>
      </c>
      <c r="AB27" s="326"/>
      <c r="AC27" s="152">
        <f t="shared" si="21"/>
        <v>889</v>
      </c>
      <c r="AD27" s="355">
        <f t="shared" si="22"/>
        <v>889</v>
      </c>
      <c r="AE27" s="356">
        <f t="shared" si="5"/>
        <v>1233.2066735052979</v>
      </c>
      <c r="AF27" s="357" t="e">
        <f t="shared" ca="1" si="6"/>
        <v>#NAME?</v>
      </c>
      <c r="AG27" s="357" t="e">
        <f t="shared" ca="1" si="7"/>
        <v>#NAME?</v>
      </c>
      <c r="AH27" s="358" t="e">
        <f t="shared" ca="1" si="8"/>
        <v>#NAME?</v>
      </c>
      <c r="AJ27" s="355">
        <f t="shared" si="23"/>
        <v>889</v>
      </c>
      <c r="AK27" s="355">
        <f t="shared" si="24"/>
        <v>889</v>
      </c>
      <c r="AL27" s="356">
        <f t="shared" si="9"/>
        <v>1233.2066735052979</v>
      </c>
      <c r="AM27" s="357" t="e">
        <f t="shared" ca="1" si="10"/>
        <v>#NAME?</v>
      </c>
      <c r="AN27" s="357" t="e">
        <f t="shared" ca="1" si="11"/>
        <v>#NAME?</v>
      </c>
      <c r="AO27" s="358" t="e">
        <f t="shared" ca="1" si="12"/>
        <v>#NAME?</v>
      </c>
      <c r="AQ27" s="355">
        <f t="shared" si="25"/>
        <v>0</v>
      </c>
      <c r="AR27" s="464">
        <f t="shared" si="26"/>
        <v>2726</v>
      </c>
      <c r="AS27" s="465" t="e">
        <f t="shared" ca="1" si="27"/>
        <v>#NAME?</v>
      </c>
      <c r="AU27" s="467" t="e">
        <f t="shared" ca="1" si="13"/>
        <v>#NAME?</v>
      </c>
      <c r="AV27" s="467" t="e">
        <f t="shared" ca="1" si="28"/>
        <v>#NAME?</v>
      </c>
      <c r="AW27" s="467" t="e">
        <f t="shared" ca="1" si="29"/>
        <v>#NAME?</v>
      </c>
    </row>
    <row r="28" spans="1:49" x14ac:dyDescent="0.25">
      <c r="A28" s="326"/>
      <c r="B28" s="430">
        <v>44</v>
      </c>
      <c r="C28" s="65" t="e">
        <f t="shared" ca="1" si="14"/>
        <v>#NAME?</v>
      </c>
      <c r="D28" s="65" t="e">
        <f t="shared" ca="1" si="15"/>
        <v>#NAME?</v>
      </c>
      <c r="E28" s="65" t="e">
        <f t="shared" ca="1" si="16"/>
        <v>#NAME?</v>
      </c>
      <c r="F28" s="65" t="e">
        <f t="shared" ca="1" si="17"/>
        <v>#NAME?</v>
      </c>
      <c r="G28" s="275" t="e">
        <f t="shared" ca="1" si="18"/>
        <v>#NAME?</v>
      </c>
      <c r="H28" s="326"/>
      <c r="I28" s="637"/>
      <c r="J28" s="340" t="s">
        <v>172</v>
      </c>
      <c r="K28" s="479">
        <v>2726</v>
      </c>
      <c r="L28" s="459">
        <f>VLOOKUP($B28,Gusset!$B$10:$I$36,MATCH('Equiv Connection'!L$8,Gusset!$B$8:$I$8,0),FALSE)</f>
        <v>1246.6874046022758</v>
      </c>
      <c r="M28" s="459" t="e">
        <f ca="1">VLOOKUP($B28,Framing!$B$20:$D$46,MATCH('Equiv Connection'!M$8,Framing!$B$18:$D$18,0),FALSE)</f>
        <v>#NAME?</v>
      </c>
      <c r="N28" s="149">
        <v>289.20667350529794</v>
      </c>
      <c r="O28" s="146">
        <v>55</v>
      </c>
      <c r="P28" s="146">
        <v>435</v>
      </c>
      <c r="Q28" s="146">
        <v>454</v>
      </c>
      <c r="R28" s="146" t="s">
        <v>66</v>
      </c>
      <c r="S28" s="279">
        <v>190</v>
      </c>
      <c r="T28" s="459">
        <f>VLOOKUP($B28,Gusset!$B$10:$I$36,MATCH('Equiv Connection'!T$8,Gusset!$B$8:$I$8,0),FALSE)</f>
        <v>1246.6874046022758</v>
      </c>
      <c r="U28" s="459">
        <f>VLOOKUP($B28,Framing!$B$20:$D$46,MATCH('Equiv Connection'!U$8,Framing!$B$18:$D$18,0),FALSE)</f>
        <v>79.152562160890199</v>
      </c>
      <c r="V28" s="149">
        <f t="shared" si="36"/>
        <v>289.20667350529794</v>
      </c>
      <c r="W28" s="146">
        <f t="shared" si="31"/>
        <v>55</v>
      </c>
      <c r="X28" s="146">
        <f t="shared" si="32"/>
        <v>435</v>
      </c>
      <c r="Y28" s="146">
        <f t="shared" si="33"/>
        <v>454</v>
      </c>
      <c r="Z28" s="146" t="str">
        <f t="shared" si="34"/>
        <v>Restrainer</v>
      </c>
      <c r="AA28" s="279">
        <f t="shared" si="35"/>
        <v>190</v>
      </c>
      <c r="AB28" s="326"/>
      <c r="AC28" s="152">
        <f t="shared" si="21"/>
        <v>889</v>
      </c>
      <c r="AD28" s="355">
        <f t="shared" si="22"/>
        <v>889</v>
      </c>
      <c r="AE28" s="356">
        <f t="shared" si="5"/>
        <v>1233.2066735052979</v>
      </c>
      <c r="AF28" s="357" t="e">
        <f t="shared" ca="1" si="6"/>
        <v>#NAME?</v>
      </c>
      <c r="AG28" s="357" t="e">
        <f t="shared" ca="1" si="7"/>
        <v>#NAME?</v>
      </c>
      <c r="AH28" s="358" t="e">
        <f t="shared" ca="1" si="8"/>
        <v>#NAME?</v>
      </c>
      <c r="AJ28" s="355">
        <f t="shared" si="23"/>
        <v>889</v>
      </c>
      <c r="AK28" s="355">
        <f t="shared" si="24"/>
        <v>889</v>
      </c>
      <c r="AL28" s="356">
        <f t="shared" si="9"/>
        <v>1233.2066735052979</v>
      </c>
      <c r="AM28" s="357" t="e">
        <f t="shared" ca="1" si="10"/>
        <v>#NAME?</v>
      </c>
      <c r="AN28" s="357" t="e">
        <f t="shared" ca="1" si="11"/>
        <v>#NAME?</v>
      </c>
      <c r="AO28" s="358" t="e">
        <f t="shared" ca="1" si="12"/>
        <v>#NAME?</v>
      </c>
      <c r="AQ28" s="355">
        <f t="shared" si="25"/>
        <v>0</v>
      </c>
      <c r="AR28" s="464">
        <f t="shared" si="26"/>
        <v>2726</v>
      </c>
      <c r="AS28" s="465" t="e">
        <f t="shared" ca="1" si="27"/>
        <v>#NAME?</v>
      </c>
      <c r="AU28" s="467" t="e">
        <f t="shared" ca="1" si="13"/>
        <v>#NAME?</v>
      </c>
      <c r="AV28" s="467" t="e">
        <f t="shared" ca="1" si="28"/>
        <v>#NAME?</v>
      </c>
      <c r="AW28" s="467" t="e">
        <f t="shared" ca="1" si="29"/>
        <v>#NAME?</v>
      </c>
    </row>
    <row r="29" spans="1:49" x14ac:dyDescent="0.25">
      <c r="A29" s="326"/>
      <c r="B29" s="429">
        <v>45</v>
      </c>
      <c r="C29" s="17" t="e">
        <f t="shared" ref="C29:C35" ca="1" si="37">AU29</f>
        <v>#NAME?</v>
      </c>
      <c r="D29" s="17" t="e">
        <f t="shared" ref="D29:D35" ca="1" si="38">AV29</f>
        <v>#NAME?</v>
      </c>
      <c r="E29" s="17" t="e">
        <f t="shared" ref="E29:E35" ca="1" si="39">AG29</f>
        <v>#NAME?</v>
      </c>
      <c r="F29" s="17" t="e">
        <f t="shared" ref="F29:F35" ca="1" si="40">AW29</f>
        <v>#NAME?</v>
      </c>
      <c r="G29" s="282" t="e">
        <f t="shared" ref="G29:G35" ca="1" si="41">AN29</f>
        <v>#NAME?</v>
      </c>
      <c r="H29" s="326"/>
      <c r="I29" s="638"/>
      <c r="J29" s="323" t="s">
        <v>86</v>
      </c>
      <c r="K29" s="480">
        <v>2726</v>
      </c>
      <c r="L29" s="460">
        <f>VLOOKUP($B29,Gusset!$B$10:$I$36,MATCH('Equiv Connection'!L$8,Gusset!$B$8:$I$8,0),FALSE)</f>
        <v>1246.6874046022758</v>
      </c>
      <c r="M29" s="460" t="e">
        <f ca="1">VLOOKUP($B29,Framing!$B$20:$D$46,MATCH('Equiv Connection'!M$8,Framing!$B$18:$D$18,0),FALSE)</f>
        <v>#NAME?</v>
      </c>
      <c r="N29" s="126">
        <v>289.20667350529794</v>
      </c>
      <c r="O29" s="123">
        <v>55</v>
      </c>
      <c r="P29" s="123">
        <v>435</v>
      </c>
      <c r="Q29" s="123">
        <v>454</v>
      </c>
      <c r="R29" s="123" t="s">
        <v>66</v>
      </c>
      <c r="S29" s="280">
        <v>190</v>
      </c>
      <c r="T29" s="460">
        <f>VLOOKUP($B29,Gusset!$B$10:$I$36,MATCH('Equiv Connection'!T$8,Gusset!$B$8:$I$8,0),FALSE)</f>
        <v>1246.6874046022758</v>
      </c>
      <c r="U29" s="460">
        <f>VLOOKUP($B29,Framing!$B$20:$D$46,MATCH('Equiv Connection'!U$8,Framing!$B$18:$D$18,0),FALSE)</f>
        <v>79.152562160890199</v>
      </c>
      <c r="V29" s="126">
        <f t="shared" si="36"/>
        <v>289.20667350529794</v>
      </c>
      <c r="W29" s="123">
        <f t="shared" si="31"/>
        <v>55</v>
      </c>
      <c r="X29" s="123">
        <f t="shared" si="32"/>
        <v>435</v>
      </c>
      <c r="Y29" s="123">
        <f t="shared" si="33"/>
        <v>454</v>
      </c>
      <c r="Z29" s="123" t="str">
        <f t="shared" si="34"/>
        <v>Restrainer</v>
      </c>
      <c r="AA29" s="280">
        <f t="shared" si="35"/>
        <v>190</v>
      </c>
      <c r="AB29" s="326"/>
      <c r="AC29" s="152">
        <f t="shared" si="21"/>
        <v>889</v>
      </c>
      <c r="AD29" s="355">
        <f t="shared" si="22"/>
        <v>889</v>
      </c>
      <c r="AE29" s="356">
        <f t="shared" si="5"/>
        <v>1233.2066735052979</v>
      </c>
      <c r="AF29" s="357" t="e">
        <f t="shared" ca="1" si="6"/>
        <v>#NAME?</v>
      </c>
      <c r="AG29" s="357" t="e">
        <f t="shared" ca="1" si="7"/>
        <v>#NAME?</v>
      </c>
      <c r="AH29" s="358" t="e">
        <f t="shared" ca="1" si="8"/>
        <v>#NAME?</v>
      </c>
      <c r="AJ29" s="355">
        <f t="shared" si="23"/>
        <v>889</v>
      </c>
      <c r="AK29" s="355">
        <f t="shared" si="24"/>
        <v>889</v>
      </c>
      <c r="AL29" s="356">
        <f t="shared" si="9"/>
        <v>1233.2066735052979</v>
      </c>
      <c r="AM29" s="357" t="e">
        <f t="shared" ca="1" si="10"/>
        <v>#NAME?</v>
      </c>
      <c r="AN29" s="357" t="e">
        <f t="shared" ca="1" si="11"/>
        <v>#NAME?</v>
      </c>
      <c r="AO29" s="358" t="e">
        <f t="shared" ca="1" si="12"/>
        <v>#NAME?</v>
      </c>
      <c r="AQ29" s="355">
        <f t="shared" si="25"/>
        <v>0</v>
      </c>
      <c r="AR29" s="464">
        <f t="shared" si="26"/>
        <v>2726</v>
      </c>
      <c r="AS29" s="465" t="e">
        <f t="shared" ca="1" si="27"/>
        <v>#NAME?</v>
      </c>
      <c r="AU29" s="467" t="e">
        <f t="shared" ca="1" si="13"/>
        <v>#NAME?</v>
      </c>
      <c r="AV29" s="467" t="e">
        <f t="shared" ca="1" si="28"/>
        <v>#NAME?</v>
      </c>
      <c r="AW29" s="467" t="e">
        <f t="shared" ca="1" si="29"/>
        <v>#NAME?</v>
      </c>
    </row>
    <row r="30" spans="1:49" ht="15" customHeight="1" x14ac:dyDescent="0.25">
      <c r="A30" s="326"/>
      <c r="B30" s="430">
        <v>46</v>
      </c>
      <c r="C30" s="65" t="e">
        <f t="shared" ca="1" si="37"/>
        <v>#NAME?</v>
      </c>
      <c r="D30" s="65" t="e">
        <f t="shared" ca="1" si="38"/>
        <v>#NAME?</v>
      </c>
      <c r="E30" s="65" t="e">
        <f t="shared" ca="1" si="39"/>
        <v>#NAME?</v>
      </c>
      <c r="F30" s="65" t="e">
        <f t="shared" ca="1" si="40"/>
        <v>#NAME?</v>
      </c>
      <c r="G30" s="275" t="e">
        <f t="shared" ca="1" si="41"/>
        <v>#NAME?</v>
      </c>
      <c r="H30" s="326"/>
      <c r="I30" s="636" t="s">
        <v>520</v>
      </c>
      <c r="J30" s="340" t="s">
        <v>21</v>
      </c>
      <c r="K30" s="479">
        <v>2726</v>
      </c>
      <c r="L30" s="459">
        <f>VLOOKUP($B30,Gusset!$B$10:$I$36,MATCH('Equiv Connection'!L$8,Gusset!$B$8:$I$8,0),FALSE)</f>
        <v>1288.0168269230769</v>
      </c>
      <c r="M30" s="459" t="e">
        <f ca="1">VLOOKUP($B30,Framing!$B$20:$D$46,MATCH('Equiv Connection'!M$8,Framing!$B$18:$D$18,0),FALSE)</f>
        <v>#NAME?</v>
      </c>
      <c r="N30" s="149">
        <v>289.20667350529794</v>
      </c>
      <c r="O30" s="146">
        <v>55</v>
      </c>
      <c r="P30" s="146">
        <v>435</v>
      </c>
      <c r="Q30" s="146">
        <v>454</v>
      </c>
      <c r="R30" s="146" t="s">
        <v>66</v>
      </c>
      <c r="S30" s="279">
        <v>190</v>
      </c>
      <c r="T30" s="459">
        <f>VLOOKUP($B30,Gusset!$B$10:$I$36,MATCH('Equiv Connection'!T$8,Gusset!$B$8:$I$8,0),FALSE)</f>
        <v>1288.0168269230769</v>
      </c>
      <c r="U30" s="459">
        <f>VLOOKUP($B30,Framing!$B$20:$D$46,MATCH('Equiv Connection'!U$8,Framing!$B$18:$D$18,0),FALSE)</f>
        <v>3957.6281080445096</v>
      </c>
      <c r="V30" s="149">
        <f>N30</f>
        <v>289.20667350529794</v>
      </c>
      <c r="W30" s="146">
        <f t="shared" ref="W30:W35" si="42">O30</f>
        <v>55</v>
      </c>
      <c r="X30" s="146">
        <f t="shared" ref="X30:X35" si="43">P30</f>
        <v>435</v>
      </c>
      <c r="Y30" s="146">
        <f t="shared" ref="Y30:Y35" si="44">Q30</f>
        <v>454</v>
      </c>
      <c r="Z30" s="146" t="str">
        <f t="shared" ref="Z30:Z35" si="45">R30</f>
        <v>Restrainer</v>
      </c>
      <c r="AA30" s="279">
        <f t="shared" ref="AA30:AA35" si="46">S30</f>
        <v>190</v>
      </c>
      <c r="AB30" s="326"/>
      <c r="AC30" s="152">
        <f t="shared" ref="AC30:AC35" si="47">P30+Q30</f>
        <v>889</v>
      </c>
      <c r="AD30" s="355">
        <f t="shared" ref="AD30:AD35" si="48">AC30+IF(R30="Insert",S30,IF(R30="Restrainer",0,#N/A))</f>
        <v>889</v>
      </c>
      <c r="AE30" s="356">
        <f t="shared" si="5"/>
        <v>1233.2066735052979</v>
      </c>
      <c r="AF30" s="357" t="e">
        <f t="shared" ca="1" si="6"/>
        <v>#NAME?</v>
      </c>
      <c r="AG30" s="357" t="e">
        <f t="shared" ca="1" si="7"/>
        <v>#NAME?</v>
      </c>
      <c r="AH30" s="358" t="e">
        <f t="shared" ref="AH30:AH35" ca="1" si="49">IF(AE30=AD30,"-",(AF30-AD30)/(AE30-AD30))</f>
        <v>#NAME?</v>
      </c>
      <c r="AI30" s="326"/>
      <c r="AJ30" s="355">
        <f t="shared" ref="AJ30:AJ35" si="50">X30+Y30</f>
        <v>889</v>
      </c>
      <c r="AK30" s="355">
        <f t="shared" ref="AK30:AK35" si="51">AJ30+IF(Z30="Insert",AA30,IF(Z30="Restrainer",0,#N/A))</f>
        <v>889</v>
      </c>
      <c r="AL30" s="356">
        <f t="shared" si="9"/>
        <v>1233.2066735052979</v>
      </c>
      <c r="AM30" s="357" t="e">
        <f t="shared" ca="1" si="10"/>
        <v>#NAME?</v>
      </c>
      <c r="AN30" s="357" t="e">
        <f t="shared" ca="1" si="11"/>
        <v>#NAME?</v>
      </c>
      <c r="AO30" s="358" t="e">
        <f t="shared" ca="1" si="12"/>
        <v>#NAME?</v>
      </c>
      <c r="AP30" s="326"/>
      <c r="AQ30" s="355">
        <f t="shared" ref="AQ30:AQ35" si="52">IF(R30="Insert",S30,IF(R30="Restrainer",0,#N/A))+IF(Z30="Insert",AA30,IF(Z30="Restrainer",0,#N/A))</f>
        <v>0</v>
      </c>
      <c r="AR30" s="464">
        <f t="shared" ref="AR30:AR35" si="53">K30-AQ30</f>
        <v>2726</v>
      </c>
      <c r="AS30" s="465" t="e">
        <f t="shared" ref="AS30:AS35" ca="1" si="54">AR30+AF30+AM30</f>
        <v>#NAME?</v>
      </c>
      <c r="AU30" s="467" t="e">
        <f t="shared" ca="1" si="13"/>
        <v>#NAME?</v>
      </c>
      <c r="AV30" s="467" t="e">
        <f t="shared" ref="AV30:AV35" ca="1" si="55">AF30/10^3</f>
        <v>#NAME?</v>
      </c>
      <c r="AW30" s="467" t="e">
        <f t="shared" ref="AW30:AW35" ca="1" si="56">AM30/10^3</f>
        <v>#NAME?</v>
      </c>
    </row>
    <row r="31" spans="1:49" x14ac:dyDescent="0.25">
      <c r="A31" s="326"/>
      <c r="B31" s="430">
        <v>47</v>
      </c>
      <c r="C31" s="65" t="e">
        <f t="shared" ca="1" si="37"/>
        <v>#NAME?</v>
      </c>
      <c r="D31" s="65" t="e">
        <f t="shared" ca="1" si="38"/>
        <v>#NAME?</v>
      </c>
      <c r="E31" s="65" t="e">
        <f t="shared" ca="1" si="39"/>
        <v>#NAME?</v>
      </c>
      <c r="F31" s="65" t="e">
        <f t="shared" ca="1" si="40"/>
        <v>#NAME?</v>
      </c>
      <c r="G31" s="275" t="e">
        <f t="shared" ca="1" si="41"/>
        <v>#NAME?</v>
      </c>
      <c r="H31" s="326"/>
      <c r="I31" s="637"/>
      <c r="J31" s="340" t="s">
        <v>22</v>
      </c>
      <c r="K31" s="479">
        <v>2726</v>
      </c>
      <c r="L31" s="459">
        <f>VLOOKUP($B31,Gusset!$B$10:$I$36,MATCH('Equiv Connection'!L$8,Gusset!$B$8:$I$8,0),FALSE)</f>
        <v>1246.6874046022758</v>
      </c>
      <c r="M31" s="459" t="e">
        <f ca="1">VLOOKUP($B31,Framing!$B$20:$D$46,MATCH('Equiv Connection'!M$8,Framing!$B$18:$D$18,0),FALSE)</f>
        <v>#NAME?</v>
      </c>
      <c r="N31" s="149">
        <v>289.20667350529794</v>
      </c>
      <c r="O31" s="146">
        <v>55</v>
      </c>
      <c r="P31" s="146">
        <v>435</v>
      </c>
      <c r="Q31" s="146">
        <v>454</v>
      </c>
      <c r="R31" s="146" t="s">
        <v>66</v>
      </c>
      <c r="S31" s="279">
        <v>190</v>
      </c>
      <c r="T31" s="459">
        <f>VLOOKUP($B31,Gusset!$B$10:$I$36,MATCH('Equiv Connection'!T$8,Gusset!$B$8:$I$8,0),FALSE)</f>
        <v>1246.6874046022758</v>
      </c>
      <c r="U31" s="459">
        <f>VLOOKUP($B31,Framing!$B$20:$D$46,MATCH('Equiv Connection'!U$8,Framing!$B$18:$D$18,0),FALSE)</f>
        <v>3957.6281080445096</v>
      </c>
      <c r="V31" s="149">
        <f t="shared" ref="V31:V35" si="57">N31</f>
        <v>289.20667350529794</v>
      </c>
      <c r="W31" s="146">
        <f t="shared" si="42"/>
        <v>55</v>
      </c>
      <c r="X31" s="146">
        <f t="shared" si="43"/>
        <v>435</v>
      </c>
      <c r="Y31" s="146">
        <f t="shared" si="44"/>
        <v>454</v>
      </c>
      <c r="Z31" s="146" t="str">
        <f t="shared" si="45"/>
        <v>Restrainer</v>
      </c>
      <c r="AA31" s="279">
        <f t="shared" si="46"/>
        <v>190</v>
      </c>
      <c r="AB31" s="326"/>
      <c r="AC31" s="152">
        <f t="shared" si="47"/>
        <v>889</v>
      </c>
      <c r="AD31" s="355">
        <f t="shared" si="48"/>
        <v>889</v>
      </c>
      <c r="AE31" s="356">
        <f t="shared" si="5"/>
        <v>1233.2066735052979</v>
      </c>
      <c r="AF31" s="357" t="e">
        <f t="shared" ca="1" si="6"/>
        <v>#NAME?</v>
      </c>
      <c r="AG31" s="357" t="e">
        <f t="shared" ca="1" si="7"/>
        <v>#NAME?</v>
      </c>
      <c r="AH31" s="358" t="e">
        <f t="shared" ca="1" si="49"/>
        <v>#NAME?</v>
      </c>
      <c r="AI31" s="326"/>
      <c r="AJ31" s="355">
        <f t="shared" si="50"/>
        <v>889</v>
      </c>
      <c r="AK31" s="355">
        <f t="shared" si="51"/>
        <v>889</v>
      </c>
      <c r="AL31" s="356">
        <f t="shared" si="9"/>
        <v>1233.2066735052979</v>
      </c>
      <c r="AM31" s="357" t="e">
        <f t="shared" ca="1" si="10"/>
        <v>#NAME?</v>
      </c>
      <c r="AN31" s="357" t="e">
        <f t="shared" ca="1" si="11"/>
        <v>#NAME?</v>
      </c>
      <c r="AO31" s="358" t="e">
        <f t="shared" ca="1" si="12"/>
        <v>#NAME?</v>
      </c>
      <c r="AP31" s="326"/>
      <c r="AQ31" s="355">
        <f t="shared" si="52"/>
        <v>0</v>
      </c>
      <c r="AR31" s="464">
        <f t="shared" si="53"/>
        <v>2726</v>
      </c>
      <c r="AS31" s="465" t="e">
        <f t="shared" ca="1" si="54"/>
        <v>#NAME?</v>
      </c>
      <c r="AU31" s="467" t="e">
        <f t="shared" ca="1" si="13"/>
        <v>#NAME?</v>
      </c>
      <c r="AV31" s="467" t="e">
        <f t="shared" ca="1" si="55"/>
        <v>#NAME?</v>
      </c>
      <c r="AW31" s="467" t="e">
        <f t="shared" ca="1" si="56"/>
        <v>#NAME?</v>
      </c>
    </row>
    <row r="32" spans="1:49" x14ac:dyDescent="0.25">
      <c r="A32" s="326"/>
      <c r="B32" s="430">
        <v>48</v>
      </c>
      <c r="C32" s="65" t="e">
        <f t="shared" ca="1" si="37"/>
        <v>#NAME?</v>
      </c>
      <c r="D32" s="65" t="e">
        <f t="shared" ca="1" si="38"/>
        <v>#NAME?</v>
      </c>
      <c r="E32" s="65" t="e">
        <f t="shared" ca="1" si="39"/>
        <v>#NAME?</v>
      </c>
      <c r="F32" s="65" t="e">
        <f t="shared" ca="1" si="40"/>
        <v>#NAME?</v>
      </c>
      <c r="G32" s="275" t="e">
        <f t="shared" ca="1" si="41"/>
        <v>#NAME?</v>
      </c>
      <c r="H32" s="326"/>
      <c r="I32" s="637"/>
      <c r="J32" s="340" t="s">
        <v>23</v>
      </c>
      <c r="K32" s="479">
        <v>2726</v>
      </c>
      <c r="L32" s="459">
        <f>VLOOKUP($B32,Gusset!$B$10:$I$36,MATCH('Equiv Connection'!L$8,Gusset!$B$8:$I$8,0),FALSE)</f>
        <v>1246.6874046022758</v>
      </c>
      <c r="M32" s="459" t="e">
        <f ca="1">VLOOKUP($B32,Framing!$B$20:$D$46,MATCH('Equiv Connection'!M$8,Framing!$B$18:$D$18,0),FALSE)</f>
        <v>#NAME?</v>
      </c>
      <c r="N32" s="149">
        <v>289.20667350529794</v>
      </c>
      <c r="O32" s="146">
        <v>55</v>
      </c>
      <c r="P32" s="146">
        <v>435</v>
      </c>
      <c r="Q32" s="146">
        <v>454</v>
      </c>
      <c r="R32" s="146" t="s">
        <v>66</v>
      </c>
      <c r="S32" s="279">
        <v>190</v>
      </c>
      <c r="T32" s="459">
        <f>VLOOKUP($B32,Gusset!$B$10:$I$36,MATCH('Equiv Connection'!T$8,Gusset!$B$8:$I$8,0),FALSE)</f>
        <v>1246.6874046022758</v>
      </c>
      <c r="U32" s="459">
        <f>VLOOKUP($B32,Framing!$B$20:$D$46,MATCH('Equiv Connection'!U$8,Framing!$B$18:$D$18,0),FALSE)</f>
        <v>3957.6281080445096</v>
      </c>
      <c r="V32" s="149">
        <f t="shared" si="57"/>
        <v>289.20667350529794</v>
      </c>
      <c r="W32" s="146">
        <f t="shared" si="42"/>
        <v>55</v>
      </c>
      <c r="X32" s="146">
        <f t="shared" si="43"/>
        <v>435</v>
      </c>
      <c r="Y32" s="146">
        <f t="shared" si="44"/>
        <v>454</v>
      </c>
      <c r="Z32" s="146" t="str">
        <f t="shared" si="45"/>
        <v>Restrainer</v>
      </c>
      <c r="AA32" s="279">
        <f t="shared" si="46"/>
        <v>190</v>
      </c>
      <c r="AB32" s="326"/>
      <c r="AC32" s="152">
        <f t="shared" si="47"/>
        <v>889</v>
      </c>
      <c r="AD32" s="355">
        <f t="shared" si="48"/>
        <v>889</v>
      </c>
      <c r="AE32" s="356">
        <f t="shared" si="5"/>
        <v>1233.2066735052979</v>
      </c>
      <c r="AF32" s="357" t="e">
        <f t="shared" ca="1" si="6"/>
        <v>#NAME?</v>
      </c>
      <c r="AG32" s="357" t="e">
        <f t="shared" ca="1" si="7"/>
        <v>#NAME?</v>
      </c>
      <c r="AH32" s="358" t="e">
        <f t="shared" ca="1" si="49"/>
        <v>#NAME?</v>
      </c>
      <c r="AI32" s="326"/>
      <c r="AJ32" s="355">
        <f t="shared" si="50"/>
        <v>889</v>
      </c>
      <c r="AK32" s="355">
        <f t="shared" si="51"/>
        <v>889</v>
      </c>
      <c r="AL32" s="356">
        <f t="shared" si="9"/>
        <v>1233.2066735052979</v>
      </c>
      <c r="AM32" s="357" t="e">
        <f t="shared" ca="1" si="10"/>
        <v>#NAME?</v>
      </c>
      <c r="AN32" s="357" t="e">
        <f t="shared" ca="1" si="11"/>
        <v>#NAME?</v>
      </c>
      <c r="AO32" s="358" t="e">
        <f t="shared" ca="1" si="12"/>
        <v>#NAME?</v>
      </c>
      <c r="AP32" s="326"/>
      <c r="AQ32" s="355">
        <f t="shared" si="52"/>
        <v>0</v>
      </c>
      <c r="AR32" s="464">
        <f t="shared" si="53"/>
        <v>2726</v>
      </c>
      <c r="AS32" s="465" t="e">
        <f t="shared" ca="1" si="54"/>
        <v>#NAME?</v>
      </c>
      <c r="AU32" s="467" t="e">
        <f t="shared" ca="1" si="13"/>
        <v>#NAME?</v>
      </c>
      <c r="AV32" s="467" t="e">
        <f t="shared" ca="1" si="55"/>
        <v>#NAME?</v>
      </c>
      <c r="AW32" s="467" t="e">
        <f t="shared" ca="1" si="56"/>
        <v>#NAME?</v>
      </c>
    </row>
    <row r="33" spans="1:49" x14ac:dyDescent="0.25">
      <c r="A33" s="326"/>
      <c r="B33" s="430">
        <v>49</v>
      </c>
      <c r="C33" s="65" t="e">
        <f t="shared" ca="1" si="37"/>
        <v>#NAME?</v>
      </c>
      <c r="D33" s="65" t="e">
        <f t="shared" ca="1" si="38"/>
        <v>#NAME?</v>
      </c>
      <c r="E33" s="65" t="e">
        <f t="shared" ca="1" si="39"/>
        <v>#NAME?</v>
      </c>
      <c r="F33" s="65" t="e">
        <f t="shared" ca="1" si="40"/>
        <v>#NAME?</v>
      </c>
      <c r="G33" s="275" t="e">
        <f t="shared" ca="1" si="41"/>
        <v>#NAME?</v>
      </c>
      <c r="H33" s="326"/>
      <c r="I33" s="637"/>
      <c r="J33" s="340" t="s">
        <v>24</v>
      </c>
      <c r="K33" s="479">
        <v>2726</v>
      </c>
      <c r="L33" s="459">
        <f>VLOOKUP($B33,Gusset!$B$10:$I$36,MATCH('Equiv Connection'!L$8,Gusset!$B$8:$I$8,0),FALSE)</f>
        <v>1246.6874046022758</v>
      </c>
      <c r="M33" s="459" t="e">
        <f ca="1">VLOOKUP($B33,Framing!$B$20:$D$46,MATCH('Equiv Connection'!M$8,Framing!$B$18:$D$18,0),FALSE)</f>
        <v>#NAME?</v>
      </c>
      <c r="N33" s="149">
        <v>289.20667350529794</v>
      </c>
      <c r="O33" s="146">
        <v>55</v>
      </c>
      <c r="P33" s="146">
        <v>435</v>
      </c>
      <c r="Q33" s="146">
        <v>454</v>
      </c>
      <c r="R33" s="146" t="s">
        <v>66</v>
      </c>
      <c r="S33" s="279">
        <v>190</v>
      </c>
      <c r="T33" s="459">
        <f>VLOOKUP($B33,Gusset!$B$10:$I$36,MATCH('Equiv Connection'!T$8,Gusset!$B$8:$I$8,0),FALSE)</f>
        <v>1246.6874046022758</v>
      </c>
      <c r="U33" s="459">
        <f>VLOOKUP($B33,Framing!$B$20:$D$46,MATCH('Equiv Connection'!U$8,Framing!$B$18:$D$18,0),FALSE)</f>
        <v>3957.6281080445096</v>
      </c>
      <c r="V33" s="149">
        <f t="shared" si="57"/>
        <v>289.20667350529794</v>
      </c>
      <c r="W33" s="146">
        <f t="shared" si="42"/>
        <v>55</v>
      </c>
      <c r="X33" s="146">
        <f t="shared" si="43"/>
        <v>435</v>
      </c>
      <c r="Y33" s="146">
        <f t="shared" si="44"/>
        <v>454</v>
      </c>
      <c r="Z33" s="146" t="str">
        <f t="shared" si="45"/>
        <v>Restrainer</v>
      </c>
      <c r="AA33" s="279">
        <f t="shared" si="46"/>
        <v>190</v>
      </c>
      <c r="AB33" s="326"/>
      <c r="AC33" s="152">
        <f t="shared" si="47"/>
        <v>889</v>
      </c>
      <c r="AD33" s="355">
        <f t="shared" si="48"/>
        <v>889</v>
      </c>
      <c r="AE33" s="356">
        <f t="shared" si="5"/>
        <v>1233.2066735052979</v>
      </c>
      <c r="AF33" s="357" t="e">
        <f t="shared" ca="1" si="6"/>
        <v>#NAME?</v>
      </c>
      <c r="AG33" s="357" t="e">
        <f t="shared" ca="1" si="7"/>
        <v>#NAME?</v>
      </c>
      <c r="AH33" s="358" t="e">
        <f t="shared" ca="1" si="49"/>
        <v>#NAME?</v>
      </c>
      <c r="AI33" s="326"/>
      <c r="AJ33" s="355">
        <f t="shared" si="50"/>
        <v>889</v>
      </c>
      <c r="AK33" s="355">
        <f t="shared" si="51"/>
        <v>889</v>
      </c>
      <c r="AL33" s="356">
        <f t="shared" si="9"/>
        <v>1233.2066735052979</v>
      </c>
      <c r="AM33" s="357" t="e">
        <f t="shared" ca="1" si="10"/>
        <v>#NAME?</v>
      </c>
      <c r="AN33" s="357" t="e">
        <f t="shared" ca="1" si="11"/>
        <v>#NAME?</v>
      </c>
      <c r="AO33" s="358" t="e">
        <f t="shared" ca="1" si="12"/>
        <v>#NAME?</v>
      </c>
      <c r="AP33" s="326"/>
      <c r="AQ33" s="355">
        <f t="shared" si="52"/>
        <v>0</v>
      </c>
      <c r="AR33" s="464">
        <f t="shared" si="53"/>
        <v>2726</v>
      </c>
      <c r="AS33" s="465" t="e">
        <f t="shared" ca="1" si="54"/>
        <v>#NAME?</v>
      </c>
      <c r="AU33" s="467" t="e">
        <f t="shared" ca="1" si="13"/>
        <v>#NAME?</v>
      </c>
      <c r="AV33" s="467" t="e">
        <f t="shared" ca="1" si="55"/>
        <v>#NAME?</v>
      </c>
      <c r="AW33" s="467" t="e">
        <f t="shared" ca="1" si="56"/>
        <v>#NAME?</v>
      </c>
    </row>
    <row r="34" spans="1:49" x14ac:dyDescent="0.25">
      <c r="A34" s="326"/>
      <c r="B34" s="430">
        <v>50</v>
      </c>
      <c r="C34" s="65" t="e">
        <f t="shared" ca="1" si="37"/>
        <v>#NAME?</v>
      </c>
      <c r="D34" s="65" t="e">
        <f t="shared" ca="1" si="38"/>
        <v>#NAME?</v>
      </c>
      <c r="E34" s="65" t="e">
        <f t="shared" ca="1" si="39"/>
        <v>#NAME?</v>
      </c>
      <c r="F34" s="65" t="e">
        <f t="shared" ca="1" si="40"/>
        <v>#NAME?</v>
      </c>
      <c r="G34" s="275" t="e">
        <f t="shared" ca="1" si="41"/>
        <v>#NAME?</v>
      </c>
      <c r="H34" s="326"/>
      <c r="I34" s="637"/>
      <c r="J34" s="340" t="s">
        <v>172</v>
      </c>
      <c r="K34" s="479">
        <v>2726</v>
      </c>
      <c r="L34" s="459">
        <f>VLOOKUP($B34,Gusset!$B$10:$I$36,MATCH('Equiv Connection'!L$8,Gusset!$B$8:$I$8,0),FALSE)</f>
        <v>1246.6874046022758</v>
      </c>
      <c r="M34" s="459" t="e">
        <f ca="1">VLOOKUP($B34,Framing!$B$20:$D$46,MATCH('Equiv Connection'!M$8,Framing!$B$18:$D$18,0),FALSE)</f>
        <v>#NAME?</v>
      </c>
      <c r="N34" s="149">
        <v>289.20667350529794</v>
      </c>
      <c r="O34" s="146">
        <v>55</v>
      </c>
      <c r="P34" s="146">
        <v>435</v>
      </c>
      <c r="Q34" s="146">
        <v>454</v>
      </c>
      <c r="R34" s="146" t="s">
        <v>66</v>
      </c>
      <c r="S34" s="279">
        <v>190</v>
      </c>
      <c r="T34" s="459">
        <f>VLOOKUP($B34,Gusset!$B$10:$I$36,MATCH('Equiv Connection'!T$8,Gusset!$B$8:$I$8,0),FALSE)</f>
        <v>1246.6874046022758</v>
      </c>
      <c r="U34" s="459">
        <f>VLOOKUP($B34,Framing!$B$20:$D$46,MATCH('Equiv Connection'!U$8,Framing!$B$18:$D$18,0),FALSE)</f>
        <v>3957.6281080445096</v>
      </c>
      <c r="V34" s="149">
        <f t="shared" si="57"/>
        <v>289.20667350529794</v>
      </c>
      <c r="W34" s="146">
        <f t="shared" si="42"/>
        <v>55</v>
      </c>
      <c r="X34" s="146">
        <f t="shared" si="43"/>
        <v>435</v>
      </c>
      <c r="Y34" s="146">
        <f t="shared" si="44"/>
        <v>454</v>
      </c>
      <c r="Z34" s="146" t="str">
        <f t="shared" si="45"/>
        <v>Restrainer</v>
      </c>
      <c r="AA34" s="279">
        <f t="shared" si="46"/>
        <v>190</v>
      </c>
      <c r="AB34" s="326"/>
      <c r="AC34" s="152">
        <f t="shared" si="47"/>
        <v>889</v>
      </c>
      <c r="AD34" s="355">
        <f t="shared" si="48"/>
        <v>889</v>
      </c>
      <c r="AE34" s="356">
        <f t="shared" si="5"/>
        <v>1233.2066735052979</v>
      </c>
      <c r="AF34" s="357" t="e">
        <f t="shared" ca="1" si="6"/>
        <v>#NAME?</v>
      </c>
      <c r="AG34" s="357" t="e">
        <f t="shared" ca="1" si="7"/>
        <v>#NAME?</v>
      </c>
      <c r="AH34" s="358" t="e">
        <f t="shared" ca="1" si="49"/>
        <v>#NAME?</v>
      </c>
      <c r="AI34" s="326"/>
      <c r="AJ34" s="355">
        <f t="shared" si="50"/>
        <v>889</v>
      </c>
      <c r="AK34" s="355">
        <f t="shared" si="51"/>
        <v>889</v>
      </c>
      <c r="AL34" s="356">
        <f t="shared" si="9"/>
        <v>1233.2066735052979</v>
      </c>
      <c r="AM34" s="357" t="e">
        <f t="shared" ca="1" si="10"/>
        <v>#NAME?</v>
      </c>
      <c r="AN34" s="357" t="e">
        <f t="shared" ca="1" si="11"/>
        <v>#NAME?</v>
      </c>
      <c r="AO34" s="358" t="e">
        <f t="shared" ca="1" si="12"/>
        <v>#NAME?</v>
      </c>
      <c r="AP34" s="326"/>
      <c r="AQ34" s="355">
        <f t="shared" si="52"/>
        <v>0</v>
      </c>
      <c r="AR34" s="464">
        <f t="shared" si="53"/>
        <v>2726</v>
      </c>
      <c r="AS34" s="465" t="e">
        <f t="shared" ca="1" si="54"/>
        <v>#NAME?</v>
      </c>
      <c r="AU34" s="467" t="e">
        <f t="shared" ca="1" si="13"/>
        <v>#NAME?</v>
      </c>
      <c r="AV34" s="467" t="e">
        <f t="shared" ca="1" si="55"/>
        <v>#NAME?</v>
      </c>
      <c r="AW34" s="467" t="e">
        <f t="shared" ca="1" si="56"/>
        <v>#NAME?</v>
      </c>
    </row>
    <row r="35" spans="1:49" ht="15.75" thickBot="1" x14ac:dyDescent="0.3">
      <c r="A35" s="326"/>
      <c r="B35" s="429">
        <v>51</v>
      </c>
      <c r="C35" s="17" t="e">
        <f t="shared" ca="1" si="37"/>
        <v>#NAME?</v>
      </c>
      <c r="D35" s="17" t="e">
        <f t="shared" ca="1" si="38"/>
        <v>#NAME?</v>
      </c>
      <c r="E35" s="17" t="e">
        <f t="shared" ca="1" si="39"/>
        <v>#NAME?</v>
      </c>
      <c r="F35" s="17" t="e">
        <f t="shared" ca="1" si="40"/>
        <v>#NAME?</v>
      </c>
      <c r="G35" s="282" t="e">
        <f t="shared" ca="1" si="41"/>
        <v>#NAME?</v>
      </c>
      <c r="H35" s="326"/>
      <c r="I35" s="638"/>
      <c r="J35" s="362" t="s">
        <v>86</v>
      </c>
      <c r="K35" s="482">
        <v>2726</v>
      </c>
      <c r="L35" s="459">
        <f>VLOOKUP($B35,Gusset!$B$10:$I$36,MATCH('Equiv Connection'!L$8,Gusset!$B$8:$I$8,0),FALSE)</f>
        <v>1246.6874046022758</v>
      </c>
      <c r="M35" s="459" t="e">
        <f ca="1">VLOOKUP($B35,Framing!$B$20:$D$46,MATCH('Equiv Connection'!M$8,Framing!$B$18:$D$18,0),FALSE)</f>
        <v>#NAME?</v>
      </c>
      <c r="N35" s="462">
        <v>289.20667350529794</v>
      </c>
      <c r="O35" s="302">
        <v>55</v>
      </c>
      <c r="P35" s="302">
        <v>435</v>
      </c>
      <c r="Q35" s="302">
        <v>454</v>
      </c>
      <c r="R35" s="302" t="s">
        <v>66</v>
      </c>
      <c r="S35" s="303">
        <v>190</v>
      </c>
      <c r="T35" s="459">
        <f>VLOOKUP($B35,Gusset!$B$10:$I$36,MATCH('Equiv Connection'!T$8,Gusset!$B$8:$I$8,0),FALSE)</f>
        <v>1246.6874046022758</v>
      </c>
      <c r="U35" s="459">
        <f>VLOOKUP($B35,Framing!$B$20:$D$46,MATCH('Equiv Connection'!U$8,Framing!$B$18:$D$18,0),FALSE)</f>
        <v>3957.6281080445096</v>
      </c>
      <c r="V35" s="462">
        <f t="shared" si="57"/>
        <v>289.20667350529794</v>
      </c>
      <c r="W35" s="302">
        <f t="shared" si="42"/>
        <v>55</v>
      </c>
      <c r="X35" s="302">
        <f t="shared" si="43"/>
        <v>435</v>
      </c>
      <c r="Y35" s="302">
        <f t="shared" si="44"/>
        <v>454</v>
      </c>
      <c r="Z35" s="302" t="str">
        <f t="shared" si="45"/>
        <v>Restrainer</v>
      </c>
      <c r="AA35" s="303">
        <f t="shared" si="46"/>
        <v>190</v>
      </c>
      <c r="AB35" s="326"/>
      <c r="AC35" s="152">
        <f t="shared" si="47"/>
        <v>889</v>
      </c>
      <c r="AD35" s="355">
        <f t="shared" si="48"/>
        <v>889</v>
      </c>
      <c r="AE35" s="356">
        <f t="shared" si="5"/>
        <v>1233.2066735052979</v>
      </c>
      <c r="AF35" s="357" t="e">
        <f t="shared" ca="1" si="6"/>
        <v>#NAME?</v>
      </c>
      <c r="AG35" s="357" t="e">
        <f t="shared" ca="1" si="7"/>
        <v>#NAME?</v>
      </c>
      <c r="AH35" s="358" t="e">
        <f t="shared" ca="1" si="49"/>
        <v>#NAME?</v>
      </c>
      <c r="AI35" s="326"/>
      <c r="AJ35" s="355">
        <f t="shared" si="50"/>
        <v>889</v>
      </c>
      <c r="AK35" s="355">
        <f t="shared" si="51"/>
        <v>889</v>
      </c>
      <c r="AL35" s="356">
        <f t="shared" si="9"/>
        <v>1233.2066735052979</v>
      </c>
      <c r="AM35" s="357" t="e">
        <f t="shared" ca="1" si="10"/>
        <v>#NAME?</v>
      </c>
      <c r="AN35" s="357" t="e">
        <f t="shared" ca="1" si="11"/>
        <v>#NAME?</v>
      </c>
      <c r="AO35" s="358" t="e">
        <f t="shared" ca="1" si="12"/>
        <v>#NAME?</v>
      </c>
      <c r="AP35" s="326"/>
      <c r="AQ35" s="355">
        <f t="shared" si="52"/>
        <v>0</v>
      </c>
      <c r="AR35" s="464">
        <f t="shared" si="53"/>
        <v>2726</v>
      </c>
      <c r="AS35" s="465" t="e">
        <f t="shared" ca="1" si="54"/>
        <v>#NAME?</v>
      </c>
      <c r="AU35" s="467" t="e">
        <f t="shared" ca="1" si="13"/>
        <v>#NAME?</v>
      </c>
      <c r="AV35" s="467" t="e">
        <f t="shared" ca="1" si="55"/>
        <v>#NAME?</v>
      </c>
      <c r="AW35" s="467" t="e">
        <f t="shared" ca="1" si="56"/>
        <v>#NAME?</v>
      </c>
    </row>
    <row r="36" spans="1:49" x14ac:dyDescent="0.25">
      <c r="A36" s="326"/>
      <c r="B36" s="429"/>
      <c r="C36" s="17"/>
      <c r="D36" s="17"/>
      <c r="E36" s="17"/>
      <c r="F36" s="17"/>
      <c r="G36" s="282"/>
      <c r="H36" s="326"/>
      <c r="I36" s="326"/>
      <c r="J36" s="326"/>
      <c r="L36" s="326"/>
      <c r="M36" s="326"/>
      <c r="P36" s="326"/>
      <c r="S36" s="326"/>
      <c r="V36" s="326"/>
      <c r="AA36" s="326"/>
      <c r="AB36" s="326"/>
      <c r="AE36" s="326"/>
    </row>
    <row r="37" spans="1:49" x14ac:dyDescent="0.25">
      <c r="A37" s="326"/>
      <c r="B37" s="326"/>
      <c r="D37" s="326"/>
      <c r="E37" s="326"/>
      <c r="G37" s="326"/>
      <c r="H37" s="326"/>
      <c r="I37" s="326"/>
      <c r="J37" s="326"/>
      <c r="L37" s="326"/>
      <c r="M37" s="326"/>
      <c r="P37" s="326"/>
      <c r="S37" s="326"/>
      <c r="V37" s="326"/>
      <c r="AA37" s="326"/>
      <c r="AB37" s="326"/>
      <c r="AE37" s="326"/>
    </row>
    <row r="38" spans="1:49" x14ac:dyDescent="0.25">
      <c r="A38" s="326"/>
      <c r="B38" s="326"/>
      <c r="D38" s="326"/>
      <c r="E38" s="326"/>
      <c r="G38" s="326"/>
      <c r="H38" s="326"/>
      <c r="I38" s="326"/>
      <c r="J38" s="326"/>
      <c r="L38" s="326"/>
      <c r="M38" s="326"/>
      <c r="P38" s="326"/>
      <c r="S38" s="326"/>
      <c r="V38" s="326"/>
      <c r="AA38" s="326"/>
      <c r="AB38" s="326"/>
      <c r="AE38" s="326"/>
    </row>
    <row r="39" spans="1:49" x14ac:dyDescent="0.25">
      <c r="A39" s="326"/>
      <c r="B39" s="326"/>
      <c r="D39" s="326"/>
      <c r="E39" s="326"/>
      <c r="G39" s="326"/>
      <c r="H39" s="326"/>
      <c r="I39" s="326"/>
      <c r="J39" s="326"/>
      <c r="L39" s="326"/>
      <c r="M39" s="326"/>
      <c r="P39" s="326"/>
      <c r="S39" s="326"/>
      <c r="V39" s="326"/>
      <c r="AA39" s="326"/>
      <c r="AB39" s="326"/>
      <c r="AE39" s="326"/>
    </row>
    <row r="40" spans="1:49" x14ac:dyDescent="0.25">
      <c r="A40" s="326"/>
      <c r="B40" s="326"/>
      <c r="D40" s="326"/>
      <c r="E40" s="326"/>
      <c r="G40" s="326"/>
      <c r="H40" s="326"/>
      <c r="I40" s="326"/>
      <c r="J40" s="326"/>
      <c r="L40" s="326"/>
      <c r="M40" s="326"/>
      <c r="P40" s="326"/>
      <c r="S40" s="326"/>
      <c r="V40" s="326"/>
      <c r="AA40" s="326"/>
      <c r="AB40" s="326"/>
      <c r="AE40" s="326"/>
    </row>
    <row r="41" spans="1:49" x14ac:dyDescent="0.25">
      <c r="A41" s="326"/>
      <c r="B41" s="326"/>
      <c r="D41" s="326"/>
      <c r="E41" s="326"/>
      <c r="G41" s="326"/>
      <c r="H41" s="326"/>
      <c r="I41" s="326"/>
      <c r="J41" s="326"/>
      <c r="L41" s="326"/>
      <c r="M41" s="326"/>
      <c r="P41" s="326"/>
      <c r="S41" s="326"/>
      <c r="V41" s="326"/>
      <c r="AA41" s="326"/>
      <c r="AB41" s="326"/>
      <c r="AE41" s="326"/>
    </row>
    <row r="42" spans="1:49" x14ac:dyDescent="0.25">
      <c r="B42" s="326"/>
      <c r="D42" s="326"/>
      <c r="E42" s="326"/>
      <c r="G42" s="326"/>
    </row>
    <row r="43" spans="1:49" x14ac:dyDescent="0.25">
      <c r="B43" s="326"/>
      <c r="D43" s="326"/>
      <c r="E43" s="326"/>
      <c r="G43" s="326"/>
    </row>
    <row r="44" spans="1:49" x14ac:dyDescent="0.25">
      <c r="B44" s="326"/>
      <c r="D44" s="326"/>
      <c r="E44" s="326"/>
      <c r="G44" s="326"/>
    </row>
    <row r="45" spans="1:49" x14ac:dyDescent="0.25">
      <c r="B45" s="326"/>
      <c r="D45" s="326"/>
      <c r="E45" s="326"/>
      <c r="G45" s="326"/>
    </row>
    <row r="46" spans="1:49" x14ac:dyDescent="0.25">
      <c r="B46" s="326"/>
      <c r="D46" s="326"/>
      <c r="E46" s="326"/>
      <c r="G46" s="326"/>
    </row>
    <row r="47" spans="1:49" x14ac:dyDescent="0.25">
      <c r="B47" s="326"/>
      <c r="D47" s="326"/>
      <c r="E47" s="326"/>
      <c r="G47" s="326"/>
    </row>
    <row r="48" spans="1:49" x14ac:dyDescent="0.25">
      <c r="B48" s="326"/>
      <c r="D48" s="326"/>
      <c r="E48" s="326"/>
      <c r="G48" s="326"/>
    </row>
  </sheetData>
  <mergeCells count="7">
    <mergeCell ref="I30:I35"/>
    <mergeCell ref="D7:E7"/>
    <mergeCell ref="I10:I15"/>
    <mergeCell ref="I16:I21"/>
    <mergeCell ref="I22:I23"/>
    <mergeCell ref="I24:I29"/>
    <mergeCell ref="F7:G7"/>
  </mergeCells>
  <dataValidations count="1">
    <dataValidation type="list" allowBlank="1" showInputMessage="1" showErrorMessage="1" sqref="R10:R35 Z10:Z35">
      <formula1>$R$4:$R$5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"/>
  <sheetViews>
    <sheetView workbookViewId="0">
      <selection activeCell="G10" sqref="G10"/>
    </sheetView>
  </sheetViews>
  <sheetFormatPr defaultColWidth="9.140625" defaultRowHeight="15" x14ac:dyDescent="0.25"/>
  <cols>
    <col min="1" max="1" width="9.140625" style="326"/>
    <col min="2" max="3" width="10" style="326" bestFit="1" customWidth="1"/>
    <col min="4" max="4" width="9.140625" style="326"/>
    <col min="5" max="5" width="12" style="326" bestFit="1" customWidth="1"/>
    <col min="6" max="16384" width="9.140625" style="326"/>
  </cols>
  <sheetData>
    <row r="1" spans="1:39" x14ac:dyDescent="0.25">
      <c r="A1" s="23" t="s">
        <v>467</v>
      </c>
    </row>
    <row r="2" spans="1:39" x14ac:dyDescent="0.25">
      <c r="A2" s="326" t="s">
        <v>331</v>
      </c>
    </row>
    <row r="3" spans="1:39" x14ac:dyDescent="0.25">
      <c r="B3" s="326" t="s">
        <v>332</v>
      </c>
      <c r="C3" s="326" t="s">
        <v>333</v>
      </c>
    </row>
    <row r="4" spans="1:39" x14ac:dyDescent="0.25">
      <c r="A4" s="326" t="s">
        <v>312</v>
      </c>
      <c r="B4" s="326">
        <v>271.52999999999997</v>
      </c>
      <c r="C4" s="326">
        <v>271.52999999999997</v>
      </c>
    </row>
    <row r="5" spans="1:39" x14ac:dyDescent="0.25">
      <c r="A5" s="326" t="s">
        <v>313</v>
      </c>
      <c r="B5" s="326">
        <v>291.2</v>
      </c>
      <c r="C5" s="326">
        <v>291.2</v>
      </c>
    </row>
    <row r="6" spans="1:39" x14ac:dyDescent="0.25">
      <c r="A6" s="326" t="s">
        <v>314</v>
      </c>
      <c r="B6" s="326">
        <v>425.62</v>
      </c>
      <c r="C6" s="326">
        <v>425.62</v>
      </c>
    </row>
    <row r="7" spans="1:39" x14ac:dyDescent="0.25">
      <c r="A7" s="326" t="s">
        <v>315</v>
      </c>
      <c r="B7" s="326">
        <v>142.68</v>
      </c>
      <c r="C7" s="326">
        <v>142.68</v>
      </c>
    </row>
    <row r="8" spans="1:39" ht="15.75" thickBot="1" x14ac:dyDescent="0.3">
      <c r="A8" s="326" t="s">
        <v>316</v>
      </c>
      <c r="B8" s="326">
        <v>424.69</v>
      </c>
      <c r="C8" s="326">
        <v>424.69</v>
      </c>
    </row>
    <row r="9" spans="1:39" ht="18" x14ac:dyDescent="0.35">
      <c r="A9" s="326" t="s">
        <v>317</v>
      </c>
      <c r="B9" s="326">
        <v>133.04</v>
      </c>
      <c r="C9" s="326">
        <v>133.04</v>
      </c>
      <c r="O9" s="322" t="s">
        <v>295</v>
      </c>
      <c r="P9" s="41" t="s">
        <v>309</v>
      </c>
      <c r="Q9" s="41" t="s">
        <v>308</v>
      </c>
      <c r="R9" s="41" t="s">
        <v>307</v>
      </c>
      <c r="S9" s="41" t="s">
        <v>310</v>
      </c>
      <c r="T9" s="196" t="s">
        <v>41</v>
      </c>
      <c r="U9" s="41" t="s">
        <v>225</v>
      </c>
      <c r="V9" s="41" t="s">
        <v>296</v>
      </c>
      <c r="W9" s="41" t="s">
        <v>297</v>
      </c>
      <c r="X9" s="41" t="s">
        <v>298</v>
      </c>
      <c r="Y9" s="41" t="s">
        <v>299</v>
      </c>
      <c r="Z9" s="41" t="s">
        <v>300</v>
      </c>
      <c r="AA9" s="41" t="s">
        <v>301</v>
      </c>
      <c r="AC9" s="21" t="s">
        <v>144</v>
      </c>
      <c r="AD9" s="21" t="s">
        <v>145</v>
      </c>
      <c r="AE9" s="21" t="s">
        <v>146</v>
      </c>
      <c r="AF9" s="21" t="s">
        <v>303</v>
      </c>
      <c r="AG9" s="21" t="s">
        <v>302</v>
      </c>
      <c r="AH9" s="21" t="s">
        <v>148</v>
      </c>
      <c r="AI9" s="21" t="s">
        <v>149</v>
      </c>
      <c r="AJ9" s="21" t="s">
        <v>147</v>
      </c>
      <c r="AK9" s="21" t="s">
        <v>304</v>
      </c>
      <c r="AL9" s="21" t="s">
        <v>345</v>
      </c>
      <c r="AM9" s="21"/>
    </row>
    <row r="10" spans="1:39" x14ac:dyDescent="0.25">
      <c r="A10" s="326" t="s">
        <v>318</v>
      </c>
      <c r="B10" s="326">
        <v>191.44</v>
      </c>
      <c r="C10" s="326">
        <v>191.44</v>
      </c>
      <c r="O10" s="323" t="s">
        <v>38</v>
      </c>
      <c r="P10" s="6"/>
      <c r="Q10" s="6"/>
      <c r="R10" s="6"/>
      <c r="S10" s="6"/>
      <c r="T10" s="6" t="s">
        <v>171</v>
      </c>
      <c r="U10" s="6" t="s">
        <v>38</v>
      </c>
      <c r="V10" s="6" t="s">
        <v>38</v>
      </c>
      <c r="W10" s="6" t="s">
        <v>38</v>
      </c>
      <c r="X10" s="6" t="s">
        <v>38</v>
      </c>
      <c r="Y10" s="6" t="s">
        <v>38</v>
      </c>
      <c r="Z10" s="6" t="s">
        <v>38</v>
      </c>
      <c r="AA10" s="6" t="s">
        <v>38</v>
      </c>
      <c r="AF10" s="326" t="s">
        <v>171</v>
      </c>
      <c r="AG10" s="326" t="s">
        <v>171</v>
      </c>
      <c r="AH10" s="326" t="s">
        <v>49</v>
      </c>
      <c r="AI10" s="326" t="s">
        <v>49</v>
      </c>
      <c r="AJ10" s="326" t="s">
        <v>49</v>
      </c>
      <c r="AK10" s="326" t="s">
        <v>49</v>
      </c>
      <c r="AL10" s="326" t="s">
        <v>49</v>
      </c>
    </row>
    <row r="11" spans="1:39" x14ac:dyDescent="0.25">
      <c r="A11" s="326" t="s">
        <v>319</v>
      </c>
      <c r="B11" s="326">
        <v>270.94</v>
      </c>
      <c r="C11" s="326">
        <v>270.94</v>
      </c>
      <c r="M11" s="289" t="s">
        <v>334</v>
      </c>
      <c r="N11" s="330" t="s">
        <v>129</v>
      </c>
      <c r="O11" s="331">
        <v>16</v>
      </c>
      <c r="P11" s="330"/>
      <c r="Q11" s="330">
        <v>12</v>
      </c>
      <c r="R11" s="330"/>
      <c r="S11" s="330">
        <v>2</v>
      </c>
      <c r="T11" s="286">
        <v>45</v>
      </c>
      <c r="U11" s="286">
        <v>441.53</v>
      </c>
      <c r="V11" s="286"/>
      <c r="W11" s="146"/>
      <c r="X11" s="286"/>
      <c r="Y11" s="286"/>
      <c r="Z11" s="146"/>
      <c r="AA11" s="279"/>
      <c r="AC11" s="336"/>
      <c r="AD11" s="336"/>
      <c r="AE11" s="336"/>
      <c r="AF11" s="337"/>
      <c r="AG11" s="338"/>
      <c r="AH11" s="339"/>
      <c r="AI11" s="339"/>
      <c r="AJ11" s="339"/>
      <c r="AK11" s="339"/>
      <c r="AL11" s="339">
        <f>66.56*0.9</f>
        <v>59.904000000000003</v>
      </c>
      <c r="AM11" s="327"/>
    </row>
    <row r="12" spans="1:39" x14ac:dyDescent="0.25">
      <c r="A12" s="326" t="s">
        <v>320</v>
      </c>
      <c r="B12" s="326">
        <v>301.38</v>
      </c>
      <c r="C12" s="326">
        <v>301.38</v>
      </c>
      <c r="M12" s="46" t="s">
        <v>335</v>
      </c>
      <c r="N12" s="189" t="s">
        <v>341</v>
      </c>
      <c r="O12" s="328">
        <v>16</v>
      </c>
      <c r="P12" s="189"/>
      <c r="Q12" s="189">
        <v>12</v>
      </c>
      <c r="R12" s="189"/>
      <c r="S12" s="189">
        <v>2</v>
      </c>
      <c r="T12" s="146">
        <v>45</v>
      </c>
      <c r="U12" s="146">
        <v>271.52999999999997</v>
      </c>
      <c r="V12" s="146">
        <v>600.6</v>
      </c>
      <c r="W12" s="146">
        <v>423.82</v>
      </c>
      <c r="X12" s="146">
        <v>0</v>
      </c>
      <c r="Y12" s="146">
        <v>400.6</v>
      </c>
      <c r="Z12" s="146">
        <f>AA12+25</f>
        <v>223.82</v>
      </c>
      <c r="AA12" s="279">
        <v>198.82</v>
      </c>
      <c r="AC12" s="336">
        <f t="shared" ref="AC12:AC19" si="0">_xll.aspectRatioAB(RADIANS($T12),$U12,$Y12,$Z12,$AA12,$V12,$W12,$X12)</f>
        <v>0.4785779912150932</v>
      </c>
      <c r="AD12" s="336">
        <f>_xll.aspectRatioAC(RADIANS($T12),$U12,$Y12,$Z12,$AA12,$V12,$W12,$X12)</f>
        <v>0.89744231184412038</v>
      </c>
      <c r="AE12" s="336">
        <f t="shared" ref="AE12:AE19" si="1">_xll.aspectRatioBD(RADIANS($T12),$U12,$Y12,$Z12,$AA12,$V12,$W12,$X12)</f>
        <v>0.74367522987027801</v>
      </c>
      <c r="AF12" s="337">
        <f t="shared" ref="AF12:AF19" si="2">DEGREES(_xll.thetaA(RADIANS($T12),$U12,$Y12,$Z12,$AA12,$V12,$W12,$X12))</f>
        <v>29.338558979376401</v>
      </c>
      <c r="AG12" s="338">
        <f t="shared" ref="AG12:AG14" si="3">180-DEGREES(_xll.thetaB(RADIANS($T12),$U12,$Y12,$Z12,$AA12,$V12,$W12,$X12))</f>
        <v>93.793045938986452</v>
      </c>
      <c r="AH12" s="339">
        <f t="shared" ref="AH12:AH19" si="4">_xll.KAB(AC12,RADIANS($AF12),RADIANS($AG12),$O12,$S12,$P12)/10^6</f>
        <v>0</v>
      </c>
      <c r="AI12" s="339">
        <f t="shared" ref="AI12:AI19" si="5">_xll.KAC(AD12,RADIANS($AF12),$O12,$S12,$Q12)/10^6</f>
        <v>0</v>
      </c>
      <c r="AJ12" s="339">
        <f t="shared" ref="AJ12:AJ19" si="6">_xll.KBD(AE12,RADIANS($AG12),$O12,$S12,$R12)/10^6</f>
        <v>0</v>
      </c>
      <c r="AK12" s="339">
        <f t="shared" ref="AK12:AK19" si="7">SUM(AH12:AJ12)</f>
        <v>0</v>
      </c>
      <c r="AL12" s="339">
        <f>10.09*0.78*U12*(U12+408.47)/10^3</f>
        <v>1453.1568760800001</v>
      </c>
      <c r="AM12" s="327">
        <f t="shared" ref="AM12:AM19" si="8">AK12/AL12</f>
        <v>0</v>
      </c>
    </row>
    <row r="13" spans="1:39" x14ac:dyDescent="0.25">
      <c r="M13" s="46" t="s">
        <v>336</v>
      </c>
      <c r="N13" s="189" t="s">
        <v>128</v>
      </c>
      <c r="O13" s="328">
        <v>16</v>
      </c>
      <c r="P13" s="189"/>
      <c r="Q13" s="189">
        <v>12</v>
      </c>
      <c r="R13" s="189"/>
      <c r="S13" s="189">
        <v>2</v>
      </c>
      <c r="T13" s="146">
        <v>45</v>
      </c>
      <c r="U13" s="146">
        <v>271.52999999999997</v>
      </c>
      <c r="V13" s="146">
        <v>600.6</v>
      </c>
      <c r="W13" s="146">
        <v>423.82</v>
      </c>
      <c r="X13" s="146">
        <v>0</v>
      </c>
      <c r="Y13" s="146">
        <v>400.6</v>
      </c>
      <c r="Z13" s="146">
        <v>223.82</v>
      </c>
      <c r="AA13" s="279">
        <v>0</v>
      </c>
      <c r="AC13" s="336">
        <f>_xll.aspectRatioAB(RADIANS($T13),$U13,$Y13,$Z13,$AA13,$V13,$W13,$X13)</f>
        <v>0.38354115920012621</v>
      </c>
      <c r="AD13" s="336">
        <f>_xll.aspectRatioAC(RADIANS($T13),$U13,$Y13,$Z13,$AA13,$V13,$W13,$X13)</f>
        <v>0.62415152450262912</v>
      </c>
      <c r="AE13" s="336">
        <f t="shared" si="1"/>
        <v>0.74367522987027801</v>
      </c>
      <c r="AF13" s="337">
        <f t="shared" si="2"/>
        <v>68.20581504267841</v>
      </c>
      <c r="AG13" s="338">
        <f t="shared" si="3"/>
        <v>93.793045938986452</v>
      </c>
      <c r="AH13" s="339">
        <f t="shared" si="4"/>
        <v>0</v>
      </c>
      <c r="AI13" s="339">
        <f t="shared" si="5"/>
        <v>0</v>
      </c>
      <c r="AJ13" s="339">
        <f t="shared" si="6"/>
        <v>0</v>
      </c>
      <c r="AK13" s="339">
        <f t="shared" si="7"/>
        <v>0</v>
      </c>
      <c r="AL13" s="339">
        <f>2.68*0.68*U13*(U13+408.47)/10^3</f>
        <v>336.48866496000005</v>
      </c>
      <c r="AM13" s="327">
        <f t="shared" si="8"/>
        <v>0</v>
      </c>
    </row>
    <row r="14" spans="1:39" x14ac:dyDescent="0.25">
      <c r="A14" s="326" t="s">
        <v>25</v>
      </c>
      <c r="B14" s="326">
        <v>205000</v>
      </c>
      <c r="C14" s="326">
        <v>205000</v>
      </c>
      <c r="M14" s="46" t="s">
        <v>337</v>
      </c>
      <c r="N14" s="189" t="s">
        <v>341</v>
      </c>
      <c r="O14" s="328">
        <v>12</v>
      </c>
      <c r="P14" s="189"/>
      <c r="Q14" s="189">
        <v>9</v>
      </c>
      <c r="R14" s="189"/>
      <c r="S14" s="189">
        <v>2</v>
      </c>
      <c r="T14" s="146">
        <v>45</v>
      </c>
      <c r="U14" s="146">
        <v>271.52999999999997</v>
      </c>
      <c r="V14" s="146">
        <v>600.6</v>
      </c>
      <c r="W14" s="146">
        <v>423.82</v>
      </c>
      <c r="X14" s="146">
        <v>0</v>
      </c>
      <c r="Y14" s="146">
        <v>400.6</v>
      </c>
      <c r="Z14" s="146">
        <f t="shared" ref="Z14:Z18" si="9">AA14+25</f>
        <v>223.82</v>
      </c>
      <c r="AA14" s="279">
        <v>198.82</v>
      </c>
      <c r="AC14" s="336">
        <f t="shared" si="0"/>
        <v>0.4785779912150932</v>
      </c>
      <c r="AD14" s="336">
        <f>_xll.aspectRatioAC(RADIANS($T14),$U14,$Y14,$Z14,$AA14,$V14,$W14,$X14)</f>
        <v>0.89744231184412038</v>
      </c>
      <c r="AE14" s="336">
        <f t="shared" si="1"/>
        <v>0.74367522987027801</v>
      </c>
      <c r="AF14" s="337">
        <f t="shared" si="2"/>
        <v>29.338558979376401</v>
      </c>
      <c r="AG14" s="338">
        <f t="shared" si="3"/>
        <v>93.793045938986452</v>
      </c>
      <c r="AH14" s="339">
        <f t="shared" si="4"/>
        <v>0</v>
      </c>
      <c r="AI14" s="339">
        <f t="shared" si="5"/>
        <v>0</v>
      </c>
      <c r="AJ14" s="339">
        <f t="shared" si="6"/>
        <v>0</v>
      </c>
      <c r="AK14" s="339">
        <f t="shared" si="7"/>
        <v>0</v>
      </c>
      <c r="AL14" s="339">
        <f>5.16*0.65*U14*(U14+408.47)/10^3</f>
        <v>619.28390160000004</v>
      </c>
      <c r="AM14" s="327">
        <f t="shared" si="8"/>
        <v>0</v>
      </c>
    </row>
    <row r="15" spans="1:39" x14ac:dyDescent="0.25">
      <c r="A15" s="326" t="s">
        <v>321</v>
      </c>
      <c r="B15" s="326">
        <v>0.3</v>
      </c>
      <c r="C15" s="326">
        <v>0.3</v>
      </c>
      <c r="M15" s="46" t="s">
        <v>338</v>
      </c>
      <c r="N15" s="189" t="s">
        <v>341</v>
      </c>
      <c r="O15" s="328">
        <v>12</v>
      </c>
      <c r="P15" s="189"/>
      <c r="Q15" s="189">
        <v>9</v>
      </c>
      <c r="R15" s="189"/>
      <c r="S15" s="189">
        <v>2</v>
      </c>
      <c r="T15" s="146">
        <v>45</v>
      </c>
      <c r="U15" s="146">
        <v>421.53</v>
      </c>
      <c r="V15" s="146">
        <v>600.6</v>
      </c>
      <c r="W15" s="146">
        <v>423.82</v>
      </c>
      <c r="X15" s="146">
        <v>0</v>
      </c>
      <c r="Y15" s="146">
        <v>400.6</v>
      </c>
      <c r="Z15" s="146">
        <f t="shared" si="9"/>
        <v>223.82</v>
      </c>
      <c r="AA15" s="279">
        <v>198.82</v>
      </c>
      <c r="AC15" s="336">
        <f t="shared" si="0"/>
        <v>0.74295650807239799</v>
      </c>
      <c r="AD15" s="336">
        <f>_xll.aspectRatioAC(RADIANS($T15),$U15,$Y15,$Z15,$AA15,$V15,$W15,$X15)</f>
        <v>1.3392854605716407</v>
      </c>
      <c r="AE15" s="336">
        <f t="shared" si="1"/>
        <v>0.73717031158435875</v>
      </c>
      <c r="AF15" s="337">
        <f t="shared" si="2"/>
        <v>19.458185619591617</v>
      </c>
      <c r="AG15" s="342">
        <f>DEGREES(_xll.thetaB(RADIANS($T15),$U15,$Y15,$Z15,$AA15,$V15,$W15,$X15))</f>
        <v>73.991699798524877</v>
      </c>
      <c r="AH15" s="339">
        <f t="shared" si="4"/>
        <v>0</v>
      </c>
      <c r="AI15" s="339">
        <f t="shared" si="5"/>
        <v>0</v>
      </c>
      <c r="AJ15" s="339">
        <f t="shared" si="6"/>
        <v>0</v>
      </c>
      <c r="AK15" s="339">
        <f t="shared" si="7"/>
        <v>0</v>
      </c>
      <c r="AL15" s="339">
        <f>8.01*0.72*U15*(U15+408.47)/10^3</f>
        <v>2017.7696872799997</v>
      </c>
      <c r="AM15" s="327">
        <f t="shared" si="8"/>
        <v>0</v>
      </c>
    </row>
    <row r="16" spans="1:39" x14ac:dyDescent="0.25">
      <c r="A16" s="326" t="s">
        <v>295</v>
      </c>
      <c r="B16" s="326">
        <v>16</v>
      </c>
      <c r="C16" s="326">
        <v>16</v>
      </c>
      <c r="M16" s="46" t="s">
        <v>339</v>
      </c>
      <c r="N16" s="189" t="s">
        <v>341</v>
      </c>
      <c r="O16" s="328">
        <v>16</v>
      </c>
      <c r="P16" s="189"/>
      <c r="Q16" s="189">
        <v>12</v>
      </c>
      <c r="R16" s="189"/>
      <c r="S16" s="189">
        <v>2</v>
      </c>
      <c r="T16" s="146">
        <v>45</v>
      </c>
      <c r="U16" s="146"/>
      <c r="V16" s="146"/>
      <c r="W16" s="146"/>
      <c r="X16" s="146">
        <v>0</v>
      </c>
      <c r="Y16" s="146">
        <v>400.6</v>
      </c>
      <c r="Z16" s="146">
        <f t="shared" si="9"/>
        <v>223.82</v>
      </c>
      <c r="AA16" s="279">
        <v>198.82</v>
      </c>
      <c r="AC16" s="336">
        <f t="shared" si="0"/>
        <v>0</v>
      </c>
      <c r="AD16" s="336" t="e">
        <f>_xll.aspectRatioAC(RADIANS($T16),$U16,$Y16,$Z16,$AA16,$V16,$W16,$X16)</f>
        <v>#NUM!</v>
      </c>
      <c r="AE16" s="336" t="e">
        <f t="shared" si="1"/>
        <v>#NUM!</v>
      </c>
      <c r="AF16" s="337">
        <f t="shared" si="2"/>
        <v>82.937199340959864</v>
      </c>
      <c r="AG16" s="342">
        <f t="shared" ref="AG16:AG19" si="10">DEGREES(_xll.thetaB(RADIANS($T16),$U16,$Y16,$Z16,$AA16,$V16,$W16,$X16))</f>
        <v>90</v>
      </c>
      <c r="AH16" s="339">
        <f t="shared" si="4"/>
        <v>0</v>
      </c>
      <c r="AI16" s="339" t="e">
        <f t="shared" si="5"/>
        <v>#NUM!</v>
      </c>
      <c r="AJ16" s="339" t="e">
        <f t="shared" si="6"/>
        <v>#NUM!</v>
      </c>
      <c r="AK16" s="339" t="e">
        <f t="shared" si="7"/>
        <v>#NUM!</v>
      </c>
      <c r="AL16" s="339">
        <f>12.23*0.76*U16*(U16+408.47)/10^3</f>
        <v>0</v>
      </c>
      <c r="AM16" s="327" t="e">
        <f t="shared" si="8"/>
        <v>#NUM!</v>
      </c>
    </row>
    <row r="17" spans="1:39" x14ac:dyDescent="0.25">
      <c r="A17" s="326" t="s">
        <v>305</v>
      </c>
      <c r="B17" s="326">
        <v>12</v>
      </c>
      <c r="M17" s="46" t="s">
        <v>340</v>
      </c>
      <c r="N17" s="189" t="s">
        <v>341</v>
      </c>
      <c r="O17" s="328">
        <v>16</v>
      </c>
      <c r="P17" s="189"/>
      <c r="Q17" s="189">
        <v>12</v>
      </c>
      <c r="R17" s="189"/>
      <c r="S17" s="189">
        <v>2</v>
      </c>
      <c r="T17" s="146">
        <v>60</v>
      </c>
      <c r="U17" s="146"/>
      <c r="V17" s="146"/>
      <c r="W17" s="146"/>
      <c r="X17" s="146">
        <v>0</v>
      </c>
      <c r="Y17" s="146">
        <v>400.6</v>
      </c>
      <c r="Z17" s="146">
        <f t="shared" si="9"/>
        <v>223.82</v>
      </c>
      <c r="AA17" s="279">
        <v>198.82</v>
      </c>
      <c r="AC17" s="336">
        <f t="shared" si="0"/>
        <v>0</v>
      </c>
      <c r="AD17" s="336" t="e">
        <f t="shared" ref="AD17:AD19" si="11">_xll.aspectRatioAC(RADIANS($T17),$U17,$Y17,$Z17,$AA17,$V17,$W17,$X17)</f>
        <v>#NUM!</v>
      </c>
      <c r="AE17" s="336" t="e">
        <f t="shared" si="1"/>
        <v>#NUM!</v>
      </c>
      <c r="AF17" s="337">
        <f t="shared" si="2"/>
        <v>83.474630123174123</v>
      </c>
      <c r="AG17" s="342">
        <f t="shared" si="10"/>
        <v>90</v>
      </c>
      <c r="AH17" s="339">
        <f t="shared" si="4"/>
        <v>0</v>
      </c>
      <c r="AI17" s="339" t="e">
        <f t="shared" si="5"/>
        <v>#NUM!</v>
      </c>
      <c r="AJ17" s="339" t="e">
        <f t="shared" si="6"/>
        <v>#NUM!</v>
      </c>
      <c r="AK17" s="339" t="e">
        <f t="shared" si="7"/>
        <v>#NUM!</v>
      </c>
      <c r="AL17" s="339"/>
      <c r="AM17" s="327" t="e">
        <f t="shared" si="8"/>
        <v>#NUM!</v>
      </c>
    </row>
    <row r="18" spans="1:39" x14ac:dyDescent="0.25">
      <c r="M18" s="46" t="s">
        <v>342</v>
      </c>
      <c r="N18" s="189" t="s">
        <v>341</v>
      </c>
      <c r="O18" s="328">
        <v>16</v>
      </c>
      <c r="P18" s="189"/>
      <c r="Q18" s="189">
        <v>12</v>
      </c>
      <c r="R18" s="189"/>
      <c r="S18" s="189">
        <v>2</v>
      </c>
      <c r="T18" s="146">
        <v>45</v>
      </c>
      <c r="U18" s="146"/>
      <c r="V18" s="146"/>
      <c r="W18" s="146"/>
      <c r="X18" s="146">
        <v>0</v>
      </c>
      <c r="Y18" s="146">
        <v>400.6</v>
      </c>
      <c r="Z18" s="146">
        <f t="shared" si="9"/>
        <v>223.82</v>
      </c>
      <c r="AA18" s="279">
        <v>198.82</v>
      </c>
      <c r="AC18" s="336">
        <f t="shared" si="0"/>
        <v>0</v>
      </c>
      <c r="AD18" s="336" t="e">
        <f t="shared" si="11"/>
        <v>#NUM!</v>
      </c>
      <c r="AE18" s="336" t="e">
        <f t="shared" si="1"/>
        <v>#NUM!</v>
      </c>
      <c r="AF18" s="337">
        <f t="shared" si="2"/>
        <v>82.937199340959864</v>
      </c>
      <c r="AG18" s="342">
        <f t="shared" si="10"/>
        <v>90</v>
      </c>
      <c r="AH18" s="339">
        <f t="shared" si="4"/>
        <v>0</v>
      </c>
      <c r="AI18" s="339" t="e">
        <f t="shared" si="5"/>
        <v>#NUM!</v>
      </c>
      <c r="AJ18" s="339" t="e">
        <f t="shared" si="6"/>
        <v>#NUM!</v>
      </c>
      <c r="AK18" s="339" t="e">
        <f t="shared" si="7"/>
        <v>#NUM!</v>
      </c>
      <c r="AL18" s="339"/>
      <c r="AM18" s="327" t="e">
        <f t="shared" si="8"/>
        <v>#NUM!</v>
      </c>
    </row>
    <row r="19" spans="1:39" x14ac:dyDescent="0.25">
      <c r="A19" s="326" t="s">
        <v>322</v>
      </c>
      <c r="B19" s="326">
        <f>2*B4/(B7+B8)*B14*B16^3/12/(1-B15^2)</f>
        <v>73599119.283170253</v>
      </c>
      <c r="C19" s="326">
        <f>2*C4/(C7+C8)*C14*C16^3/12/(1-C15^2)</f>
        <v>73599119.283170253</v>
      </c>
      <c r="M19" s="6" t="s">
        <v>343</v>
      </c>
      <c r="N19" s="190" t="s">
        <v>341</v>
      </c>
      <c r="O19" s="329">
        <v>16</v>
      </c>
      <c r="P19" s="190"/>
      <c r="Q19" s="190">
        <v>12</v>
      </c>
      <c r="R19" s="190"/>
      <c r="S19" s="190">
        <v>2</v>
      </c>
      <c r="T19" s="123">
        <v>45</v>
      </c>
      <c r="U19" s="123"/>
      <c r="V19" s="123"/>
      <c r="W19" s="123"/>
      <c r="X19" s="123">
        <v>0</v>
      </c>
      <c r="Y19" s="123">
        <v>400.6</v>
      </c>
      <c r="Z19" s="123"/>
      <c r="AA19" s="280"/>
      <c r="AC19" s="336">
        <f t="shared" si="0"/>
        <v>0</v>
      </c>
      <c r="AD19" s="336" t="e">
        <f t="shared" si="11"/>
        <v>#NUM!</v>
      </c>
      <c r="AE19" s="336" t="e">
        <f t="shared" si="1"/>
        <v>#NUM!</v>
      </c>
      <c r="AF19" s="337">
        <f t="shared" si="2"/>
        <v>90</v>
      </c>
      <c r="AG19" s="342">
        <f t="shared" si="10"/>
        <v>90</v>
      </c>
      <c r="AH19" s="339">
        <f t="shared" si="4"/>
        <v>0</v>
      </c>
      <c r="AI19" s="339" t="e">
        <f t="shared" si="5"/>
        <v>#NUM!</v>
      </c>
      <c r="AJ19" s="339" t="e">
        <f t="shared" si="6"/>
        <v>#NUM!</v>
      </c>
      <c r="AK19" s="339" t="e">
        <f t="shared" si="7"/>
        <v>#NUM!</v>
      </c>
      <c r="AL19" s="339"/>
      <c r="AM19" s="327" t="e">
        <f t="shared" si="8"/>
        <v>#NUM!</v>
      </c>
    </row>
    <row r="20" spans="1:39" x14ac:dyDescent="0.25">
      <c r="A20" s="326" t="s">
        <v>323</v>
      </c>
      <c r="B20" s="326">
        <f>2*B5/(B9+B10)*B14*(B16^3+2*B17^3)/12/(1-B15^2)</f>
        <v>254464168.31032217</v>
      </c>
      <c r="C20" s="326">
        <f>2*C5/(C9+C10)*C14*(C16^3+2*C17^3)/12/(1-C15^2)</f>
        <v>138014464.16831031</v>
      </c>
    </row>
    <row r="21" spans="1:39" x14ac:dyDescent="0.25">
      <c r="A21" s="326" t="s">
        <v>324</v>
      </c>
      <c r="B21" s="326">
        <f>2*B6/(B11+B12)*B14*B16^3/12/(1-B15^2)</f>
        <v>114367932.69166768</v>
      </c>
      <c r="C21" s="326">
        <f>2*C6/(C11+C12)*C14*C16^3/12/(1-C15^2)</f>
        <v>114367932.69166768</v>
      </c>
    </row>
    <row r="23" spans="1:39" x14ac:dyDescent="0.25">
      <c r="A23" s="326" t="s">
        <v>325</v>
      </c>
      <c r="B23" s="326">
        <f>B19*(SQRT(B5^2-B7^2)/B4/B7+SQRT(B6^2-B8^2)/B4/B8)^2</f>
        <v>3399.4196721192166</v>
      </c>
      <c r="C23" s="326">
        <f>C19*(SQRT(C5^2-C7^2)/C4/C7+SQRT(C6^2-C8^2)/C4/C8)^2</f>
        <v>3399.4196721192166</v>
      </c>
      <c r="D23" s="326" t="s">
        <v>151</v>
      </c>
    </row>
    <row r="24" spans="1:39" x14ac:dyDescent="0.25">
      <c r="A24" s="326" t="s">
        <v>326</v>
      </c>
      <c r="B24" s="326">
        <f>B20/B9^2</f>
        <v>14376.797794048111</v>
      </c>
      <c r="C24" s="326">
        <f>C20/C9^2</f>
        <v>7797.5852442294836</v>
      </c>
      <c r="D24" s="326" t="s">
        <v>151</v>
      </c>
    </row>
    <row r="25" spans="1:39" x14ac:dyDescent="0.25">
      <c r="A25" s="326" t="s">
        <v>327</v>
      </c>
      <c r="B25" s="326">
        <f>B21/B11^2</f>
        <v>1557.9661516352</v>
      </c>
      <c r="C25" s="326">
        <f>C21/C11^2</f>
        <v>1557.9661516352</v>
      </c>
      <c r="D25" s="326" t="s">
        <v>151</v>
      </c>
    </row>
    <row r="26" spans="1:39" x14ac:dyDescent="0.25">
      <c r="A26" s="326" t="s">
        <v>47</v>
      </c>
      <c r="B26" s="326">
        <f>SUM(B23:B25)/10^3</f>
        <v>19.334183617802527</v>
      </c>
      <c r="C26" s="326">
        <f>SUM(C23:C25)/10^3</f>
        <v>12.754971067983901</v>
      </c>
      <c r="D26" s="326" t="s">
        <v>306</v>
      </c>
    </row>
    <row r="28" spans="1:39" x14ac:dyDescent="0.25">
      <c r="A28" s="326" t="s">
        <v>225</v>
      </c>
      <c r="B28" s="326">
        <f>B4</f>
        <v>271.52999999999997</v>
      </c>
      <c r="C28" s="326">
        <f>C4</f>
        <v>271.52999999999997</v>
      </c>
    </row>
    <row r="29" spans="1:39" x14ac:dyDescent="0.25">
      <c r="A29" s="326" t="s">
        <v>311</v>
      </c>
      <c r="B29" s="326">
        <v>408.47</v>
      </c>
      <c r="C29" s="326">
        <v>408.47</v>
      </c>
    </row>
    <row r="30" spans="1:39" x14ac:dyDescent="0.25">
      <c r="A30" s="326" t="s">
        <v>328</v>
      </c>
      <c r="B30" s="332">
        <f>B26*B28/(B28+B29)</f>
        <v>7.7203101143263515</v>
      </c>
      <c r="C30" s="332">
        <f>C26*C28/(C28+C29)</f>
        <v>5.0931724913083354</v>
      </c>
    </row>
    <row r="31" spans="1:39" x14ac:dyDescent="0.25">
      <c r="A31" s="326" t="s">
        <v>344</v>
      </c>
      <c r="B31" s="332">
        <v>0.78</v>
      </c>
      <c r="C31" s="332">
        <v>0.77</v>
      </c>
    </row>
    <row r="32" spans="1:39" x14ac:dyDescent="0.25">
      <c r="A32" s="326" t="s">
        <v>330</v>
      </c>
      <c r="B32" s="332">
        <f>B30/B31</f>
        <v>9.8978334799055787</v>
      </c>
      <c r="C32" s="332">
        <f>C30/C31</f>
        <v>6.6145097289718642</v>
      </c>
    </row>
    <row r="33" spans="1:17" x14ac:dyDescent="0.25">
      <c r="A33" s="326" t="s">
        <v>329</v>
      </c>
      <c r="B33" s="326">
        <v>10.09</v>
      </c>
      <c r="C33" s="332">
        <v>6.8</v>
      </c>
    </row>
    <row r="34" spans="1:17" x14ac:dyDescent="0.25">
      <c r="B34" s="327">
        <f>B32/B33</f>
        <v>0.98095475519381359</v>
      </c>
      <c r="C34" s="327">
        <f>C32/C33</f>
        <v>0.97272201896645061</v>
      </c>
    </row>
    <row r="37" spans="1:17" x14ac:dyDescent="0.25">
      <c r="A37" s="23" t="s">
        <v>457</v>
      </c>
      <c r="F37" s="23" t="s">
        <v>465</v>
      </c>
      <c r="J37" s="23" t="s">
        <v>464</v>
      </c>
      <c r="N37" s="23" t="s">
        <v>466</v>
      </c>
    </row>
    <row r="38" spans="1:17" x14ac:dyDescent="0.25">
      <c r="A38" s="326" t="s">
        <v>459</v>
      </c>
      <c r="B38" s="326" t="s">
        <v>129</v>
      </c>
      <c r="C38" s="326" t="s">
        <v>463</v>
      </c>
      <c r="D38" s="326" t="s">
        <v>128</v>
      </c>
      <c r="E38" s="326" t="s">
        <v>458</v>
      </c>
      <c r="G38" s="326" t="s">
        <v>460</v>
      </c>
      <c r="H38" s="326" t="s">
        <v>461</v>
      </c>
      <c r="I38" s="326" t="s">
        <v>114</v>
      </c>
      <c r="J38" s="326" t="s">
        <v>219</v>
      </c>
      <c r="K38" s="326" t="s">
        <v>460</v>
      </c>
      <c r="L38" s="326" t="s">
        <v>461</v>
      </c>
      <c r="M38" s="326" t="s">
        <v>114</v>
      </c>
    </row>
    <row r="39" spans="1:17" x14ac:dyDescent="0.25">
      <c r="A39" s="326" t="s">
        <v>90</v>
      </c>
      <c r="B39" s="326">
        <v>100</v>
      </c>
      <c r="C39" s="326">
        <v>50</v>
      </c>
      <c r="F39" s="472">
        <f>_xll.area($A39,$B39,$C39,$D39,$E39)</f>
        <v>5000</v>
      </c>
      <c r="G39" s="472">
        <f>_xll.Iyy($A39,$B39,$C39,$D39,$E39)</f>
        <v>10416666666.666666</v>
      </c>
      <c r="H39" s="472">
        <f>_xll.Izz($A39,$B39,$C39,$D39,$E39)</f>
        <v>10416666666.666666</v>
      </c>
      <c r="I39" s="434"/>
      <c r="J39" s="434">
        <v>5000</v>
      </c>
      <c r="K39" s="434">
        <v>4166700</v>
      </c>
      <c r="L39" s="434">
        <v>1041700</v>
      </c>
      <c r="M39" s="434"/>
      <c r="N39" s="327">
        <f t="shared" ref="N39:P44" si="12">F39/J39</f>
        <v>1</v>
      </c>
      <c r="O39" s="327">
        <f t="shared" si="12"/>
        <v>2499.9800001599988</v>
      </c>
      <c r="P39" s="327">
        <f t="shared" si="12"/>
        <v>9999.6800102396719</v>
      </c>
      <c r="Q39" s="327"/>
    </row>
    <row r="40" spans="1:17" x14ac:dyDescent="0.25">
      <c r="A40" s="326" t="s">
        <v>92</v>
      </c>
      <c r="B40" s="326">
        <v>300</v>
      </c>
      <c r="C40" s="326">
        <v>10</v>
      </c>
      <c r="F40" s="472">
        <f t="shared" ref="F40:F44" si="13">_xll.area($A40,$B40,$C40,$D40,$E40)</f>
        <v>9110.6186954103996</v>
      </c>
      <c r="G40" s="434">
        <f t="shared" ref="G40:G43" si="14">_xll.Iyy($A40,$B40,$C40,$D40,$E40)</f>
        <v>95889261.769194454</v>
      </c>
      <c r="H40" s="434">
        <f t="shared" ref="H40:H43" si="15">_xll.Izz($A40,$B40,$C40,$D40,$E40)</f>
        <v>95889261.769194454</v>
      </c>
      <c r="I40" s="434">
        <f t="shared" ref="I40:I43" si="16">_xll.J($A40,$B40,$C40,$D40,$E40)</f>
        <v>191550758.07100368</v>
      </c>
      <c r="J40" s="434">
        <v>9110.6</v>
      </c>
      <c r="K40" s="434">
        <v>95889000</v>
      </c>
      <c r="L40" s="434">
        <v>95889000</v>
      </c>
      <c r="M40" s="434">
        <v>191780000</v>
      </c>
      <c r="N40" s="327">
        <f t="shared" si="12"/>
        <v>1.0000020520504027</v>
      </c>
      <c r="O40" s="327">
        <f t="shared" si="12"/>
        <v>1.0000027299189109</v>
      </c>
      <c r="P40" s="327">
        <f t="shared" si="12"/>
        <v>1.0000027299189109</v>
      </c>
      <c r="Q40" s="327">
        <f>I40/M40</f>
        <v>0.99880466196164186</v>
      </c>
    </row>
    <row r="41" spans="1:17" x14ac:dyDescent="0.25">
      <c r="A41" s="326" t="s">
        <v>91</v>
      </c>
      <c r="B41" s="326">
        <v>300</v>
      </c>
      <c r="C41" s="326">
        <v>10</v>
      </c>
      <c r="D41" s="326">
        <v>100</v>
      </c>
      <c r="E41" s="326">
        <v>5</v>
      </c>
      <c r="F41" s="472">
        <f t="shared" si="13"/>
        <v>4800</v>
      </c>
      <c r="G41" s="434">
        <f t="shared" si="14"/>
        <v>60360000</v>
      </c>
      <c r="H41" s="434">
        <f t="shared" si="15"/>
        <v>7990000</v>
      </c>
      <c r="I41" s="434">
        <f t="shared" si="16"/>
        <v>22488962.962962963</v>
      </c>
      <c r="J41" s="434">
        <v>4800</v>
      </c>
      <c r="K41" s="434">
        <v>60360000</v>
      </c>
      <c r="L41" s="434">
        <v>7990000</v>
      </c>
      <c r="M41" s="434">
        <v>22489000</v>
      </c>
      <c r="N41" s="327">
        <f t="shared" si="12"/>
        <v>1</v>
      </c>
      <c r="O41" s="327">
        <f t="shared" si="12"/>
        <v>1</v>
      </c>
      <c r="P41" s="327">
        <f t="shared" si="12"/>
        <v>1</v>
      </c>
      <c r="Q41" s="327">
        <f>I41/M41</f>
        <v>0.99999835310431606</v>
      </c>
    </row>
    <row r="42" spans="1:17" x14ac:dyDescent="0.25">
      <c r="A42" s="326" t="s">
        <v>462</v>
      </c>
      <c r="B42" s="326">
        <v>300</v>
      </c>
      <c r="C42" s="326">
        <v>10</v>
      </c>
      <c r="F42" s="472">
        <f t="shared" si="13"/>
        <v>11600</v>
      </c>
      <c r="G42" s="434">
        <f t="shared" si="14"/>
        <v>162786666.66666666</v>
      </c>
      <c r="H42" s="434">
        <f t="shared" si="15"/>
        <v>162786666.66666666</v>
      </c>
      <c r="I42" s="434">
        <f t="shared" si="16"/>
        <v>243890000</v>
      </c>
      <c r="J42" s="434">
        <v>11600</v>
      </c>
      <c r="K42" s="434">
        <v>162790000</v>
      </c>
      <c r="L42" s="434">
        <v>162790000</v>
      </c>
      <c r="M42" s="434">
        <v>243890000</v>
      </c>
      <c r="N42" s="327">
        <f t="shared" si="12"/>
        <v>1</v>
      </c>
      <c r="O42" s="327">
        <f t="shared" si="12"/>
        <v>0.99997952372176824</v>
      </c>
      <c r="P42" s="327">
        <f t="shared" si="12"/>
        <v>0.99997952372176824</v>
      </c>
      <c r="Q42" s="327">
        <f>I42/M42</f>
        <v>1</v>
      </c>
    </row>
    <row r="43" spans="1:17" x14ac:dyDescent="0.25">
      <c r="A43" s="326" t="s">
        <v>87</v>
      </c>
      <c r="B43" s="326">
        <v>300</v>
      </c>
      <c r="C43" s="326">
        <v>10</v>
      </c>
      <c r="D43" s="326">
        <v>200</v>
      </c>
      <c r="E43" s="326">
        <v>5</v>
      </c>
      <c r="F43" s="472">
        <f t="shared" si="13"/>
        <v>5400</v>
      </c>
      <c r="G43" s="434">
        <f t="shared" si="14"/>
        <v>93280000</v>
      </c>
      <c r="H43" s="434">
        <f t="shared" si="15"/>
        <v>13336250</v>
      </c>
      <c r="I43" s="434">
        <f t="shared" si="16"/>
        <v>145833.33333333334</v>
      </c>
      <c r="J43" s="434">
        <v>5400</v>
      </c>
      <c r="K43" s="434">
        <v>93280000</v>
      </c>
      <c r="L43" s="434">
        <v>13336000</v>
      </c>
      <c r="M43" s="434">
        <v>140670</v>
      </c>
      <c r="N43" s="327">
        <f t="shared" si="12"/>
        <v>1</v>
      </c>
      <c r="O43" s="327">
        <f t="shared" si="12"/>
        <v>1</v>
      </c>
      <c r="P43" s="327">
        <f t="shared" si="12"/>
        <v>1.0000187462507499</v>
      </c>
      <c r="Q43" s="327">
        <f>I43/M43</f>
        <v>1.0367052913438071</v>
      </c>
    </row>
    <row r="44" spans="1:17" x14ac:dyDescent="0.25">
      <c r="A44" s="326" t="s">
        <v>95</v>
      </c>
      <c r="B44" s="326">
        <v>300</v>
      </c>
      <c r="C44" s="326">
        <v>10</v>
      </c>
      <c r="D44" s="326">
        <v>200</v>
      </c>
      <c r="E44" s="326">
        <v>5</v>
      </c>
      <c r="F44" s="472">
        <f t="shared" si="13"/>
        <v>3950</v>
      </c>
      <c r="G44" s="434">
        <f>_xll.Iyy($A44,$B44,$C44,$D44,$E44)</f>
        <v>22501979.166666668</v>
      </c>
      <c r="H44" s="434">
        <f>_xll.Izz($A44,$B44,$C44,$D44,$E44)</f>
        <v>3357916.6666666665</v>
      </c>
      <c r="I44" s="434"/>
      <c r="J44" s="434">
        <v>3950</v>
      </c>
      <c r="K44" s="434">
        <v>22502000</v>
      </c>
      <c r="L44" s="434">
        <v>3357900</v>
      </c>
      <c r="N44" s="327">
        <f t="shared" si="12"/>
        <v>1</v>
      </c>
      <c r="O44" s="327">
        <f t="shared" si="12"/>
        <v>0.99999907415637135</v>
      </c>
      <c r="P44" s="327">
        <f t="shared" si="12"/>
        <v>1.0000049634195975</v>
      </c>
      <c r="Q44" s="327"/>
    </row>
    <row r="46" spans="1:17" x14ac:dyDescent="0.25">
      <c r="A46" s="23" t="s">
        <v>536</v>
      </c>
    </row>
    <row r="47" spans="1:17" x14ac:dyDescent="0.25">
      <c r="A47" s="326" t="s">
        <v>4</v>
      </c>
      <c r="B47" s="326">
        <v>300</v>
      </c>
    </row>
    <row r="48" spans="1:17" x14ac:dyDescent="0.25">
      <c r="A48" s="326" t="s">
        <v>25</v>
      </c>
      <c r="B48" s="326">
        <v>205000</v>
      </c>
    </row>
    <row r="50" spans="1:20" x14ac:dyDescent="0.25">
      <c r="C50" s="583" t="s">
        <v>546</v>
      </c>
    </row>
    <row r="51" spans="1:20" x14ac:dyDescent="0.25">
      <c r="A51" s="326" t="s">
        <v>538</v>
      </c>
      <c r="C51" s="463" t="s">
        <v>545</v>
      </c>
      <c r="E51" s="326" t="s">
        <v>543</v>
      </c>
      <c r="K51" s="326" t="s">
        <v>544</v>
      </c>
    </row>
    <row r="52" spans="1:20" x14ac:dyDescent="0.25">
      <c r="A52" s="463" t="s">
        <v>537</v>
      </c>
      <c r="B52" s="584" t="s">
        <v>537</v>
      </c>
      <c r="D52" s="584"/>
      <c r="E52" s="326" t="s">
        <v>540</v>
      </c>
      <c r="F52" s="326" t="s">
        <v>103</v>
      </c>
      <c r="G52" s="326" t="s">
        <v>541</v>
      </c>
      <c r="H52" s="326" t="s">
        <v>539</v>
      </c>
      <c r="I52" s="326" t="s">
        <v>542</v>
      </c>
      <c r="K52" s="326" t="s">
        <v>103</v>
      </c>
      <c r="L52" s="326" t="s">
        <v>541</v>
      </c>
      <c r="M52" s="326" t="s">
        <v>539</v>
      </c>
      <c r="N52" s="326" t="s">
        <v>542</v>
      </c>
      <c r="P52" s="326" t="s">
        <v>540</v>
      </c>
      <c r="Q52" s="326" t="s">
        <v>103</v>
      </c>
      <c r="R52" s="326" t="s">
        <v>541</v>
      </c>
      <c r="S52" s="326" t="s">
        <v>539</v>
      </c>
      <c r="T52" s="326" t="s">
        <v>542</v>
      </c>
    </row>
    <row r="53" spans="1:20" x14ac:dyDescent="0.25">
      <c r="A53" s="389">
        <f t="shared" ref="A53:A83" si="17">B53*PI()*SQRT($B$48/$B$47)</f>
        <v>0</v>
      </c>
      <c r="B53" s="332">
        <v>0</v>
      </c>
      <c r="C53" s="332">
        <f>MIN(1,IFERROR(1/B53^2,1))</f>
        <v>1</v>
      </c>
      <c r="D53" s="332"/>
      <c r="E53" s="332">
        <f t="shared" ref="E53:I62" si="18">_xll.Ncr_EC3(1,$A53,E$52,$B$47,$B$48)/$B$47</f>
        <v>1</v>
      </c>
      <c r="F53" s="332">
        <f t="shared" si="18"/>
        <v>1</v>
      </c>
      <c r="G53" s="332">
        <f t="shared" si="18"/>
        <v>1</v>
      </c>
      <c r="H53" s="332">
        <f t="shared" si="18"/>
        <v>1</v>
      </c>
      <c r="I53" s="332">
        <f t="shared" si="18"/>
        <v>1</v>
      </c>
      <c r="K53" s="585">
        <f>IF($A53=0,1,_xll.Ncr_BS5950(1,$A53,K$52,$B$47,$B$48)/$B$47)</f>
        <v>1</v>
      </c>
      <c r="L53" s="585">
        <f>IF($A53=0,1,_xll.Ncr_BS5950(1,$A53,L$52,$B$47,$B$48)/$B$47)</f>
        <v>1</v>
      </c>
      <c r="M53" s="585">
        <f>IF($A53=0,1,_xll.Ncr_BS5950(1,$A53,M$52,$B$47,$B$48)/$B$47)</f>
        <v>1</v>
      </c>
      <c r="N53" s="585">
        <f>IF($A53=0,1,_xll.Ncr_BS5950(1,$A53,N$52,$B$47,$B$48)/$B$47)</f>
        <v>1</v>
      </c>
      <c r="P53" s="332">
        <f>IF($A53=0,1,_xll.Ncr_NZS3404(1,$A53,P$52,$B$47,$B$48)/$B$47)</f>
        <v>1</v>
      </c>
      <c r="Q53" s="332">
        <f>IF($A53=0,1,_xll.Ncr_NZS3404(1,$A53,Q$52,$B$47,$B$48)/$B$47)</f>
        <v>1</v>
      </c>
      <c r="R53" s="332">
        <f>IF($A53=0,1,_xll.Ncr_NZS3404(1,$A53,R$52,$B$47,$B$48)/$B$47)</f>
        <v>1</v>
      </c>
      <c r="S53" s="332">
        <f>IF($A53=0,1,_xll.Ncr_NZS3404(1,$A53,S$52,$B$47,$B$48)/$B$47)</f>
        <v>1</v>
      </c>
      <c r="T53" s="332">
        <f>IF($A53=0,1,_xll.Ncr_NZS3404(1,$A53,T$52,$B$47,$B$48)/$B$47)</f>
        <v>1</v>
      </c>
    </row>
    <row r="54" spans="1:20" x14ac:dyDescent="0.25">
      <c r="A54" s="389">
        <f t="shared" si="17"/>
        <v>8.2123259032248157</v>
      </c>
      <c r="B54" s="332">
        <f>B53+0.1</f>
        <v>0.1</v>
      </c>
      <c r="C54" s="332">
        <f t="shared" ref="C54:C83" si="19">MIN(1,IFERROR(1/B54^2,1))</f>
        <v>1</v>
      </c>
      <c r="D54" s="332"/>
      <c r="E54" s="332">
        <f t="shared" si="18"/>
        <v>1</v>
      </c>
      <c r="F54" s="332">
        <f t="shared" si="18"/>
        <v>1</v>
      </c>
      <c r="G54" s="332">
        <f t="shared" si="18"/>
        <v>1</v>
      </c>
      <c r="H54" s="332">
        <f t="shared" si="18"/>
        <v>1</v>
      </c>
      <c r="I54" s="332">
        <f t="shared" si="18"/>
        <v>1</v>
      </c>
      <c r="K54" s="585">
        <f>IF($A54=0,1,_xll.Ncr_BS5950(1,$A54,K$52,$B$47,$B$48)/$B$47)</f>
        <v>1</v>
      </c>
      <c r="L54" s="585">
        <f>IF($A54=0,1,_xll.Ncr_BS5950(1,$A54,L$52,$B$47,$B$48)/$B$47)</f>
        <v>1</v>
      </c>
      <c r="M54" s="585">
        <f>IF($A54=0,1,_xll.Ncr_BS5950(1,$A54,M$52,$B$47,$B$48)/$B$47)</f>
        <v>1</v>
      </c>
      <c r="N54" s="585">
        <f>IF($A54=0,1,_xll.Ncr_BS5950(1,$A54,N$52,$B$47,$B$48)/$B$47)</f>
        <v>1</v>
      </c>
      <c r="P54" s="332" t="e">
        <f>IF($A54=0,1,_xll.Ncr_NZS3404(1,$A54,P$52,$B$47,$B$48)/$B$47)</f>
        <v>#VALUE!</v>
      </c>
      <c r="Q54" s="332" t="e">
        <f>IF($A54=0,1,_xll.Ncr_NZS3404(1,$A54,Q$52,$B$47,$B$48)/$B$47)</f>
        <v>#VALUE!</v>
      </c>
      <c r="R54" s="332" t="e">
        <f>IF($A54=0,1,_xll.Ncr_NZS3404(1,$A54,R$52,$B$47,$B$48)/$B$47)</f>
        <v>#VALUE!</v>
      </c>
      <c r="S54" s="332" t="e">
        <f>IF($A54=0,1,_xll.Ncr_NZS3404(1,$A54,S$52,$B$47,$B$48)/$B$47)</f>
        <v>#VALUE!</v>
      </c>
      <c r="T54" s="332" t="e">
        <f>IF($A54=0,1,_xll.Ncr_NZS3404(1,$A54,T$52,$B$47,$B$48)/$B$47)</f>
        <v>#VALUE!</v>
      </c>
    </row>
    <row r="55" spans="1:20" x14ac:dyDescent="0.25">
      <c r="A55" s="389">
        <f t="shared" si="17"/>
        <v>16.424651806449631</v>
      </c>
      <c r="B55" s="332">
        <f t="shared" ref="B55:B75" si="20">B54+0.1</f>
        <v>0.2</v>
      </c>
      <c r="C55" s="332">
        <f t="shared" si="19"/>
        <v>1</v>
      </c>
      <c r="D55" s="332"/>
      <c r="E55" s="332">
        <f t="shared" si="18"/>
        <v>1</v>
      </c>
      <c r="F55" s="332">
        <f t="shared" si="18"/>
        <v>1</v>
      </c>
      <c r="G55" s="332">
        <f t="shared" si="18"/>
        <v>1</v>
      </c>
      <c r="H55" s="332">
        <f t="shared" si="18"/>
        <v>1</v>
      </c>
      <c r="I55" s="332">
        <f t="shared" si="18"/>
        <v>1</v>
      </c>
      <c r="K55" s="585">
        <f>IF($A55=0,1,_xll.Ncr_BS5950(1,$A55,K$52,$B$47,$B$48)/$B$47)</f>
        <v>1</v>
      </c>
      <c r="L55" s="585">
        <f>IF($A55=0,1,_xll.Ncr_BS5950(1,$A55,L$52,$B$47,$B$48)/$B$47)</f>
        <v>1</v>
      </c>
      <c r="M55" s="585">
        <f>IF($A55=0,1,_xll.Ncr_BS5950(1,$A55,M$52,$B$47,$B$48)/$B$47)</f>
        <v>1</v>
      </c>
      <c r="N55" s="585">
        <f>IF($A55=0,1,_xll.Ncr_BS5950(1,$A55,N$52,$B$47,$B$48)/$B$47)</f>
        <v>1</v>
      </c>
      <c r="P55" s="332" t="e">
        <f>IF($A55=0,1,_xll.Ncr_NZS3404(1,$A55,P$52,$B$47,$B$48)/$B$47)</f>
        <v>#VALUE!</v>
      </c>
      <c r="Q55" s="332" t="e">
        <f>IF($A55=0,1,_xll.Ncr_NZS3404(1,$A55,Q$52,$B$47,$B$48)/$B$47)</f>
        <v>#VALUE!</v>
      </c>
      <c r="R55" s="332" t="e">
        <f>IF($A55=0,1,_xll.Ncr_NZS3404(1,$A55,R$52,$B$47,$B$48)/$B$47)</f>
        <v>#VALUE!</v>
      </c>
      <c r="S55" s="332" t="e">
        <f>IF($A55=0,1,_xll.Ncr_NZS3404(1,$A55,S$52,$B$47,$B$48)/$B$47)</f>
        <v>#VALUE!</v>
      </c>
      <c r="T55" s="332" t="e">
        <f>IF($A55=0,1,_xll.Ncr_NZS3404(1,$A55,T$52,$B$47,$B$48)/$B$47)</f>
        <v>#VALUE!</v>
      </c>
    </row>
    <row r="56" spans="1:20" x14ac:dyDescent="0.25">
      <c r="A56" s="389">
        <f t="shared" si="17"/>
        <v>24.636977709674451</v>
      </c>
      <c r="B56" s="332">
        <f t="shared" si="20"/>
        <v>0.30000000000000004</v>
      </c>
      <c r="C56" s="332">
        <f t="shared" si="19"/>
        <v>1</v>
      </c>
      <c r="D56" s="332"/>
      <c r="E56" s="332">
        <f t="shared" si="18"/>
        <v>0.98593478302229343</v>
      </c>
      <c r="F56" s="332">
        <f t="shared" si="18"/>
        <v>0.97749258061596089</v>
      </c>
      <c r="G56" s="332">
        <f t="shared" si="18"/>
        <v>0.96410588440475919</v>
      </c>
      <c r="H56" s="332">
        <f t="shared" si="18"/>
        <v>0.94914779479631606</v>
      </c>
      <c r="I56" s="332">
        <f t="shared" si="18"/>
        <v>0.92345569248595549</v>
      </c>
      <c r="K56" s="585">
        <f>IF($A56=0,1,_xll.Ncr_BS5950(1,$A56,K$52,$B$47,$B$48)/$B$47)</f>
        <v>0.98230135608460101</v>
      </c>
      <c r="L56" s="585">
        <f>IF($A56=0,1,_xll.Ncr_BS5950(1,$A56,L$52,$B$47,$B$48)/$B$47)</f>
        <v>0.96947060864295509</v>
      </c>
      <c r="M56" s="585">
        <f>IF($A56=0,1,_xll.Ncr_BS5950(1,$A56,M$52,$B$47,$B$48)/$B$47)</f>
        <v>0.95292103210273293</v>
      </c>
      <c r="N56" s="585">
        <f>IF($A56=0,1,_xll.Ncr_BS5950(1,$A56,N$52,$B$47,$B$48)/$B$47)</f>
        <v>0.93307816687971179</v>
      </c>
      <c r="P56" s="332" t="e">
        <f>IF($A56=0,1,_xll.Ncr_NZS3404(1,$A56,P$52,$B$47,$B$48)/$B$47)</f>
        <v>#VALUE!</v>
      </c>
      <c r="Q56" s="332" t="e">
        <f>IF($A56=0,1,_xll.Ncr_NZS3404(1,$A56,Q$52,$B$47,$B$48)/$B$47)</f>
        <v>#VALUE!</v>
      </c>
      <c r="R56" s="332" t="e">
        <f>IF($A56=0,1,_xll.Ncr_NZS3404(1,$A56,R$52,$B$47,$B$48)/$B$47)</f>
        <v>#VALUE!</v>
      </c>
      <c r="S56" s="332" t="e">
        <f>IF($A56=0,1,_xll.Ncr_NZS3404(1,$A56,S$52,$B$47,$B$48)/$B$47)</f>
        <v>#VALUE!</v>
      </c>
      <c r="T56" s="332" t="e">
        <f>IF($A56=0,1,_xll.Ncr_NZS3404(1,$A56,T$52,$B$47,$B$48)/$B$47)</f>
        <v>#VALUE!</v>
      </c>
    </row>
    <row r="57" spans="1:20" x14ac:dyDescent="0.25">
      <c r="A57" s="389">
        <f t="shared" si="17"/>
        <v>32.849303612899263</v>
      </c>
      <c r="B57" s="332">
        <f t="shared" si="20"/>
        <v>0.4</v>
      </c>
      <c r="C57" s="332">
        <f t="shared" si="19"/>
        <v>1</v>
      </c>
      <c r="D57" s="332"/>
      <c r="E57" s="332">
        <f t="shared" si="18"/>
        <v>0.97014162084174738</v>
      </c>
      <c r="F57" s="332">
        <f t="shared" si="18"/>
        <v>0.95278534666477388</v>
      </c>
      <c r="G57" s="332">
        <f t="shared" si="18"/>
        <v>0.92607315908505083</v>
      </c>
      <c r="H57" s="332">
        <f t="shared" si="18"/>
        <v>0.89732077167248325</v>
      </c>
      <c r="I57" s="332">
        <f t="shared" si="18"/>
        <v>0.8503846381456156</v>
      </c>
      <c r="K57" s="585">
        <f>IF($A57=0,1,_xll.Ncr_BS5950(1,$A57,K$52,$B$47,$B$48)/$B$47)</f>
        <v>0.96262154344903139</v>
      </c>
      <c r="L57" s="585">
        <f>IF($A57=0,1,_xll.Ncr_BS5950(1,$A57,L$52,$B$47,$B$48)/$B$47)</f>
        <v>0.93666262884243623</v>
      </c>
      <c r="M57" s="585">
        <f>IF($A57=0,1,_xll.Ncr_BS5950(1,$A57,M$52,$B$47,$B$48)/$B$47)</f>
        <v>0.90446951133310904</v>
      </c>
      <c r="N57" s="585">
        <f>IF($A57=0,1,_xll.Ncr_BS5950(1,$A57,N$52,$B$47,$B$48)/$B$47)</f>
        <v>0.86762025953068156</v>
      </c>
      <c r="P57" s="332" t="e">
        <f>IF($A57=0,1,_xll.Ncr_NZS3404(1,$A57,P$52,$B$47,$B$48)/$B$47)</f>
        <v>#VALUE!</v>
      </c>
      <c r="Q57" s="332" t="e">
        <f>IF($A57=0,1,_xll.Ncr_NZS3404(1,$A57,Q$52,$B$47,$B$48)/$B$47)</f>
        <v>#VALUE!</v>
      </c>
      <c r="R57" s="332" t="e">
        <f>IF($A57=0,1,_xll.Ncr_NZS3404(1,$A57,R$52,$B$47,$B$48)/$B$47)</f>
        <v>#VALUE!</v>
      </c>
      <c r="S57" s="332" t="e">
        <f>IF($A57=0,1,_xll.Ncr_NZS3404(1,$A57,S$52,$B$47,$B$48)/$B$47)</f>
        <v>#VALUE!</v>
      </c>
      <c r="T57" s="332" t="e">
        <f>IF($A57=0,1,_xll.Ncr_NZS3404(1,$A57,T$52,$B$47,$B$48)/$B$47)</f>
        <v>#VALUE!</v>
      </c>
    </row>
    <row r="58" spans="1:20" x14ac:dyDescent="0.25">
      <c r="A58" s="389">
        <f t="shared" si="17"/>
        <v>41.061629516124079</v>
      </c>
      <c r="B58" s="332">
        <f t="shared" si="20"/>
        <v>0.5</v>
      </c>
      <c r="C58" s="332">
        <f t="shared" si="19"/>
        <v>1</v>
      </c>
      <c r="D58" s="332"/>
      <c r="E58" s="332">
        <f t="shared" si="18"/>
        <v>0.95132117490882684</v>
      </c>
      <c r="F58" s="332">
        <f t="shared" si="18"/>
        <v>0.92427264228372941</v>
      </c>
      <c r="G58" s="332">
        <f t="shared" si="18"/>
        <v>0.88421539736154486</v>
      </c>
      <c r="H58" s="332">
        <f t="shared" si="18"/>
        <v>0.84299103026152122</v>
      </c>
      <c r="I58" s="332">
        <f t="shared" si="18"/>
        <v>0.77931995920392561</v>
      </c>
      <c r="K58" s="585">
        <f>IF($A58=0,1,_xll.Ncr_BS5950(1,$A58,K$52,$B$47,$B$48)/$B$47)</f>
        <v>0.93949660213116981</v>
      </c>
      <c r="L58" s="585">
        <f>IF($A58=0,1,_xll.Ncr_BS5950(1,$A58,L$52,$B$47,$B$48)/$B$47)</f>
        <v>0.8998798548388055</v>
      </c>
      <c r="M58" s="585">
        <f>IF($A58=0,1,_xll.Ncr_BS5950(1,$A58,M$52,$B$47,$B$48)/$B$47)</f>
        <v>0.85307077172908974</v>
      </c>
      <c r="N58" s="585">
        <f>IF($A58=0,1,_xll.Ncr_BS5950(1,$A58,N$52,$B$47,$B$48)/$B$47)</f>
        <v>0.80222002106525681</v>
      </c>
      <c r="P58" s="332" t="e">
        <f>IF($A58=0,1,_xll.Ncr_NZS3404(1,$A58,P$52,$B$47,$B$48)/$B$47)</f>
        <v>#VALUE!</v>
      </c>
      <c r="Q58" s="332" t="e">
        <f>IF($A58=0,1,_xll.Ncr_NZS3404(1,$A58,Q$52,$B$47,$B$48)/$B$47)</f>
        <v>#VALUE!</v>
      </c>
      <c r="R58" s="332" t="e">
        <f>IF($A58=0,1,_xll.Ncr_NZS3404(1,$A58,R$52,$B$47,$B$48)/$B$47)</f>
        <v>#VALUE!</v>
      </c>
      <c r="S58" s="332" t="e">
        <f>IF($A58=0,1,_xll.Ncr_NZS3404(1,$A58,S$52,$B$47,$B$48)/$B$47)</f>
        <v>#VALUE!</v>
      </c>
      <c r="T58" s="332" t="e">
        <f>IF($A58=0,1,_xll.Ncr_NZS3404(1,$A58,T$52,$B$47,$B$48)/$B$47)</f>
        <v>#VALUE!</v>
      </c>
    </row>
    <row r="59" spans="1:20" x14ac:dyDescent="0.25">
      <c r="A59" s="389">
        <f t="shared" si="17"/>
        <v>49.273955419348894</v>
      </c>
      <c r="B59" s="332">
        <f t="shared" si="20"/>
        <v>0.6</v>
      </c>
      <c r="C59" s="332">
        <f t="shared" si="19"/>
        <v>1</v>
      </c>
      <c r="D59" s="332"/>
      <c r="E59" s="332">
        <f t="shared" si="18"/>
        <v>0.92758365025403311</v>
      </c>
      <c r="F59" s="332">
        <f t="shared" si="18"/>
        <v>0.88999501993143482</v>
      </c>
      <c r="G59" s="332">
        <f t="shared" si="18"/>
        <v>0.83705914889797295</v>
      </c>
      <c r="H59" s="332">
        <f t="shared" si="18"/>
        <v>0.78538459148952455</v>
      </c>
      <c r="I59" s="332">
        <f t="shared" si="18"/>
        <v>0.71003122861821788</v>
      </c>
      <c r="K59" s="585">
        <f>IF($A59=0,1,_xll.Ncr_BS5950(1,$A59,K$52,$B$47,$B$48)/$B$47)</f>
        <v>0.91094820560538969</v>
      </c>
      <c r="L59" s="585">
        <f>IF($A59=0,1,_xll.Ncr_BS5950(1,$A59,L$52,$B$47,$B$48)/$B$47)</f>
        <v>0.85740820667745477</v>
      </c>
      <c r="M59" s="585">
        <f>IF($A59=0,1,_xll.Ncr_BS5950(1,$A59,M$52,$B$47,$B$48)/$B$47)</f>
        <v>0.79778663204181399</v>
      </c>
      <c r="N59" s="585">
        <f>IF($A59=0,1,_xll.Ncr_BS5950(1,$A59,N$52,$B$47,$B$48)/$B$47)</f>
        <v>0.73658010459222389</v>
      </c>
      <c r="P59" s="332" t="e">
        <f>IF($A59=0,1,_xll.Ncr_NZS3404(1,$A59,P$52,$B$47,$B$48)/$B$47)</f>
        <v>#VALUE!</v>
      </c>
      <c r="Q59" s="332" t="e">
        <f>IF($A59=0,1,_xll.Ncr_NZS3404(1,$A59,Q$52,$B$47,$B$48)/$B$47)</f>
        <v>#VALUE!</v>
      </c>
      <c r="R59" s="332" t="e">
        <f>IF($A59=0,1,_xll.Ncr_NZS3404(1,$A59,R$52,$B$47,$B$48)/$B$47)</f>
        <v>#VALUE!</v>
      </c>
      <c r="S59" s="332" t="e">
        <f>IF($A59=0,1,_xll.Ncr_NZS3404(1,$A59,S$52,$B$47,$B$48)/$B$47)</f>
        <v>#VALUE!</v>
      </c>
      <c r="T59" s="332" t="e">
        <f>IF($A59=0,1,_xll.Ncr_NZS3404(1,$A59,T$52,$B$47,$B$48)/$B$47)</f>
        <v>#VALUE!</v>
      </c>
    </row>
    <row r="60" spans="1:20" x14ac:dyDescent="0.25">
      <c r="A60" s="389">
        <f t="shared" si="17"/>
        <v>57.48628132257371</v>
      </c>
      <c r="B60" s="332">
        <f t="shared" si="20"/>
        <v>0.7</v>
      </c>
      <c r="C60" s="332">
        <f t="shared" si="19"/>
        <v>1</v>
      </c>
      <c r="D60" s="332"/>
      <c r="E60" s="332">
        <f t="shared" si="18"/>
        <v>0.8961475073297025</v>
      </c>
      <c r="F60" s="332">
        <f t="shared" si="18"/>
        <v>0.84773950632220074</v>
      </c>
      <c r="G60" s="332">
        <f t="shared" si="18"/>
        <v>0.78371007669478532</v>
      </c>
      <c r="H60" s="332">
        <f t="shared" si="18"/>
        <v>0.72468891890484077</v>
      </c>
      <c r="I60" s="332">
        <f t="shared" si="18"/>
        <v>0.64314519407824033</v>
      </c>
      <c r="K60" s="585">
        <f>IF($A60=0,1,_xll.Ncr_BS5950(1,$A60,K$52,$B$47,$B$48)/$B$47)</f>
        <v>0.87436832990805957</v>
      </c>
      <c r="L60" s="585">
        <f>IF($A60=0,1,_xll.Ncr_BS5950(1,$A60,L$52,$B$47,$B$48)/$B$47)</f>
        <v>0.80783499353911925</v>
      </c>
      <c r="M60" s="585">
        <f>IF($A60=0,1,_xll.Ncr_BS5950(1,$A60,M$52,$B$47,$B$48)/$B$47)</f>
        <v>0.73859095056046298</v>
      </c>
      <c r="N60" s="585">
        <f>IF($A60=0,1,_xll.Ncr_BS5950(1,$A60,N$52,$B$47,$B$48)/$B$47)</f>
        <v>0.6713525877137857</v>
      </c>
      <c r="P60" s="332" t="e">
        <f>IF($A60=0,1,_xll.Ncr_NZS3404(1,$A60,P$52,$B$47,$B$48)/$B$47)</f>
        <v>#VALUE!</v>
      </c>
      <c r="Q60" s="332" t="e">
        <f>IF($A60=0,1,_xll.Ncr_NZS3404(1,$A60,Q$52,$B$47,$B$48)/$B$47)</f>
        <v>#VALUE!</v>
      </c>
      <c r="R60" s="332" t="e">
        <f>IF($A60=0,1,_xll.Ncr_NZS3404(1,$A60,R$52,$B$47,$B$48)/$B$47)</f>
        <v>#VALUE!</v>
      </c>
      <c r="S60" s="332" t="e">
        <f>IF($A60=0,1,_xll.Ncr_NZS3404(1,$A60,S$52,$B$47,$B$48)/$B$47)</f>
        <v>#VALUE!</v>
      </c>
      <c r="T60" s="332" t="e">
        <f>IF($A60=0,1,_xll.Ncr_NZS3404(1,$A60,T$52,$B$47,$B$48)/$B$47)</f>
        <v>#VALUE!</v>
      </c>
    </row>
    <row r="61" spans="1:20" x14ac:dyDescent="0.25">
      <c r="A61" s="389">
        <f t="shared" si="17"/>
        <v>65.698607225798526</v>
      </c>
      <c r="B61" s="332">
        <f t="shared" si="20"/>
        <v>0.79999999999999993</v>
      </c>
      <c r="C61" s="332">
        <f t="shared" si="19"/>
        <v>1</v>
      </c>
      <c r="D61" s="332"/>
      <c r="E61" s="332">
        <f t="shared" si="18"/>
        <v>0.85334469790892886</v>
      </c>
      <c r="F61" s="332">
        <f t="shared" si="18"/>
        <v>0.79570325564382749</v>
      </c>
      <c r="G61" s="332">
        <f t="shared" si="18"/>
        <v>0.72445435649036838</v>
      </c>
      <c r="H61" s="332">
        <f t="shared" si="18"/>
        <v>0.66215476637127557</v>
      </c>
      <c r="I61" s="332">
        <f t="shared" si="18"/>
        <v>0.5797163500979986</v>
      </c>
      <c r="K61" s="585">
        <f>IF($A61=0,1,_xll.Ncr_BS5950(1,$A61,K$52,$B$47,$B$48)/$B$47)</f>
        <v>0.82690506228986438</v>
      </c>
      <c r="L61" s="585">
        <f>IF($A61=0,1,_xll.Ncr_BS5950(1,$A61,L$52,$B$47,$B$48)/$B$47)</f>
        <v>0.75076982755814348</v>
      </c>
      <c r="M61" s="585">
        <f>IF($A61=0,1,_xll.Ncr_BS5950(1,$A61,M$52,$B$47,$B$48)/$B$47)</f>
        <v>0.67659700285177815</v>
      </c>
      <c r="N61" s="585">
        <f>IF($A61=0,1,_xll.Ncr_BS5950(1,$A61,N$52,$B$47,$B$48)/$B$47)</f>
        <v>0.6078379377488623</v>
      </c>
      <c r="P61" s="332" t="e">
        <f>IF($A61=0,1,_xll.Ncr_NZS3404(1,$A61,P$52,$B$47,$B$48)/$B$47)</f>
        <v>#VALUE!</v>
      </c>
      <c r="Q61" s="332" t="e">
        <f>IF($A61=0,1,_xll.Ncr_NZS3404(1,$A61,Q$52,$B$47,$B$48)/$B$47)</f>
        <v>#VALUE!</v>
      </c>
      <c r="R61" s="332" t="e">
        <f>IF($A61=0,1,_xll.Ncr_NZS3404(1,$A61,R$52,$B$47,$B$48)/$B$47)</f>
        <v>#VALUE!</v>
      </c>
      <c r="S61" s="332" t="e">
        <f>IF($A61=0,1,_xll.Ncr_NZS3404(1,$A61,S$52,$B$47,$B$48)/$B$47)</f>
        <v>#VALUE!</v>
      </c>
      <c r="T61" s="332" t="e">
        <f>IF($A61=0,1,_xll.Ncr_NZS3404(1,$A61,T$52,$B$47,$B$48)/$B$47)</f>
        <v>#VALUE!</v>
      </c>
    </row>
    <row r="62" spans="1:20" x14ac:dyDescent="0.25">
      <c r="A62" s="389">
        <f t="shared" si="17"/>
        <v>73.910933129023334</v>
      </c>
      <c r="B62" s="332">
        <f t="shared" si="20"/>
        <v>0.89999999999999991</v>
      </c>
      <c r="C62" s="332">
        <f t="shared" si="19"/>
        <v>1</v>
      </c>
      <c r="D62" s="332"/>
      <c r="E62" s="332">
        <f t="shared" si="18"/>
        <v>0.7960539058574797</v>
      </c>
      <c r="F62" s="332">
        <f t="shared" si="18"/>
        <v>0.73394057045110916</v>
      </c>
      <c r="G62" s="332">
        <f t="shared" si="18"/>
        <v>0.66118219456787597</v>
      </c>
      <c r="H62" s="332">
        <f t="shared" si="18"/>
        <v>0.59983067165486181</v>
      </c>
      <c r="I62" s="332">
        <f t="shared" si="18"/>
        <v>0.52078988088060996</v>
      </c>
      <c r="K62" s="585">
        <f>IF($A62=0,1,_xll.Ncr_BS5950(1,$A62,K$52,$B$47,$B$48)/$B$47)</f>
        <v>0.76708812701096563</v>
      </c>
      <c r="L62" s="585">
        <f>IF($A62=0,1,_xll.Ncr_BS5950(1,$A62,L$52,$B$47,$B$48)/$B$47)</f>
        <v>0.68766738584874543</v>
      </c>
      <c r="M62" s="585">
        <f>IF($A62=0,1,_xll.Ncr_BS5950(1,$A62,M$52,$B$47,$B$48)/$B$47)</f>
        <v>0.61390772811927219</v>
      </c>
      <c r="N62" s="585">
        <f>IF($A62=0,1,_xll.Ncr_BS5950(1,$A62,N$52,$B$47,$B$48)/$B$47)</f>
        <v>0.54752722525972852</v>
      </c>
      <c r="P62" s="332" t="e">
        <f>IF($A62=0,1,_xll.Ncr_NZS3404(1,$A62,P$52,$B$47,$B$48)/$B$47)</f>
        <v>#VALUE!</v>
      </c>
      <c r="Q62" s="332" t="e">
        <f>IF($A62=0,1,_xll.Ncr_NZS3404(1,$A62,Q$52,$B$47,$B$48)/$B$47)</f>
        <v>#VALUE!</v>
      </c>
      <c r="R62" s="332" t="e">
        <f>IF($A62=0,1,_xll.Ncr_NZS3404(1,$A62,R$52,$B$47,$B$48)/$B$47)</f>
        <v>#VALUE!</v>
      </c>
      <c r="S62" s="332" t="e">
        <f>IF($A62=0,1,_xll.Ncr_NZS3404(1,$A62,S$52,$B$47,$B$48)/$B$47)</f>
        <v>#VALUE!</v>
      </c>
      <c r="T62" s="332" t="e">
        <f>IF($A62=0,1,_xll.Ncr_NZS3404(1,$A62,T$52,$B$47,$B$48)/$B$47)</f>
        <v>#VALUE!</v>
      </c>
    </row>
    <row r="63" spans="1:20" x14ac:dyDescent="0.25">
      <c r="A63" s="389">
        <f t="shared" si="17"/>
        <v>82.123259032248143</v>
      </c>
      <c r="B63" s="332">
        <f t="shared" si="20"/>
        <v>0.99999999999999989</v>
      </c>
      <c r="C63" s="332">
        <f t="shared" si="19"/>
        <v>1</v>
      </c>
      <c r="D63" s="332"/>
      <c r="E63" s="332">
        <f t="shared" ref="E63:I72" si="21">_xll.Ncr_EC3(1,$A63,E$52,$B$47,$B$48)/$B$47</f>
        <v>0.72534421786841086</v>
      </c>
      <c r="F63" s="332">
        <f t="shared" si="21"/>
        <v>0.66560305928460728</v>
      </c>
      <c r="G63" s="332">
        <f t="shared" si="21"/>
        <v>0.59702319159355288</v>
      </c>
      <c r="H63" s="332">
        <f t="shared" si="21"/>
        <v>0.53993902722384124</v>
      </c>
      <c r="I63" s="332">
        <f t="shared" si="21"/>
        <v>0.46709140284019068</v>
      </c>
      <c r="K63" s="585">
        <f>IF($A63=0,1,_xll.Ncr_BS5950(1,$A63,K$52,$B$47,$B$48)/$B$47)</f>
        <v>0.69730544572167008</v>
      </c>
      <c r="L63" s="585">
        <f>IF($A63=0,1,_xll.Ncr_BS5950(1,$A63,L$52,$B$47,$B$48)/$B$47)</f>
        <v>0.62185613070286561</v>
      </c>
      <c r="M63" s="585">
        <f>IF($A63=0,1,_xll.Ncr_BS5950(1,$A63,M$52,$B$47,$B$48)/$B$47)</f>
        <v>0.55298939431550742</v>
      </c>
      <c r="N63" s="585">
        <f>IF($A63=0,1,_xll.Ncr_BS5950(1,$A63,N$52,$B$47,$B$48)/$B$47)</f>
        <v>0.49165905189799908</v>
      </c>
      <c r="P63" s="332" t="e">
        <f>IF($A63=0,1,_xll.Ncr_NZS3404(1,$A63,P$52,$B$47,$B$48)/$B$47)</f>
        <v>#VALUE!</v>
      </c>
      <c r="Q63" s="332" t="e">
        <f>IF($A63=0,1,_xll.Ncr_NZS3404(1,$A63,Q$52,$B$47,$B$48)/$B$47)</f>
        <v>#VALUE!</v>
      </c>
      <c r="R63" s="332" t="e">
        <f>IF($A63=0,1,_xll.Ncr_NZS3404(1,$A63,R$52,$B$47,$B$48)/$B$47)</f>
        <v>#VALUE!</v>
      </c>
      <c r="S63" s="332" t="e">
        <f>IF($A63=0,1,_xll.Ncr_NZS3404(1,$A63,S$52,$B$47,$B$48)/$B$47)</f>
        <v>#VALUE!</v>
      </c>
      <c r="T63" s="332" t="e">
        <f>IF($A63=0,1,_xll.Ncr_NZS3404(1,$A63,T$52,$B$47,$B$48)/$B$47)</f>
        <v>#VALUE!</v>
      </c>
    </row>
    <row r="64" spans="1:20" x14ac:dyDescent="0.25">
      <c r="A64" s="389">
        <f t="shared" si="17"/>
        <v>90.335584935472966</v>
      </c>
      <c r="B64" s="332">
        <f t="shared" si="20"/>
        <v>1.0999999999999999</v>
      </c>
      <c r="C64" s="332">
        <f t="shared" si="19"/>
        <v>0.82644628099173567</v>
      </c>
      <c r="D64" s="332"/>
      <c r="E64" s="332">
        <f t="shared" si="21"/>
        <v>0.64824763349327896</v>
      </c>
      <c r="F64" s="332">
        <f t="shared" si="21"/>
        <v>0.59600769334742743</v>
      </c>
      <c r="G64" s="332">
        <f t="shared" si="21"/>
        <v>0.53522296745642239</v>
      </c>
      <c r="H64" s="332">
        <f t="shared" si="21"/>
        <v>0.48424723188140995</v>
      </c>
      <c r="I64" s="332">
        <f t="shared" si="21"/>
        <v>0.41891639368619438</v>
      </c>
      <c r="K64" s="585">
        <f>IF($A64=0,1,_xll.Ncr_BS5950(1,$A64,K$52,$B$47,$B$48)/$B$47)</f>
        <v>0.62383974665372188</v>
      </c>
      <c r="L64" s="585">
        <f>IF($A64=0,1,_xll.Ncr_BS5950(1,$A64,L$52,$B$47,$B$48)/$B$47)</f>
        <v>0.55730518768057014</v>
      </c>
      <c r="M64" s="585">
        <f>IF($A64=0,1,_xll.Ncr_BS5950(1,$A64,M$52,$B$47,$B$48)/$B$47)</f>
        <v>0.49592256807989127</v>
      </c>
      <c r="N64" s="585">
        <f>IF($A64=0,1,_xll.Ncr_BS5950(1,$A64,N$52,$B$47,$B$48)/$B$47)</f>
        <v>0.44097361046356959</v>
      </c>
      <c r="P64" s="332" t="e">
        <f>IF($A64=0,1,_xll.Ncr_NZS3404(1,$A64,P$52,$B$47,$B$48)/$B$47)</f>
        <v>#VALUE!</v>
      </c>
      <c r="Q64" s="332" t="e">
        <f>IF($A64=0,1,_xll.Ncr_NZS3404(1,$A64,Q$52,$B$47,$B$48)/$B$47)</f>
        <v>#VALUE!</v>
      </c>
      <c r="R64" s="332" t="e">
        <f>IF($A64=0,1,_xll.Ncr_NZS3404(1,$A64,R$52,$B$47,$B$48)/$B$47)</f>
        <v>#VALUE!</v>
      </c>
      <c r="S64" s="332" t="e">
        <f>IF($A64=0,1,_xll.Ncr_NZS3404(1,$A64,S$52,$B$47,$B$48)/$B$47)</f>
        <v>#VALUE!</v>
      </c>
      <c r="T64" s="332" t="e">
        <f>IF($A64=0,1,_xll.Ncr_NZS3404(1,$A64,T$52,$B$47,$B$48)/$B$47)</f>
        <v>#VALUE!</v>
      </c>
    </row>
    <row r="65" spans="1:20" x14ac:dyDescent="0.25">
      <c r="A65" s="389">
        <f t="shared" si="17"/>
        <v>98.547910838697788</v>
      </c>
      <c r="B65" s="332">
        <f t="shared" si="20"/>
        <v>1.2</v>
      </c>
      <c r="C65" s="332">
        <f t="shared" si="19"/>
        <v>0.69444444444444442</v>
      </c>
      <c r="D65" s="332"/>
      <c r="E65" s="332">
        <f t="shared" si="21"/>
        <v>0.57319985378338922</v>
      </c>
      <c r="F65" s="332">
        <f t="shared" si="21"/>
        <v>0.52999644003048207</v>
      </c>
      <c r="G65" s="332">
        <f t="shared" si="21"/>
        <v>0.4781261136862337</v>
      </c>
      <c r="H65" s="332">
        <f t="shared" si="21"/>
        <v>0.4337694850944333</v>
      </c>
      <c r="I65" s="332">
        <f t="shared" si="21"/>
        <v>0.37618019137094699</v>
      </c>
      <c r="K65" s="585">
        <f>IF($A65=0,1,_xll.Ncr_BS5950(1,$A65,K$52,$B$47,$B$48)/$B$47)</f>
        <v>0.55321421529563286</v>
      </c>
      <c r="L65" s="585">
        <f>IF($A65=0,1,_xll.Ncr_BS5950(1,$A65,L$52,$B$47,$B$48)/$B$47)</f>
        <v>0.49712312033194889</v>
      </c>
      <c r="M65" s="585">
        <f>IF($A65=0,1,_xll.Ncr_BS5950(1,$A65,M$52,$B$47,$B$48)/$B$47)</f>
        <v>0.44398192259963953</v>
      </c>
      <c r="N65" s="585">
        <f>IF($A65=0,1,_xll.Ncr_BS5950(1,$A65,N$52,$B$47,$B$48)/$B$47)</f>
        <v>0.39569777089402186</v>
      </c>
      <c r="P65" s="332" t="e">
        <f>IF($A65=0,1,_xll.Ncr_NZS3404(1,$A65,P$52,$B$47,$B$48)/$B$47)</f>
        <v>#VALUE!</v>
      </c>
      <c r="Q65" s="332" t="e">
        <f>IF($A65=0,1,_xll.Ncr_NZS3404(1,$A65,Q$52,$B$47,$B$48)/$B$47)</f>
        <v>#VALUE!</v>
      </c>
      <c r="R65" s="332" t="e">
        <f>IF($A65=0,1,_xll.Ncr_NZS3404(1,$A65,R$52,$B$47,$B$48)/$B$47)</f>
        <v>#VALUE!</v>
      </c>
      <c r="S65" s="332" t="e">
        <f>IF($A65=0,1,_xll.Ncr_NZS3404(1,$A65,S$52,$B$47,$B$48)/$B$47)</f>
        <v>#VALUE!</v>
      </c>
      <c r="T65" s="332" t="e">
        <f>IF($A65=0,1,_xll.Ncr_NZS3404(1,$A65,T$52,$B$47,$B$48)/$B$47)</f>
        <v>#VALUE!</v>
      </c>
    </row>
    <row r="66" spans="1:20" x14ac:dyDescent="0.25">
      <c r="A66" s="389">
        <f t="shared" si="17"/>
        <v>106.7602367419226</v>
      </c>
      <c r="B66" s="332">
        <f t="shared" si="20"/>
        <v>1.3</v>
      </c>
      <c r="C66" s="332">
        <f t="shared" si="19"/>
        <v>0.59171597633136086</v>
      </c>
      <c r="D66" s="332"/>
      <c r="E66" s="332">
        <f t="shared" si="21"/>
        <v>0.50529073159311966</v>
      </c>
      <c r="F66" s="332">
        <f t="shared" si="21"/>
        <v>0.47033863238929946</v>
      </c>
      <c r="G66" s="332">
        <f t="shared" si="21"/>
        <v>0.4268815563932653</v>
      </c>
      <c r="H66" s="332">
        <f t="shared" si="21"/>
        <v>0.38881796173980432</v>
      </c>
      <c r="I66" s="332">
        <f t="shared" si="21"/>
        <v>0.3385390470834681</v>
      </c>
      <c r="K66" s="585">
        <f>IF($A66=0,1,_xll.Ncr_BS5950(1,$A66,K$52,$B$47,$B$48)/$B$47)</f>
        <v>0.48929267344279254</v>
      </c>
      <c r="L66" s="585">
        <f>IF($A66=0,1,_xll.Ncr_BS5950(1,$A66,L$52,$B$47,$B$48)/$B$47)</f>
        <v>0.44295061730176749</v>
      </c>
      <c r="M66" s="585">
        <f>IF($A66=0,1,_xll.Ncr_BS5950(1,$A66,M$52,$B$47,$B$48)/$B$47)</f>
        <v>0.39764073889879908</v>
      </c>
      <c r="N66" s="585">
        <f>IF($A66=0,1,_xll.Ncr_BS5950(1,$A66,N$52,$B$47,$B$48)/$B$47)</f>
        <v>0.35566881552370844</v>
      </c>
      <c r="P66" s="332" t="e">
        <f>IF($A66=0,1,_xll.Ncr_NZS3404(1,$A66,P$52,$B$47,$B$48)/$B$47)</f>
        <v>#VALUE!</v>
      </c>
      <c r="Q66" s="332" t="e">
        <f>IF($A66=0,1,_xll.Ncr_NZS3404(1,$A66,Q$52,$B$47,$B$48)/$B$47)</f>
        <v>#VALUE!</v>
      </c>
      <c r="R66" s="332" t="e">
        <f>IF($A66=0,1,_xll.Ncr_NZS3404(1,$A66,R$52,$B$47,$B$48)/$B$47)</f>
        <v>#VALUE!</v>
      </c>
      <c r="S66" s="332" t="e">
        <f>IF($A66=0,1,_xll.Ncr_NZS3404(1,$A66,S$52,$B$47,$B$48)/$B$47)</f>
        <v>#VALUE!</v>
      </c>
      <c r="T66" s="332" t="e">
        <f>IF($A66=0,1,_xll.Ncr_NZS3404(1,$A66,T$52,$B$47,$B$48)/$B$47)</f>
        <v>#VALUE!</v>
      </c>
    </row>
    <row r="67" spans="1:20" x14ac:dyDescent="0.25">
      <c r="A67" s="389">
        <f t="shared" si="17"/>
        <v>114.97256264514742</v>
      </c>
      <c r="B67" s="332">
        <f t="shared" si="20"/>
        <v>1.4000000000000001</v>
      </c>
      <c r="C67" s="332">
        <f t="shared" si="19"/>
        <v>0.51020408163265296</v>
      </c>
      <c r="D67" s="332"/>
      <c r="E67" s="332">
        <f t="shared" si="21"/>
        <v>0.44610191006368144</v>
      </c>
      <c r="F67" s="332">
        <f t="shared" si="21"/>
        <v>0.41790025644422596</v>
      </c>
      <c r="G67" s="332">
        <f t="shared" si="21"/>
        <v>0.38169806832123421</v>
      </c>
      <c r="H67" s="332">
        <f t="shared" si="21"/>
        <v>0.34921929899281373</v>
      </c>
      <c r="I67" s="332">
        <f t="shared" si="21"/>
        <v>0.30551169974585057</v>
      </c>
      <c r="K67" s="585">
        <f>IF($A67=0,1,_xll.Ncr_BS5950(1,$A67,K$52,$B$47,$B$48)/$B$47)</f>
        <v>0.43331248160840818</v>
      </c>
      <c r="L67" s="585">
        <f>IF($A67=0,1,_xll.Ncr_BS5950(1,$A67,L$52,$B$47,$B$48)/$B$47)</f>
        <v>0.39520870762840116</v>
      </c>
      <c r="M67" s="585">
        <f>IF($A67=0,1,_xll.Ncr_BS5950(1,$A67,M$52,$B$47,$B$48)/$B$47)</f>
        <v>0.35680086061051575</v>
      </c>
      <c r="N67" s="585">
        <f>IF($A67=0,1,_xll.Ncr_BS5950(1,$A67,N$52,$B$47,$B$48)/$B$47)</f>
        <v>0.32048990651858117</v>
      </c>
      <c r="P67" s="332" t="e">
        <f>IF($A67=0,1,_xll.Ncr_NZS3404(1,$A67,P$52,$B$47,$B$48)/$B$47)</f>
        <v>#VALUE!</v>
      </c>
      <c r="Q67" s="332" t="e">
        <f>IF($A67=0,1,_xll.Ncr_NZS3404(1,$A67,Q$52,$B$47,$B$48)/$B$47)</f>
        <v>#VALUE!</v>
      </c>
      <c r="R67" s="332" t="e">
        <f>IF($A67=0,1,_xll.Ncr_NZS3404(1,$A67,R$52,$B$47,$B$48)/$B$47)</f>
        <v>#VALUE!</v>
      </c>
      <c r="S67" s="332" t="e">
        <f>IF($A67=0,1,_xll.Ncr_NZS3404(1,$A67,S$52,$B$47,$B$48)/$B$47)</f>
        <v>#VALUE!</v>
      </c>
      <c r="T67" s="332" t="e">
        <f>IF($A67=0,1,_xll.Ncr_NZS3404(1,$A67,T$52,$B$47,$B$48)/$B$47)</f>
        <v>#VALUE!</v>
      </c>
    </row>
    <row r="68" spans="1:20" x14ac:dyDescent="0.25">
      <c r="A68" s="389">
        <f t="shared" si="17"/>
        <v>123.18488854837226</v>
      </c>
      <c r="B68" s="332">
        <f t="shared" si="20"/>
        <v>1.5000000000000002</v>
      </c>
      <c r="C68" s="332">
        <f t="shared" si="19"/>
        <v>0.44444444444444425</v>
      </c>
      <c r="D68" s="332"/>
      <c r="E68" s="332">
        <f t="shared" si="21"/>
        <v>0.39533597561933448</v>
      </c>
      <c r="F68" s="332">
        <f t="shared" si="21"/>
        <v>0.37243722559437292</v>
      </c>
      <c r="G68" s="332">
        <f t="shared" si="21"/>
        <v>0.34223461395649979</v>
      </c>
      <c r="H68" s="332">
        <f t="shared" si="21"/>
        <v>0.31453502185079085</v>
      </c>
      <c r="I68" s="332">
        <f t="shared" si="21"/>
        <v>0.27657033774752299</v>
      </c>
      <c r="K68" s="585">
        <f>IF($A68=0,1,_xll.Ncr_BS5950(1,$A68,K$52,$B$47,$B$48)/$B$47)</f>
        <v>0.38502938708848378</v>
      </c>
      <c r="L68" s="585">
        <f>IF($A68=0,1,_xll.Ncr_BS5950(1,$A68,L$52,$B$47,$B$48)/$B$47)</f>
        <v>0.35359886394420625</v>
      </c>
      <c r="M68" s="585">
        <f>IF($A68=0,1,_xll.Ncr_BS5950(1,$A68,M$52,$B$47,$B$48)/$B$47)</f>
        <v>0.32104474333312399</v>
      </c>
      <c r="N68" s="585">
        <f>IF($A68=0,1,_xll.Ncr_BS5950(1,$A68,N$52,$B$47,$B$48)/$B$47)</f>
        <v>0.28965757150068955</v>
      </c>
      <c r="P68" s="332" t="e">
        <f>IF($A68=0,1,_xll.Ncr_NZS3404(1,$A68,P$52,$B$47,$B$48)/$B$47)</f>
        <v>#VALUE!</v>
      </c>
      <c r="Q68" s="332" t="e">
        <f>IF($A68=0,1,_xll.Ncr_NZS3404(1,$A68,Q$52,$B$47,$B$48)/$B$47)</f>
        <v>#VALUE!</v>
      </c>
      <c r="R68" s="332" t="e">
        <f>IF($A68=0,1,_xll.Ncr_NZS3404(1,$A68,R$52,$B$47,$B$48)/$B$47)</f>
        <v>#VALUE!</v>
      </c>
      <c r="S68" s="332" t="e">
        <f>IF($A68=0,1,_xll.Ncr_NZS3404(1,$A68,S$52,$B$47,$B$48)/$B$47)</f>
        <v>#VALUE!</v>
      </c>
      <c r="T68" s="332" t="e">
        <f>IF($A68=0,1,_xll.Ncr_NZS3404(1,$A68,T$52,$B$47,$B$48)/$B$47)</f>
        <v>#VALUE!</v>
      </c>
    </row>
    <row r="69" spans="1:20" x14ac:dyDescent="0.25">
      <c r="A69" s="389">
        <f t="shared" si="17"/>
        <v>131.39721445159708</v>
      </c>
      <c r="B69" s="332">
        <f t="shared" si="20"/>
        <v>1.6000000000000003</v>
      </c>
      <c r="C69" s="332">
        <f t="shared" si="19"/>
        <v>0.39062499999999983</v>
      </c>
      <c r="D69" s="332"/>
      <c r="E69" s="332">
        <f t="shared" si="21"/>
        <v>0.3520052790403671</v>
      </c>
      <c r="F69" s="332">
        <f t="shared" si="21"/>
        <v>0.33322985856824489</v>
      </c>
      <c r="G69" s="332">
        <f t="shared" si="21"/>
        <v>0.30790397212191112</v>
      </c>
      <c r="H69" s="332">
        <f t="shared" si="21"/>
        <v>0.28422045202358309</v>
      </c>
      <c r="I69" s="332">
        <f t="shared" si="21"/>
        <v>0.25119726963029099</v>
      </c>
      <c r="K69" s="585">
        <f>IF($A69=0,1,_xll.Ncr_BS5950(1,$A69,K$52,$B$47,$B$48)/$B$47)</f>
        <v>0.34360537378916062</v>
      </c>
      <c r="L69" s="585">
        <f>IF($A69=0,1,_xll.Ncr_BS5950(1,$A69,L$52,$B$47,$B$48)/$B$47)</f>
        <v>0.31750031656948802</v>
      </c>
      <c r="M69" s="585">
        <f>IF($A69=0,1,_xll.Ncr_BS5950(1,$A69,M$52,$B$47,$B$48)/$B$47)</f>
        <v>0.28982081387762793</v>
      </c>
      <c r="N69" s="585">
        <f>IF($A69=0,1,_xll.Ncr_BS5950(1,$A69,N$52,$B$47,$B$48)/$B$47)</f>
        <v>0.26264595185409079</v>
      </c>
      <c r="P69" s="332" t="e">
        <f>IF($A69=0,1,_xll.Ncr_NZS3404(1,$A69,P$52,$B$47,$B$48)/$B$47)</f>
        <v>#VALUE!</v>
      </c>
      <c r="Q69" s="332" t="e">
        <f>IF($A69=0,1,_xll.Ncr_NZS3404(1,$A69,Q$52,$B$47,$B$48)/$B$47)</f>
        <v>#VALUE!</v>
      </c>
      <c r="R69" s="332" t="e">
        <f>IF($A69=0,1,_xll.Ncr_NZS3404(1,$A69,R$52,$B$47,$B$48)/$B$47)</f>
        <v>#VALUE!</v>
      </c>
      <c r="S69" s="332" t="e">
        <f>IF($A69=0,1,_xll.Ncr_NZS3404(1,$A69,S$52,$B$47,$B$48)/$B$47)</f>
        <v>#VALUE!</v>
      </c>
      <c r="T69" s="332" t="e">
        <f>IF($A69=0,1,_xll.Ncr_NZS3404(1,$A69,T$52,$B$47,$B$48)/$B$47)</f>
        <v>#VALUE!</v>
      </c>
    </row>
    <row r="70" spans="1:20" x14ac:dyDescent="0.25">
      <c r="A70" s="389">
        <f t="shared" si="17"/>
        <v>139.60954035482189</v>
      </c>
      <c r="B70" s="332">
        <f t="shared" si="20"/>
        <v>1.7000000000000004</v>
      </c>
      <c r="C70" s="332">
        <f t="shared" si="19"/>
        <v>0.34602076124567455</v>
      </c>
      <c r="D70" s="332"/>
      <c r="E70" s="332">
        <f t="shared" si="21"/>
        <v>0.31499348589967435</v>
      </c>
      <c r="F70" s="332">
        <f t="shared" si="21"/>
        <v>0.29943380270109754</v>
      </c>
      <c r="G70" s="332">
        <f t="shared" si="21"/>
        <v>0.27805397772425811</v>
      </c>
      <c r="H70" s="332">
        <f t="shared" si="21"/>
        <v>0.25771924710128702</v>
      </c>
      <c r="I70" s="332">
        <f t="shared" si="21"/>
        <v>0.22891487946176922</v>
      </c>
      <c r="K70" s="585">
        <f>IF($A70=0,1,_xll.Ncr_BS5950(1,$A70,K$52,$B$47,$B$48)/$B$47)</f>
        <v>0.30806582030246904</v>
      </c>
      <c r="L70" s="585">
        <f>IF($A70=0,1,_xll.Ncr_BS5950(1,$A70,L$52,$B$47,$B$48)/$B$47)</f>
        <v>0.28620332548506111</v>
      </c>
      <c r="M70" s="585">
        <f>IF($A70=0,1,_xll.Ncr_BS5950(1,$A70,M$52,$B$47,$B$48)/$B$47)</f>
        <v>0.26255438481687304</v>
      </c>
      <c r="N70" s="585">
        <f>IF($A70=0,1,_xll.Ncr_BS5950(1,$A70,N$52,$B$47,$B$48)/$B$47)</f>
        <v>0.23895426211927609</v>
      </c>
      <c r="P70" s="332" t="e">
        <f>IF($A70=0,1,_xll.Ncr_NZS3404(1,$A70,P$52,$B$47,$B$48)/$B$47)</f>
        <v>#VALUE!</v>
      </c>
      <c r="Q70" s="332" t="e">
        <f>IF($A70=0,1,_xll.Ncr_NZS3404(1,$A70,Q$52,$B$47,$B$48)/$B$47)</f>
        <v>#VALUE!</v>
      </c>
      <c r="R70" s="332" t="e">
        <f>IF($A70=0,1,_xll.Ncr_NZS3404(1,$A70,R$52,$B$47,$B$48)/$B$47)</f>
        <v>#VALUE!</v>
      </c>
      <c r="S70" s="332" t="e">
        <f>IF($A70=0,1,_xll.Ncr_NZS3404(1,$A70,S$52,$B$47,$B$48)/$B$47)</f>
        <v>#VALUE!</v>
      </c>
      <c r="T70" s="332" t="e">
        <f>IF($A70=0,1,_xll.Ncr_NZS3404(1,$A70,T$52,$B$47,$B$48)/$B$47)</f>
        <v>#VALUE!</v>
      </c>
    </row>
    <row r="71" spans="1:20" x14ac:dyDescent="0.25">
      <c r="A71" s="389">
        <f t="shared" si="17"/>
        <v>147.82186625804673</v>
      </c>
      <c r="B71" s="332">
        <f t="shared" si="20"/>
        <v>1.8000000000000005</v>
      </c>
      <c r="C71" s="332">
        <f t="shared" si="19"/>
        <v>0.30864197530864185</v>
      </c>
      <c r="D71" s="332"/>
      <c r="E71" s="332">
        <f t="shared" si="21"/>
        <v>0.28326953031756202</v>
      </c>
      <c r="F71" s="332">
        <f t="shared" si="21"/>
        <v>0.27023923911780057</v>
      </c>
      <c r="G71" s="332">
        <f t="shared" si="21"/>
        <v>0.25205870162379812</v>
      </c>
      <c r="H71" s="332">
        <f t="shared" si="21"/>
        <v>0.2345115312092142</v>
      </c>
      <c r="I71" s="332">
        <f t="shared" si="21"/>
        <v>0.20929810417345043</v>
      </c>
      <c r="K71" s="585">
        <f>IF($A71=0,1,_xll.Ncr_BS5950(1,$A71,K$52,$B$47,$B$48)/$B$47)</f>
        <v>0.27749068113910086</v>
      </c>
      <c r="L71" s="585">
        <f>IF($A71=0,1,_xll.Ncr_BS5950(1,$A71,L$52,$B$47,$B$48)/$B$47)</f>
        <v>0.25902345366018004</v>
      </c>
      <c r="M71" s="585">
        <f>IF($A71=0,1,_xll.Ncr_BS5950(1,$A71,M$52,$B$47,$B$48)/$B$47)</f>
        <v>0.23870435686961197</v>
      </c>
      <c r="N71" s="585">
        <f>IF($A71=0,1,_xll.Ncr_BS5950(1,$A71,N$52,$B$47,$B$48)/$B$47)</f>
        <v>0.21812919097602068</v>
      </c>
      <c r="P71" s="332" t="e">
        <f>IF($A71=0,1,_xll.Ncr_NZS3404(1,$A71,P$52,$B$47,$B$48)/$B$47)</f>
        <v>#VALUE!</v>
      </c>
      <c r="Q71" s="332" t="e">
        <f>IF($A71=0,1,_xll.Ncr_NZS3404(1,$A71,Q$52,$B$47,$B$48)/$B$47)</f>
        <v>#VALUE!</v>
      </c>
      <c r="R71" s="332" t="e">
        <f>IF($A71=0,1,_xll.Ncr_NZS3404(1,$A71,R$52,$B$47,$B$48)/$B$47)</f>
        <v>#VALUE!</v>
      </c>
      <c r="S71" s="332" t="e">
        <f>IF($A71=0,1,_xll.Ncr_NZS3404(1,$A71,S$52,$B$47,$B$48)/$B$47)</f>
        <v>#VALUE!</v>
      </c>
      <c r="T71" s="332" t="e">
        <f>IF($A71=0,1,_xll.Ncr_NZS3404(1,$A71,T$52,$B$47,$B$48)/$B$47)</f>
        <v>#VALUE!</v>
      </c>
    </row>
    <row r="72" spans="1:20" x14ac:dyDescent="0.25">
      <c r="A72" s="389">
        <f t="shared" si="17"/>
        <v>156.03419216127153</v>
      </c>
      <c r="B72" s="332">
        <f t="shared" si="20"/>
        <v>1.9000000000000006</v>
      </c>
      <c r="C72" s="332">
        <f t="shared" si="19"/>
        <v>0.27700831024930733</v>
      </c>
      <c r="D72" s="332"/>
      <c r="E72" s="332">
        <f t="shared" si="21"/>
        <v>0.25594936408063429</v>
      </c>
      <c r="F72" s="332">
        <f t="shared" si="21"/>
        <v>0.24492972947249564</v>
      </c>
      <c r="G72" s="332">
        <f t="shared" si="21"/>
        <v>0.22935660667274879</v>
      </c>
      <c r="H72" s="332">
        <f t="shared" si="21"/>
        <v>0.21413382128118794</v>
      </c>
      <c r="I72" s="332">
        <f t="shared" si="21"/>
        <v>0.19197675738971734</v>
      </c>
      <c r="K72" s="585">
        <f>IF($A72=0,1,_xll.Ncr_BS5950(1,$A72,K$52,$B$47,$B$48)/$B$47)</f>
        <v>0.2510778819337911</v>
      </c>
      <c r="L72" s="585">
        <f>IF($A72=0,1,_xll.Ncr_BS5950(1,$A72,L$52,$B$47,$B$48)/$B$47)</f>
        <v>0.23534799041702845</v>
      </c>
      <c r="M72" s="585">
        <f>IF($A72=0,1,_xll.Ncr_BS5950(1,$A72,M$52,$B$47,$B$48)/$B$47)</f>
        <v>0.21778705097799103</v>
      </c>
      <c r="N72" s="585">
        <f>IF($A72=0,1,_xll.Ncr_BS5950(1,$A72,N$52,$B$47,$B$48)/$B$47)</f>
        <v>0.1997723311679501</v>
      </c>
      <c r="P72" s="332" t="e">
        <f>IF($A72=0,1,_xll.Ncr_NZS3404(1,$A72,P$52,$B$47,$B$48)/$B$47)</f>
        <v>#VALUE!</v>
      </c>
      <c r="Q72" s="332" t="e">
        <f>IF($A72=0,1,_xll.Ncr_NZS3404(1,$A72,Q$52,$B$47,$B$48)/$B$47)</f>
        <v>#VALUE!</v>
      </c>
      <c r="R72" s="332" t="e">
        <f>IF($A72=0,1,_xll.Ncr_NZS3404(1,$A72,R$52,$B$47,$B$48)/$B$47)</f>
        <v>#VALUE!</v>
      </c>
      <c r="S72" s="332" t="e">
        <f>IF($A72=0,1,_xll.Ncr_NZS3404(1,$A72,S$52,$B$47,$B$48)/$B$47)</f>
        <v>#VALUE!</v>
      </c>
      <c r="T72" s="332" t="e">
        <f>IF($A72=0,1,_xll.Ncr_NZS3404(1,$A72,T$52,$B$47,$B$48)/$B$47)</f>
        <v>#VALUE!</v>
      </c>
    </row>
    <row r="73" spans="1:20" x14ac:dyDescent="0.25">
      <c r="A73" s="389">
        <f t="shared" si="17"/>
        <v>164.24651806449637</v>
      </c>
      <c r="B73" s="332">
        <f t="shared" si="20"/>
        <v>2.0000000000000004</v>
      </c>
      <c r="C73" s="332">
        <f t="shared" si="19"/>
        <v>0.24999999999999989</v>
      </c>
      <c r="D73" s="332"/>
      <c r="E73" s="332">
        <f t="shared" ref="E73:I83" si="22">_xll.Ncr_EC3(1,$A73,E$52,$B$47,$B$48)/$B$47</f>
        <v>0.23229850693474247</v>
      </c>
      <c r="F73" s="332">
        <f t="shared" si="22"/>
        <v>0.2228948370164196</v>
      </c>
      <c r="G73" s="332">
        <f t="shared" si="22"/>
        <v>0.20946112958425722</v>
      </c>
      <c r="H73" s="332">
        <f t="shared" si="22"/>
        <v>0.19618361957918387</v>
      </c>
      <c r="I73" s="332">
        <f t="shared" si="22"/>
        <v>0.17663258077293079</v>
      </c>
      <c r="K73" s="585">
        <f>IF($A73=0,1,_xll.Ncr_BS5950(1,$A73,K$52,$B$47,$B$48)/$B$47)</f>
        <v>0.22815247013106088</v>
      </c>
      <c r="L73" s="585">
        <f>IF($A73=0,1,_xll.Ncr_BS5950(1,$A73,L$52,$B$47,$B$48)/$B$47)</f>
        <v>0.21464832045651627</v>
      </c>
      <c r="M73" s="585">
        <f>IF($A73=0,1,_xll.Ncr_BS5950(1,$A73,M$52,$B$47,$B$48)/$B$47)</f>
        <v>0.19938226584763918</v>
      </c>
      <c r="N73" s="585">
        <f>IF($A73=0,1,_xll.Ncr_BS5950(1,$A73,N$52,$B$47,$B$48)/$B$47)</f>
        <v>0.18353955957764895</v>
      </c>
      <c r="P73" s="332" t="e">
        <f>IF($A73=0,1,_xll.Ncr_NZS3404(1,$A73,P$52,$B$47,$B$48)/$B$47)</f>
        <v>#VALUE!</v>
      </c>
      <c r="Q73" s="332" t="e">
        <f>IF($A73=0,1,_xll.Ncr_NZS3404(1,$A73,Q$52,$B$47,$B$48)/$B$47)</f>
        <v>#VALUE!</v>
      </c>
      <c r="R73" s="332" t="e">
        <f>IF($A73=0,1,_xll.Ncr_NZS3404(1,$A73,R$52,$B$47,$B$48)/$B$47)</f>
        <v>#VALUE!</v>
      </c>
      <c r="S73" s="332" t="e">
        <f>IF($A73=0,1,_xll.Ncr_NZS3404(1,$A73,S$52,$B$47,$B$48)/$B$47)</f>
        <v>#VALUE!</v>
      </c>
      <c r="T73" s="332" t="e">
        <f>IF($A73=0,1,_xll.Ncr_NZS3404(1,$A73,T$52,$B$47,$B$48)/$B$47)</f>
        <v>#VALUE!</v>
      </c>
    </row>
    <row r="74" spans="1:20" x14ac:dyDescent="0.25">
      <c r="A74" s="389">
        <f t="shared" si="17"/>
        <v>172.45884396772118</v>
      </c>
      <c r="B74" s="332">
        <f t="shared" si="20"/>
        <v>2.1000000000000005</v>
      </c>
      <c r="C74" s="332">
        <f t="shared" si="19"/>
        <v>0.22675736961451237</v>
      </c>
      <c r="D74" s="332"/>
      <c r="E74" s="332">
        <f t="shared" si="22"/>
        <v>0.2117146672016216</v>
      </c>
      <c r="F74" s="332">
        <f t="shared" si="22"/>
        <v>0.20362371049066638</v>
      </c>
      <c r="G74" s="332">
        <f t="shared" si="22"/>
        <v>0.19195833814422761</v>
      </c>
      <c r="H74" s="332">
        <f t="shared" si="22"/>
        <v>0.18031649803385652</v>
      </c>
      <c r="I74" s="332">
        <f t="shared" si="22"/>
        <v>0.16299396089625756</v>
      </c>
      <c r="K74" s="585">
        <f>IF($A74=0,1,_xll.Ncr_BS5950(1,$A74,K$52,$B$47,$B$48)/$B$47)</f>
        <v>0.20815540096645632</v>
      </c>
      <c r="L74" s="585">
        <f>IF($A74=0,1,_xll.Ncr_BS5950(1,$A74,L$52,$B$47,$B$48)/$B$47)</f>
        <v>0.19647691426781497</v>
      </c>
      <c r="M74" s="585">
        <f>IF($A74=0,1,_xll.Ncr_BS5950(1,$A74,M$52,$B$47,$B$48)/$B$47)</f>
        <v>0.18313066913510997</v>
      </c>
      <c r="N74" s="585">
        <f>IF($A74=0,1,_xll.Ncr_BS5950(1,$A74,N$52,$B$47,$B$48)/$B$47)</f>
        <v>0.16913659178347698</v>
      </c>
      <c r="P74" s="332" t="e">
        <f>IF($A74=0,1,_xll.Ncr_NZS3404(1,$A74,P$52,$B$47,$B$48)/$B$47)</f>
        <v>#VALUE!</v>
      </c>
      <c r="Q74" s="332" t="e">
        <f>IF($A74=0,1,_xll.Ncr_NZS3404(1,$A74,Q$52,$B$47,$B$48)/$B$47)</f>
        <v>#VALUE!</v>
      </c>
      <c r="R74" s="332" t="e">
        <f>IF($A74=0,1,_xll.Ncr_NZS3404(1,$A74,R$52,$B$47,$B$48)/$B$47)</f>
        <v>#VALUE!</v>
      </c>
      <c r="S74" s="332" t="e">
        <f>IF($A74=0,1,_xll.Ncr_NZS3404(1,$A74,S$52,$B$47,$B$48)/$B$47)</f>
        <v>#VALUE!</v>
      </c>
      <c r="T74" s="332" t="e">
        <f>IF($A74=0,1,_xll.Ncr_NZS3404(1,$A74,T$52,$B$47,$B$48)/$B$47)</f>
        <v>#VALUE!</v>
      </c>
    </row>
    <row r="75" spans="1:20" x14ac:dyDescent="0.25">
      <c r="A75" s="389">
        <f t="shared" si="17"/>
        <v>180.67116987094599</v>
      </c>
      <c r="B75" s="332">
        <f t="shared" si="20"/>
        <v>2.2000000000000006</v>
      </c>
      <c r="C75" s="332">
        <f t="shared" si="19"/>
        <v>0.20661157024793378</v>
      </c>
      <c r="D75" s="332"/>
      <c r="E75" s="332">
        <f t="shared" si="22"/>
        <v>0.19370598813476009</v>
      </c>
      <c r="F75" s="332">
        <f t="shared" si="22"/>
        <v>0.18669221780841705</v>
      </c>
      <c r="G75" s="332">
        <f t="shared" si="22"/>
        <v>0.17649935362965691</v>
      </c>
      <c r="H75" s="332">
        <f t="shared" si="22"/>
        <v>0.16624003262149939</v>
      </c>
      <c r="I75" s="332">
        <f t="shared" si="22"/>
        <v>0.1508299481820729</v>
      </c>
      <c r="K75" s="585">
        <f>IF($A75=0,1,_xll.Ncr_BS5950(1,$A75,K$52,$B$47,$B$48)/$B$47)</f>
        <v>0.19062648167093138</v>
      </c>
      <c r="L75" s="585">
        <f>IF($A75=0,1,_xll.Ncr_BS5950(1,$A75,L$52,$B$47,$B$48)/$B$47)</f>
        <v>0.18045836865863296</v>
      </c>
      <c r="M75" s="585">
        <f>IF($A75=0,1,_xll.Ncr_BS5950(1,$A75,M$52,$B$47,$B$48)/$B$47)</f>
        <v>0.16872754640407872</v>
      </c>
      <c r="N75" s="585">
        <f>IF($A75=0,1,_xll.Ncr_BS5950(1,$A75,N$52,$B$47,$B$48)/$B$47)</f>
        <v>0.15631309242988892</v>
      </c>
      <c r="P75" s="332" t="e">
        <f>IF($A75=0,1,_xll.Ncr_NZS3404(1,$A75,P$52,$B$47,$B$48)/$B$47)</f>
        <v>#VALUE!</v>
      </c>
      <c r="Q75" s="332" t="e">
        <f>IF($A75=0,1,_xll.Ncr_NZS3404(1,$A75,Q$52,$B$47,$B$48)/$B$47)</f>
        <v>#VALUE!</v>
      </c>
      <c r="R75" s="332" t="e">
        <f>IF($A75=0,1,_xll.Ncr_NZS3404(1,$A75,R$52,$B$47,$B$48)/$B$47)</f>
        <v>#VALUE!</v>
      </c>
      <c r="S75" s="332" t="e">
        <f>IF($A75=0,1,_xll.Ncr_NZS3404(1,$A75,S$52,$B$47,$B$48)/$B$47)</f>
        <v>#VALUE!</v>
      </c>
      <c r="T75" s="332" t="e">
        <f>IF($A75=0,1,_xll.Ncr_NZS3404(1,$A75,T$52,$B$47,$B$48)/$B$47)</f>
        <v>#VALUE!</v>
      </c>
    </row>
    <row r="76" spans="1:20" x14ac:dyDescent="0.25">
      <c r="A76" s="389">
        <f t="shared" si="17"/>
        <v>188.88349577417083</v>
      </c>
      <c r="B76" s="332">
        <f t="shared" ref="B76:B83" si="23">B75+0.1</f>
        <v>2.3000000000000007</v>
      </c>
      <c r="C76" s="332">
        <f t="shared" si="19"/>
        <v>0.18903591682419646</v>
      </c>
      <c r="D76" s="332"/>
      <c r="E76" s="332">
        <f t="shared" si="22"/>
        <v>0.17787060203405283</v>
      </c>
      <c r="F76" s="332">
        <f t="shared" si="22"/>
        <v>0.17174908435574596</v>
      </c>
      <c r="G76" s="332">
        <f t="shared" si="22"/>
        <v>0.16279131206278011</v>
      </c>
      <c r="H76" s="332">
        <f t="shared" si="22"/>
        <v>0.15370685426826841</v>
      </c>
      <c r="I76" s="332">
        <f t="shared" si="22"/>
        <v>0.13994441923900486</v>
      </c>
      <c r="K76" s="585">
        <f>IF($A76=0,1,_xll.Ncr_BS5950(1,$A76,K$52,$B$47,$B$48)/$B$47)</f>
        <v>0.17518728035284251</v>
      </c>
      <c r="L76" s="585">
        <f>IF($A76=0,1,_xll.Ncr_BS5950(1,$A76,L$52,$B$47,$B$48)/$B$47)</f>
        <v>0.16627895120973424</v>
      </c>
      <c r="M76" s="585">
        <f>IF($A76=0,1,_xll.Ncr_BS5950(1,$A76,M$52,$B$47,$B$48)/$B$47)</f>
        <v>0.15591549630258023</v>
      </c>
      <c r="N76" s="585">
        <f>IF($A76=0,1,_xll.Ncr_BS5950(1,$A76,N$52,$B$47,$B$48)/$B$47)</f>
        <v>0.14485659032513054</v>
      </c>
      <c r="P76" s="332" t="e">
        <f>IF($A76=0,1,_xll.Ncr_NZS3404(1,$A76,P$52,$B$47,$B$48)/$B$47)</f>
        <v>#VALUE!</v>
      </c>
      <c r="Q76" s="332" t="e">
        <f>IF($A76=0,1,_xll.Ncr_NZS3404(1,$A76,Q$52,$B$47,$B$48)/$B$47)</f>
        <v>#VALUE!</v>
      </c>
      <c r="R76" s="332" t="e">
        <f>IF($A76=0,1,_xll.Ncr_NZS3404(1,$A76,R$52,$B$47,$B$48)/$B$47)</f>
        <v>#VALUE!</v>
      </c>
      <c r="S76" s="332" t="e">
        <f>IF($A76=0,1,_xll.Ncr_NZS3404(1,$A76,S$52,$B$47,$B$48)/$B$47)</f>
        <v>#VALUE!</v>
      </c>
      <c r="T76" s="332" t="e">
        <f>IF($A76=0,1,_xll.Ncr_NZS3404(1,$A76,T$52,$B$47,$B$48)/$B$47)</f>
        <v>#VALUE!</v>
      </c>
    </row>
    <row r="77" spans="1:20" x14ac:dyDescent="0.25">
      <c r="A77" s="389">
        <f t="shared" si="17"/>
        <v>197.09582167739563</v>
      </c>
      <c r="B77" s="332">
        <f t="shared" si="23"/>
        <v>2.4000000000000008</v>
      </c>
      <c r="C77" s="332">
        <f t="shared" si="19"/>
        <v>0.17361111111111099</v>
      </c>
      <c r="D77" s="332"/>
      <c r="E77" s="332">
        <f t="shared" si="22"/>
        <v>0.16387919531410031</v>
      </c>
      <c r="F77" s="332">
        <f t="shared" si="22"/>
        <v>0.15850318009707989</v>
      </c>
      <c r="G77" s="332">
        <f t="shared" si="22"/>
        <v>0.15058858052243954</v>
      </c>
      <c r="H77" s="332">
        <f t="shared" si="22"/>
        <v>0.14250790787557266</v>
      </c>
      <c r="I77" s="332">
        <f t="shared" si="22"/>
        <v>0.13017076718531462</v>
      </c>
      <c r="K77" s="585">
        <f>IF($A77=0,1,_xll.Ncr_BS5950(1,$A77,K$52,$B$47,$B$48)/$B$47)</f>
        <v>0.16152603680302374</v>
      </c>
      <c r="L77" s="585">
        <f>IF($A77=0,1,_xll.Ncr_BS5950(1,$A77,L$52,$B$47,$B$48)/$B$47)</f>
        <v>0.15367659112220472</v>
      </c>
      <c r="M77" s="585">
        <f>IF($A77=0,1,_xll.Ncr_BS5950(1,$A77,M$52,$B$47,$B$48)/$B$47)</f>
        <v>0.14447730856922522</v>
      </c>
      <c r="N77" s="585">
        <f>IF($A77=0,1,_xll.Ncr_BS5950(1,$A77,N$52,$B$47,$B$48)/$B$47)</f>
        <v>0.1345867954842084</v>
      </c>
      <c r="P77" s="332" t="e">
        <f>IF($A77=0,1,_xll.Ncr_NZS3404(1,$A77,P$52,$B$47,$B$48)/$B$47)</f>
        <v>#VALUE!</v>
      </c>
      <c r="Q77" s="332" t="e">
        <f>IF($A77=0,1,_xll.Ncr_NZS3404(1,$A77,Q$52,$B$47,$B$48)/$B$47)</f>
        <v>#VALUE!</v>
      </c>
      <c r="R77" s="332" t="e">
        <f>IF($A77=0,1,_xll.Ncr_NZS3404(1,$A77,R$52,$B$47,$B$48)/$B$47)</f>
        <v>#VALUE!</v>
      </c>
      <c r="S77" s="332" t="e">
        <f>IF($A77=0,1,_xll.Ncr_NZS3404(1,$A77,S$52,$B$47,$B$48)/$B$47)</f>
        <v>#VALUE!</v>
      </c>
      <c r="T77" s="332" t="e">
        <f>IF($A77=0,1,_xll.Ncr_NZS3404(1,$A77,T$52,$B$47,$B$48)/$B$47)</f>
        <v>#VALUE!</v>
      </c>
    </row>
    <row r="78" spans="1:20" x14ac:dyDescent="0.25">
      <c r="A78" s="389">
        <f t="shared" si="17"/>
        <v>205.30814758062047</v>
      </c>
      <c r="B78" s="332">
        <f t="shared" si="23"/>
        <v>2.5000000000000009</v>
      </c>
      <c r="C78" s="332">
        <f t="shared" si="19"/>
        <v>0.15999999999999989</v>
      </c>
      <c r="D78" s="332"/>
      <c r="E78" s="332">
        <f t="shared" si="22"/>
        <v>0.15146075719463958</v>
      </c>
      <c r="F78" s="332">
        <f t="shared" si="22"/>
        <v>0.14671262253605155</v>
      </c>
      <c r="G78" s="332">
        <f t="shared" si="22"/>
        <v>0.13968491252797172</v>
      </c>
      <c r="H78" s="332">
        <f t="shared" si="22"/>
        <v>0.13246638315114798</v>
      </c>
      <c r="I78" s="332">
        <f t="shared" si="22"/>
        <v>0.12136725575845975</v>
      </c>
      <c r="K78" s="585">
        <f>IF($A78=0,1,_xll.Ncr_BS5950(1,$A78,K$52,$B$47,$B$48)/$B$47)</f>
        <v>0.14938504632860378</v>
      </c>
      <c r="L78" s="585">
        <f>IF($A78=0,1,_xll.Ncr_BS5950(1,$A78,L$52,$B$47,$B$48)/$B$47)</f>
        <v>0.14243204520772337</v>
      </c>
      <c r="M78" s="585">
        <f>IF($A78=0,1,_xll.Ncr_BS5950(1,$A78,M$52,$B$47,$B$48)/$B$47)</f>
        <v>0.13422954721092428</v>
      </c>
      <c r="N78" s="585">
        <f>IF($A78=0,1,_xll.Ncr_BS5950(1,$A78,N$52,$B$47,$B$48)/$B$47)</f>
        <v>0.12535055893199312</v>
      </c>
      <c r="P78" s="332" t="e">
        <f>IF($A78=0,1,_xll.Ncr_NZS3404(1,$A78,P$52,$B$47,$B$48)/$B$47)</f>
        <v>#VALUE!</v>
      </c>
      <c r="Q78" s="332" t="e">
        <f>IF($A78=0,1,_xll.Ncr_NZS3404(1,$A78,Q$52,$B$47,$B$48)/$B$47)</f>
        <v>#VALUE!</v>
      </c>
      <c r="R78" s="332" t="e">
        <f>IF($A78=0,1,_xll.Ncr_NZS3404(1,$A78,R$52,$B$47,$B$48)/$B$47)</f>
        <v>#VALUE!</v>
      </c>
      <c r="S78" s="332" t="e">
        <f>IF($A78=0,1,_xll.Ncr_NZS3404(1,$A78,S$52,$B$47,$B$48)/$B$47)</f>
        <v>#VALUE!</v>
      </c>
      <c r="T78" s="332" t="e">
        <f>IF($A78=0,1,_xll.Ncr_NZS3404(1,$A78,T$52,$B$47,$B$48)/$B$47)</f>
        <v>#VALUE!</v>
      </c>
    </row>
    <row r="79" spans="1:20" x14ac:dyDescent="0.25">
      <c r="A79" s="389">
        <f t="shared" si="17"/>
        <v>213.52047348384531</v>
      </c>
      <c r="B79" s="332">
        <f t="shared" si="23"/>
        <v>2.600000000000001</v>
      </c>
      <c r="C79" s="332">
        <f t="shared" si="19"/>
        <v>0.14792899408284013</v>
      </c>
      <c r="D79" s="332"/>
      <c r="E79" s="332">
        <f t="shared" si="22"/>
        <v>0.14039115650943229</v>
      </c>
      <c r="F79" s="332">
        <f t="shared" si="22"/>
        <v>0.13617573845433487</v>
      </c>
      <c r="G79" s="332">
        <f t="shared" si="22"/>
        <v>0.12990673160934971</v>
      </c>
      <c r="H79" s="332">
        <f t="shared" si="22"/>
        <v>0.12343246074140923</v>
      </c>
      <c r="I79" s="332">
        <f t="shared" si="22"/>
        <v>0.11341304545299691</v>
      </c>
      <c r="K79" s="585">
        <f>IF($A79=0,1,_xll.Ncr_BS5950(1,$A79,K$52,$B$47,$B$48)/$B$47)</f>
        <v>0.13855038221873039</v>
      </c>
      <c r="L79" s="585">
        <f>IF($A79=0,1,_xll.Ncr_BS5950(1,$A79,L$52,$B$47,$B$48)/$B$47)</f>
        <v>0.13236140776233216</v>
      </c>
      <c r="M79" s="585">
        <f>IF($A79=0,1,_xll.Ncr_BS5950(1,$A79,M$52,$B$47,$B$48)/$B$47)</f>
        <v>0.12501700085145032</v>
      </c>
      <c r="N79" s="585">
        <f>IF($A79=0,1,_xll.Ncr_BS5950(1,$A79,N$52,$B$47,$B$48)/$B$47)</f>
        <v>0.11701753117664017</v>
      </c>
      <c r="P79" s="332" t="e">
        <f>IF($A79=0,1,_xll.Ncr_NZS3404(1,$A79,P$52,$B$47,$B$48)/$B$47)</f>
        <v>#VALUE!</v>
      </c>
      <c r="Q79" s="332" t="e">
        <f>IF($A79=0,1,_xll.Ncr_NZS3404(1,$A79,Q$52,$B$47,$B$48)/$B$47)</f>
        <v>#VALUE!</v>
      </c>
      <c r="R79" s="332" t="e">
        <f>IF($A79=0,1,_xll.Ncr_NZS3404(1,$A79,R$52,$B$47,$B$48)/$B$47)</f>
        <v>#VALUE!</v>
      </c>
      <c r="S79" s="332" t="e">
        <f>IF($A79=0,1,_xll.Ncr_NZS3404(1,$A79,S$52,$B$47,$B$48)/$B$47)</f>
        <v>#VALUE!</v>
      </c>
      <c r="T79" s="332" t="e">
        <f>IF($A79=0,1,_xll.Ncr_NZS3404(1,$A79,T$52,$B$47,$B$48)/$B$47)</f>
        <v>#VALUE!</v>
      </c>
    </row>
    <row r="80" spans="1:20" x14ac:dyDescent="0.25">
      <c r="A80" s="389">
        <f t="shared" si="17"/>
        <v>221.73279938707012</v>
      </c>
      <c r="B80" s="332">
        <f t="shared" si="23"/>
        <v>2.7000000000000011</v>
      </c>
      <c r="C80" s="332">
        <f t="shared" si="19"/>
        <v>0.13717421124828522</v>
      </c>
      <c r="D80" s="332"/>
      <c r="E80" s="332">
        <f t="shared" si="22"/>
        <v>0.13048406276700955</v>
      </c>
      <c r="F80" s="332">
        <f t="shared" si="22"/>
        <v>0.12672369101137249</v>
      </c>
      <c r="G80" s="332">
        <f t="shared" si="22"/>
        <v>0.12110750998000287</v>
      </c>
      <c r="H80" s="332">
        <f t="shared" si="22"/>
        <v>0.11527886364471328</v>
      </c>
      <c r="I80" s="332">
        <f t="shared" si="22"/>
        <v>0.1062048402785862</v>
      </c>
      <c r="K80" s="585">
        <f>IF($A80=0,1,_xll.Ncr_BS5950(1,$A80,K$52,$B$47,$B$48)/$B$47)</f>
        <v>0.1288436267345526</v>
      </c>
      <c r="L80" s="585">
        <f>IF($A80=0,1,_xll.Ncr_BS5950(1,$A80,L$52,$B$47,$B$48)/$B$47)</f>
        <v>0.12330989308909002</v>
      </c>
      <c r="M80" s="585">
        <f>IF($A80=0,1,_xll.Ncr_BS5950(1,$A80,M$52,$B$47,$B$48)/$B$47)</f>
        <v>0.11670799123709137</v>
      </c>
      <c r="N80" s="585">
        <f>IF($A80=0,1,_xll.Ncr_BS5950(1,$A80,N$52,$B$47,$B$48)/$B$47)</f>
        <v>0.10947648610798488</v>
      </c>
      <c r="P80" s="332" t="e">
        <f>IF($A80=0,1,_xll.Ncr_NZS3404(1,$A80,P$52,$B$47,$B$48)/$B$47)</f>
        <v>#VALUE!</v>
      </c>
      <c r="Q80" s="332" t="e">
        <f>IF($A80=0,1,_xll.Ncr_NZS3404(1,$A80,Q$52,$B$47,$B$48)/$B$47)</f>
        <v>#VALUE!</v>
      </c>
      <c r="R80" s="332" t="e">
        <f>IF($A80=0,1,_xll.Ncr_NZS3404(1,$A80,R$52,$B$47,$B$48)/$B$47)</f>
        <v>#VALUE!</v>
      </c>
      <c r="S80" s="332" t="e">
        <f>IF($A80=0,1,_xll.Ncr_NZS3404(1,$A80,S$52,$B$47,$B$48)/$B$47)</f>
        <v>#VALUE!</v>
      </c>
      <c r="T80" s="332" t="e">
        <f>IF($A80=0,1,_xll.Ncr_NZS3404(1,$A80,T$52,$B$47,$B$48)/$B$47)</f>
        <v>#VALUE!</v>
      </c>
    </row>
    <row r="81" spans="1:20" x14ac:dyDescent="0.25">
      <c r="A81" s="389">
        <f t="shared" si="17"/>
        <v>229.94512529029492</v>
      </c>
      <c r="B81" s="332">
        <f t="shared" si="23"/>
        <v>2.8000000000000012</v>
      </c>
      <c r="C81" s="332">
        <f t="shared" si="19"/>
        <v>0.12755102040816316</v>
      </c>
      <c r="D81" s="332"/>
      <c r="E81" s="332">
        <f t="shared" si="22"/>
        <v>0.12158374880221816</v>
      </c>
      <c r="F81" s="332">
        <f t="shared" si="22"/>
        <v>0.11821451330258687</v>
      </c>
      <c r="G81" s="332">
        <f t="shared" si="22"/>
        <v>0.11316312154329393</v>
      </c>
      <c r="H81" s="332">
        <f t="shared" si="22"/>
        <v>0.10789713783312541</v>
      </c>
      <c r="I81" s="332">
        <f t="shared" si="22"/>
        <v>9.9654080680771487E-2</v>
      </c>
      <c r="K81" s="585">
        <f>IF($A81=0,1,_xll.Ncr_BS5950(1,$A81,K$52,$B$47,$B$48)/$B$47)</f>
        <v>0.12011525249606476</v>
      </c>
      <c r="L81" s="585">
        <f>IF($A81=0,1,_xll.Ncr_BS5950(1,$A81,L$52,$B$47,$B$48)/$B$47)</f>
        <v>0.11514673180481973</v>
      </c>
      <c r="M81" s="585">
        <f>IF($A81=0,1,_xll.Ncr_BS5950(1,$A81,M$52,$B$47,$B$48)/$B$47)</f>
        <v>0.10919045807716564</v>
      </c>
      <c r="N81" s="585">
        <f>IF($A81=0,1,_xll.Ncr_BS5950(1,$A81,N$52,$B$47,$B$48)/$B$47)</f>
        <v>0.10263223952939261</v>
      </c>
      <c r="P81" s="332" t="e">
        <f>IF($A81=0,1,_xll.Ncr_NZS3404(1,$A81,P$52,$B$47,$B$48)/$B$47)</f>
        <v>#VALUE!</v>
      </c>
      <c r="Q81" s="332" t="e">
        <f>IF($A81=0,1,_xll.Ncr_NZS3404(1,$A81,Q$52,$B$47,$B$48)/$B$47)</f>
        <v>#VALUE!</v>
      </c>
      <c r="R81" s="332" t="e">
        <f>IF($A81=0,1,_xll.Ncr_NZS3404(1,$A81,R$52,$B$47,$B$48)/$B$47)</f>
        <v>#VALUE!</v>
      </c>
      <c r="S81" s="332" t="e">
        <f>IF($A81=0,1,_xll.Ncr_NZS3404(1,$A81,S$52,$B$47,$B$48)/$B$47)</f>
        <v>#VALUE!</v>
      </c>
      <c r="T81" s="332" t="e">
        <f>IF($A81=0,1,_xll.Ncr_NZS3404(1,$A81,T$52,$B$47,$B$48)/$B$47)</f>
        <v>#VALUE!</v>
      </c>
    </row>
    <row r="82" spans="1:20" x14ac:dyDescent="0.25">
      <c r="A82" s="389">
        <f t="shared" si="17"/>
        <v>238.15745119351973</v>
      </c>
      <c r="B82" s="332">
        <f t="shared" si="23"/>
        <v>2.9000000000000012</v>
      </c>
      <c r="C82" s="332">
        <f t="shared" si="19"/>
        <v>0.11890606420927458</v>
      </c>
      <c r="D82" s="332"/>
      <c r="E82" s="332">
        <f t="shared" si="22"/>
        <v>0.11355938057956538</v>
      </c>
      <c r="F82" s="332">
        <f t="shared" si="22"/>
        <v>0.11052829492461787</v>
      </c>
      <c r="G82" s="332">
        <f t="shared" si="22"/>
        <v>0.10596802471112544</v>
      </c>
      <c r="H82" s="332">
        <f t="shared" si="22"/>
        <v>0.10119456423965383</v>
      </c>
      <c r="I82" s="332">
        <f t="shared" si="22"/>
        <v>9.3684603921710755E-2</v>
      </c>
      <c r="K82" s="585">
        <f>IF($A82=0,1,_xll.Ncr_BS5950(1,$A82,K$52,$B$47,$B$48)/$B$47)</f>
        <v>0.11223933052197706</v>
      </c>
      <c r="L82" s="585">
        <f>IF($A82=0,1,_xll.Ncr_BS5950(1,$A82,L$52,$B$47,$B$48)/$B$47)</f>
        <v>0.10776100404441202</v>
      </c>
      <c r="M82" s="585">
        <f>IF($A82=0,1,_xll.Ncr_BS5950(1,$A82,M$52,$B$47,$B$48)/$B$47)</f>
        <v>0.10236871475213299</v>
      </c>
      <c r="N82" s="585">
        <f>IF($A82=0,1,_xll.Ncr_BS5950(1,$A82,N$52,$B$47,$B$48)/$B$47)</f>
        <v>9.6403080685618717E-2</v>
      </c>
      <c r="P82" s="332" t="e">
        <f>IF($A82=0,1,_xll.Ncr_NZS3404(1,$A82,P$52,$B$47,$B$48)/$B$47)</f>
        <v>#VALUE!</v>
      </c>
      <c r="Q82" s="332" t="e">
        <f>IF($A82=0,1,_xll.Ncr_NZS3404(1,$A82,Q$52,$B$47,$B$48)/$B$47)</f>
        <v>#VALUE!</v>
      </c>
      <c r="R82" s="332" t="e">
        <f>IF($A82=0,1,_xll.Ncr_NZS3404(1,$A82,R$52,$B$47,$B$48)/$B$47)</f>
        <v>#VALUE!</v>
      </c>
      <c r="S82" s="332" t="e">
        <f>IF($A82=0,1,_xll.Ncr_NZS3404(1,$A82,S$52,$B$47,$B$48)/$B$47)</f>
        <v>#VALUE!</v>
      </c>
      <c r="T82" s="332" t="e">
        <f>IF($A82=0,1,_xll.Ncr_NZS3404(1,$A82,T$52,$B$47,$B$48)/$B$47)</f>
        <v>#VALUE!</v>
      </c>
    </row>
    <row r="83" spans="1:20" x14ac:dyDescent="0.25">
      <c r="A83" s="389">
        <f t="shared" si="17"/>
        <v>246.36977709674457</v>
      </c>
      <c r="B83" s="332">
        <f t="shared" si="23"/>
        <v>3.0000000000000013</v>
      </c>
      <c r="C83" s="332">
        <f t="shared" si="19"/>
        <v>0.11111111111111102</v>
      </c>
      <c r="D83" s="332"/>
      <c r="E83" s="332">
        <f t="shared" si="22"/>
        <v>0.10630047452275883</v>
      </c>
      <c r="F83" s="332">
        <f t="shared" si="22"/>
        <v>0.10356329926202504</v>
      </c>
      <c r="G83" s="332">
        <f t="shared" si="22"/>
        <v>9.9432135296426291E-2</v>
      </c>
      <c r="H83" s="332">
        <f t="shared" si="22"/>
        <v>9.5091603759184198E-2</v>
      </c>
      <c r="I83" s="332">
        <f t="shared" si="22"/>
        <v>8.8230697931887467E-2</v>
      </c>
      <c r="K83" s="585">
        <f>IF($A83=0,1,_xll.Ncr_BS5950(1,$A83,K$52,$B$47,$B$48)/$B$47)</f>
        <v>0.10510929325426457</v>
      </c>
      <c r="L83" s="585">
        <f>IF($A83=0,1,_xll.Ncr_BS5950(1,$A83,L$52,$B$47,$B$48)/$B$47)</f>
        <v>0.10105824412236929</v>
      </c>
      <c r="M83" s="585">
        <f>IF($A83=0,1,_xll.Ncr_BS5950(1,$A83,M$52,$B$47,$B$48)/$B$47)</f>
        <v>9.6160769108624311E-2</v>
      </c>
      <c r="N83" s="585">
        <f>IF($A83=0,1,_xll.Ncr_BS5950(1,$A83,N$52,$B$47,$B$48)/$B$47)</f>
        <v>9.0718637302078395E-2</v>
      </c>
      <c r="P83" s="332" t="e">
        <f>IF($A83=0,1,_xll.Ncr_NZS3404(1,$A83,P$52,$B$47,$B$48)/$B$47)</f>
        <v>#VALUE!</v>
      </c>
      <c r="Q83" s="332" t="e">
        <f>IF($A83=0,1,_xll.Ncr_NZS3404(1,$A83,Q$52,$B$47,$B$48)/$B$47)</f>
        <v>#VALUE!</v>
      </c>
      <c r="R83" s="332" t="e">
        <f>IF($A83=0,1,_xll.Ncr_NZS3404(1,$A83,R$52,$B$47,$B$48)/$B$47)</f>
        <v>#VALUE!</v>
      </c>
      <c r="S83" s="332" t="e">
        <f>IF($A83=0,1,_xll.Ncr_NZS3404(1,$A83,S$52,$B$47,$B$48)/$B$47)</f>
        <v>#VALUE!</v>
      </c>
      <c r="T83" s="332" t="e">
        <f>IF($A83=0,1,_xll.Ncr_NZS3404(1,$A83,T$52,$B$47,$B$48)/$B$47)</f>
        <v>#VALUE!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CodeEquations</vt:lpstr>
      <vt:lpstr>Sheet2</vt:lpstr>
      <vt:lpstr>Val-Restrainer End</vt:lpstr>
      <vt:lpstr>ElasticBuckling</vt:lpstr>
      <vt:lpstr>Summary</vt:lpstr>
      <vt:lpstr>Summary (2)</vt:lpstr>
      <vt:lpstr>Sheet1</vt:lpstr>
      <vt:lpstr>Framing</vt:lpstr>
      <vt:lpstr>Drift&amp;Imperfection</vt:lpstr>
      <vt:lpstr>Restrainer End</vt:lpstr>
      <vt:lpstr>Core Demand</vt:lpstr>
      <vt:lpstr>Gusset</vt:lpstr>
      <vt:lpstr>Equiv Connection</vt:lpstr>
      <vt:lpstr>Validation</vt:lpstr>
      <vt:lpstr>Summary!Print_Titles</vt:lpstr>
    </vt:vector>
  </TitlesOfParts>
  <Company>Tokyo Tech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Sitler</dc:creator>
  <cp:lastModifiedBy>Ben Sitler</cp:lastModifiedBy>
  <cp:lastPrinted>2016-09-16T02:36:02Z</cp:lastPrinted>
  <dcterms:created xsi:type="dcterms:W3CDTF">2016-07-19T10:34:52Z</dcterms:created>
  <dcterms:modified xsi:type="dcterms:W3CDTF">2017-05-22T08:40:52Z</dcterms:modified>
</cp:coreProperties>
</file>